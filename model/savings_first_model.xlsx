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Funnel &amp; CAC" sheetId="2" state="visible" r:id="rId2"/>
    <sheet name="Cohort gig" sheetId="3" state="visible" r:id="rId3"/>
    <sheet name="Cohort non-gig" sheetId="4" state="visible" r:id="rId4"/>
    <sheet name="Cohort total" sheetId="5" state="visible" r:id="rId5"/>
    <sheet name="Revenue lines" sheetId="6" state="visible" r:id="rId6"/>
    <sheet name="Cost to serve" sheetId="7" state="visible" r:id="rId7"/>
    <sheet name="Outputs" sheetId="8" state="visible" r:id="rId8"/>
    <sheet name="Lending-first" sheetId="9" state="visible" r:id="rId9"/>
    <sheet name="Sensitivity" sheetId="10" state="visible" r:id="rId10"/>
    <sheet name="Assumption register" sheetId="11" state="visible" r:id="rId11"/>
    <sheet name="Monte Carlo" sheetId="12" state="visible" r:id="rId12"/>
    <sheet name="Sensitivity (net)" sheetId="13" state="visible" r:id="rId13"/>
    <sheet name="Break-even minimum" sheetId="14" state="visible" r:id="rId14"/>
    <sheet name="Cross-sell and LTV" sheetId="15" state="visible" r:id="rId15"/>
    <sheet name="Redesign - shopkeepers" sheetId="16" state="visible" r:id="rId16"/>
    <sheet name="Redesign - salaried" sheetId="17" state="visible" r:id="rId17"/>
    <sheet name="Lending ourselves" sheetId="18" state="visible" r:id="rId18"/>
    <sheet name="Lending Monte Carlo" sheetId="19" state="visible" r:id="rId19"/>
    <sheet name="Customer groups" sheetId="20" state="visible" r:id="rId20"/>
    <sheet name="Levers" sheetId="21" state="visible" r:id="rId21"/>
    <sheet name="Path to $100M" sheetId="22" state="visible" r:id="rId22"/>
    <sheet name="Sources" sheetId="23" state="visible" r:id="rId23"/>
  </sheets>
  <definedNames>
    <definedName name="scenario">Inputs!$C$2</definedName>
    <definedName name="cohort_size">Inputs!$F$8</definedName>
    <definedName name="cohort_size_ng">Inputs!$J$8</definedName>
    <definedName name="mix_gig">Inputs!$F$9</definedName>
    <definedName name="mix_gig_ng">Inputs!$J$9</definedName>
    <definedName name="disc_rate">Inputs!$F$10</definedName>
    <definedName name="disc_rate_ng">Inputs!$J$10</definedName>
    <definedName name="usd_inr">Inputs!$F$11</definedName>
    <definedName name="usd_inr_ng">Inputs!$J$11</definedName>
    <definedName name="ret_m1">Inputs!$F$13</definedName>
    <definedName name="ret_m1_ng">Inputs!$J$13</definedName>
    <definedName name="ret_m3">Inputs!$F$14</definedName>
    <definedName name="ret_m3_ng">Inputs!$J$14</definedName>
    <definedName name="ret_m6">Inputs!$F$15</definedName>
    <definedName name="ret_m6_ng">Inputs!$J$15</definedName>
    <definedName name="ret_m12">Inputs!$F$16</definedName>
    <definedName name="ret_m12_ng">Inputs!$J$16</definedName>
    <definedName name="ret_m24">Inputs!$F$17</definedName>
    <definedName name="ret_m24_ng">Inputs!$J$17</definedName>
    <definedName name="churn_late">Inputs!$F$18</definedName>
    <definedName name="churn_late_ng">Inputs!$J$18</definedName>
    <definedName name="daily_amount">Inputs!$F$20</definedName>
    <definedName name="daily_amount_ng">Inputs!$J$20</definedName>
    <definedName name="amount_growth">Inputs!$F$21</definedName>
    <definedName name="amount_growth_ng">Inputs!$J$21</definedName>
    <definedName name="debits_scheduled">Inputs!$F$22</definedName>
    <definedName name="debits_scheduled_ng">Inputs!$J$22</definedName>
    <definedName name="debits_success">Inputs!$F$23</definedName>
    <definedName name="debits_success_ng">Inputs!$J$23</definedName>
    <definedName name="withdraw_rate">Inputs!$F$24</definedName>
    <definedName name="withdraw_rate_ng">Inputs!$J$24</definedName>
    <definedName name="leaver_withdraw">Inputs!$F$25</definedName>
    <definedName name="leaver_withdraw_ng">Inputs!$J$25</definedName>
    <definedName name="dormant_withdraw">Inputs!$F$26</definedName>
    <definedName name="dormant_withdraw_ng">Inputs!$J$26</definedName>
    <definedName name="fund_yield">Inputs!$F$27</definedName>
    <definedName name="fund_yield_ng">Inputs!$J$27</definedName>
    <definedName name="fd_share">Inputs!$F$28</definedName>
    <definedName name="fd_share_ng">Inputs!$J$28</definedName>
    <definedName name="fd_start">Inputs!$F$29</definedName>
    <definedName name="fd_start_ng">Inputs!$J$29</definedName>
    <definedName name="trail_liquid">Inputs!$F$31</definedName>
    <definedName name="trail_liquid_ng">Inputs!$J$31</definedName>
    <definedName name="fd_fee">Inputs!$F$32</definedName>
    <definedName name="fd_fee_ng">Inputs!$J$32</definedName>
    <definedName name="mf_incentive">Inputs!$F$33</definedName>
    <definedName name="mf_incentive_ng">Inputs!$J$33</definedName>
    <definedName name="first_time_share">Inputs!$F$34</definedName>
    <definedName name="first_time_share_ng">Inputs!$J$34</definedName>
    <definedName name="loan_start">Inputs!$F$36</definedName>
    <definedName name="loan_start_ng">Inputs!$J$36</definedName>
    <definedName name="loan_eligible">Inputs!$F$37</definedName>
    <definedName name="loan_eligible_ng">Inputs!$J$37</definedName>
    <definedName name="loan_apply">Inputs!$F$38</definedName>
    <definedName name="loan_apply_ng">Inputs!$J$38</definedName>
    <definedName name="loan_approval">Inputs!$F$39</definedName>
    <definedName name="loan_approval_ng">Inputs!$J$39</definedName>
    <definedName name="loan_ticket">Inputs!$F$40</definedName>
    <definedName name="loan_ticket_ng">Inputs!$J$40</definedName>
    <definedName name="loan_stepup">Inputs!$F$41</definedName>
    <definedName name="loan_stepup_ng">Inputs!$J$41</definedName>
    <definedName name="loan_tenor">Inputs!$F$42</definedName>
    <definedName name="loan_tenor_ng">Inputs!$J$42</definedName>
    <definedName name="loan_repeat">Inputs!$F$43</definedName>
    <definedName name="loan_repeat_ng">Inputs!$J$43</definedName>
    <definedName name="loan_dpd90">Inputs!$F$44</definedName>
    <definedName name="loan_dpd90_ng">Inputs!$J$44</definedName>
    <definedName name="loan_ead">Inputs!$F$45</definedName>
    <definedName name="loan_ead_ng">Inputs!$J$45</definedName>
    <definedName name="loan_lgd">Inputs!$F$46</definedName>
    <definedName name="loan_lgd_ng">Inputs!$J$46</definedName>
    <definedName name="secured_ltv">Inputs!$F$47</definedName>
    <definedName name="secured_ltv_ng">Inputs!$J$47</definedName>
    <definedName name="secured_fee">Inputs!$F$48</definedName>
    <definedName name="secured_fee_ng">Inputs!$J$48</definedName>
    <definedName name="part_unsec_multiple">Inputs!$F$49</definedName>
    <definedName name="part_unsec_multiple_ng">Inputs!$J$49</definedName>
    <definedName name="ladder_dpd90">Inputs!$F$50</definedName>
    <definedName name="ladder_dpd90_ng">Inputs!$J$50</definedName>
    <definedName name="lsp_fee">Inputs!$F$51</definedName>
    <definedName name="lsp_fee_ng">Inputs!$J$51</definedName>
    <definedName name="dlg_on">Inputs!$F$52</definedName>
    <definedName name="dlg_on_ng">Inputs!$J$52</definedName>
    <definedName name="dlg_cap">Inputs!$F$53</definedName>
    <definedName name="dlg_cap_ng">Inputs!$J$53</definedName>
    <definedName name="dlg_fee_uplift">Inputs!$F$54</definedName>
    <definedName name="dlg_fee_uplift_ng">Inputs!$J$54</definedName>
    <definedName name="loan_ops_cost">Inputs!$F$55</definedName>
    <definedName name="loan_ops_cost_ng">Inputs!$J$55</definedName>
    <definedName name="nbfc_on">Inputs!$F$57</definedName>
    <definedName name="nbfc_on_ng">Inputs!$J$57</definedName>
    <definedName name="nbfc_apr">Inputs!$F$58</definedName>
    <definedName name="nbfc_apr_ng">Inputs!$J$58</definedName>
    <definedName name="nbfc_proc_fee">Inputs!$F$59</definedName>
    <definedName name="nbfc_proc_fee_ng">Inputs!$J$59</definedName>
    <definedName name="nbfc_cof">Inputs!$F$60</definedName>
    <definedName name="nbfc_cof_ng">Inputs!$J$60</definedName>
    <definedName name="service_cost">Inputs!$F$62</definedName>
    <definedName name="service_cost_ng">Inputs!$J$62</definedName>
    <definedName name="nbfc_equity">Inputs!$F$64</definedName>
    <definedName name="nbfc_equity_ng">Inputs!$J$64</definedName>
    <definedName name="nbfc_nof_cr">Inputs!$F$65</definedName>
    <definedName name="nbfc_nof_cr_ng">Inputs!$J$65</definedName>
    <definedName name="nbfc_fixed_cr">Inputs!$F$66</definedName>
    <definedName name="nbfc_fixed_cr_ng">Inputs!$J$66</definedName>
    <definedName name="gold_on">Inputs!$F$68</definedName>
    <definedName name="gold_on_ng">Inputs!$J$68</definedName>
    <definedName name="gold_share">Inputs!$F$69</definedName>
    <definedName name="gold_share_ng">Inputs!$J$69</definedName>
    <definedName name="gold_margin">Inputs!$F$70</definedName>
    <definedName name="gold_margin_ng">Inputs!$J$70</definedName>
    <definedName name="card_start">Inputs!$F$72</definedName>
    <definedName name="card_start_ng">Inputs!$J$72</definedName>
    <definedName name="card_eligible">Inputs!$F$73</definedName>
    <definedName name="card_eligible_ng">Inputs!$J$73</definedName>
    <definedName name="card_uptake">Inputs!$F$74</definedName>
    <definedName name="card_uptake_ng">Inputs!$J$74</definedName>
    <definedName name="card_fee">Inputs!$F$75</definedName>
    <definedName name="card_fee_ng">Inputs!$J$75</definedName>
    <definedName name="card_churn">Inputs!$F$76</definedName>
    <definedName name="card_churn_ng">Inputs!$J$76</definedName>
    <definedName name="card_spend">Inputs!$F$77</definedName>
    <definedName name="card_spend_ng">Inputs!$J$77</definedName>
    <definedName name="card_ic_share">Inputs!$F$78</definedName>
    <definedName name="card_ic_share_ng">Inputs!$J$78</definedName>
    <definedName name="card_ops_cost">Inputs!$F$79</definedName>
    <definedName name="card_ops_cost_ng">Inputs!$J$79</definedName>
    <definedName name="unsec_start">Inputs!$F$80</definedName>
    <definedName name="unsec_start_ng">Inputs!$J$80</definedName>
    <definedName name="unsec_grad">Inputs!$F$81</definedName>
    <definedName name="unsec_grad_ng">Inputs!$J$81</definedName>
    <definedName name="unsec_fee">Inputs!$F$82</definedName>
    <definedName name="unsec_fee_ng">Inputs!$J$82</definedName>
    <definedName name="sip_start">Inputs!$F$84</definedName>
    <definedName name="sip_start_ng">Inputs!$J$84</definedName>
    <definedName name="sip_eligible">Inputs!$F$85</definedName>
    <definedName name="sip_eligible_ng">Inputs!$J$85</definedName>
    <definedName name="sip_uptake">Inputs!$F$86</definedName>
    <definedName name="sip_uptake_ng">Inputs!$J$86</definedName>
    <definedName name="sip_stop">Inputs!$F$87</definedName>
    <definedName name="sip_stop_ng">Inputs!$J$87</definedName>
    <definedName name="sip_amount">Inputs!$F$88</definedName>
    <definedName name="sip_amount_ng">Inputs!$J$88</definedName>
    <definedName name="sip_return">Inputs!$F$89</definedName>
    <definedName name="sip_return_ng">Inputs!$J$89</definedName>
    <definedName name="sip_redeem">Inputs!$F$90</definedName>
    <definedName name="sip_redeem_ng">Inputs!$J$90</definedName>
    <definedName name="trail_equity">Inputs!$F$91</definedName>
    <definedName name="trail_equity_ng">Inputs!$J$91</definedName>
    <definedName name="ins_start">Inputs!$F$93</definedName>
    <definedName name="ins_start_ng">Inputs!$J$93</definedName>
    <definedName name="ins_eligible">Inputs!$F$94</definedName>
    <definedName name="ins_eligible_ng">Inputs!$J$94</definedName>
    <definedName name="ins_uptake">Inputs!$F$95</definedName>
    <definedName name="ins_uptake_ng">Inputs!$J$95</definedName>
    <definedName name="ins_premium">Inputs!$F$96</definedName>
    <definedName name="ins_premium_ng">Inputs!$J$96</definedName>
    <definedName name="ins_comm_first">Inputs!$F$97</definedName>
    <definedName name="ins_comm_first_ng">Inputs!$J$97</definedName>
    <definedName name="ins_comm_renew">Inputs!$F$98</definedName>
    <definedName name="ins_comm_renew_ng">Inputs!$J$98</definedName>
    <definedName name="ins_persist">Inputs!$F$99</definedName>
    <definedName name="ins_persist_ng">Inputs!$J$99</definedName>
    <definedName name="ins_ops_cost">Inputs!$F$100</definedName>
    <definedName name="ins_ops_cost_ng">Inputs!$J$100</definedName>
    <definedName name="cost_debit">Inputs!$F$102</definedName>
    <definedName name="cost_debit_ng">Inputs!$J$102</definedName>
    <definedName name="cost_notice">Inputs!$F$103</definedName>
    <definedName name="cost_notice_ng">Inputs!$J$103</definedName>
    <definedName name="cost_failed">Inputs!$F$104</definedName>
    <definedName name="cost_failed_ng">Inputs!$J$104</definedName>
    <definedName name="cost_support">Inputs!$F$105</definedName>
    <definedName name="cost_support_ng">Inputs!$J$105</definedName>
    <definedName name="cost_tech">Inputs!$F$106</definedName>
    <definedName name="cost_tech_ng">Inputs!$J$106</definedName>
    <definedName name="cost_rewards">Inputs!$F$107</definedName>
    <definedName name="cost_rewards_ng">Inputs!$J$107</definedName>
    <definedName name="cost_fraud">Inputs!$F$108</definedName>
    <definedName name="cost_fraud_ng">Inputs!$J$108</definedName>
    <definedName name="cac_mult">Inputs!$F$110</definedName>
    <definedName name="cac_mult_ng">Inputs!$J$110</definedName>
    <definedName name="lf_applicants">Inputs!$F$113</definedName>
    <definedName name="lf_cost_per_applicant">Inputs!$F$114</definedName>
    <definedName name="lf_underwrite_cost">Inputs!$F$115</definedName>
    <definedName name="lf_approval">Inputs!$F$116</definedName>
    <definedName name="lf_ticket">Inputs!$F$117</definedName>
    <definedName name="lf_tenor">Inputs!$F$118</definedName>
    <definedName name="lf_irr">Inputs!$F$119</definedName>
    <definedName name="lf_cof">Inputs!$F$120</definedName>
    <definedName name="lf_risk_share">Inputs!$F$121</definedName>
    <definedName name="lf_dpd90_first">Inputs!$F$122</definedName>
    <definedName name="lf_dpd90_repeat">Inputs!$F$123</definedName>
    <definedName name="lf_ead">Inputs!$F$124</definedName>
    <definedName name="lf_lgd">Inputs!$F$125</definedName>
    <definedName name="lf_repeat">Inputs!$F$126</definedName>
    <definedName name="lf_collection">Inputs!$F$127</definedName>
    <definedName name="lf_platform_share">Inputs!$F$128</definedName>
    <definedName name="lf_platform_fee">Inputs!$F$129</definedName>
    <definedName name="lf_ops_cost">Inputs!$F$130</definedName>
    <definedName name="lf_equity_ratio">Inputs!$F$131</definedName>
    <definedName name="loan_lost">Inputs!$F$134</definedName>
    <definedName name="loan_lost_ng">Inputs!$J$134</definedName>
    <definedName name="nbfc_int_r">Inputs!$F$135</definedName>
    <definedName name="nbfc_int_r_ng">Inputs!$J$135</definedName>
    <definedName name="nbfc_cof_r">Inputs!$F$136</definedName>
    <definedName name="nbfc_cof_r_ng">Inputs!$J$136</definedName>
    <definedName name="nbfc_avg_frac">Inputs!$F$137</definedName>
    <definedName name="nbfc_avg_frac_ng">Inputs!$J$137</definedName>
    <definedName name="seg_n_gig">Inputs!$F$138</definedName>
    <definedName name="seg_n_ng">Inputs!$F$139</definedName>
    <definedName name="churn_path">Inputs!$F$140</definedName>
    <definedName name="cac_gig">'Funnel &amp; CAC'!$Q$14</definedName>
    <definedName name="cac_ng">'Funnel &amp; CAC'!$Q$15</definedName>
    <definedName name="cac_blended">'Funnel &amp; CAC'!$Q$16</definedName>
    <definedName name="serve_cost_month">'Cost to serve'!$D$32</definedName>
    <definedName name="borrowers_lf">'Lending-first'!$B$5</definedName>
    <definedName name="lf_interest">'Lending-first'!$B$6</definedName>
    <definedName name="lf_cof_loan">'Lending-first'!$B$7</definedName>
    <definedName name="lf_avg_frac">'Lending-first'!$B$8</definedName>
    <definedName name="lf_fixed">'Lending-first'!$B$9</definedName>
    <definedName name="lf_first_cm">'Lending-first'!$B$10</definedName>
    <definedName name="lf_rep_cm">'Lending-first'!$B$11</definedName>
    <definedName name="lf_cac_app">'Lending-first'!$B$12</definedName>
    <definedName name="lf_cac">'Lending-first'!$B$13</definedName>
    <definedName name="lf_cac_good">'Lending-first'!$B$14</definedName>
    <definedName name="lf_payback">'Lending-first'!$B$32</definedName>
    <definedName name="lf_ltv36">'Lending-first'!$B$33</definedName>
    <definedName name="lf_ltv60">'Lending-first'!$B$34</definedName>
    <definedName name="lf_ltv36_cac">'Lending-first'!$B$35</definedName>
    <definedName name="lf_ltv60_cac">'Lending-first'!$B$36</definedName>
    <definedName name="lf_y1_rev">'Lending-first'!$B$37</definedName>
    <definedName name="lf_y1_cm">'Lending-first'!$B$38</definedName>
    <definedName name="lf_cap_per_rev">'Lending-first'!$B$39</definedName>
    <definedName name="path_year_100m">'Path to $100M'!$B$84</definedName>
    <definedName name="path_peak_capital">'Path to $100M'!$B$85</definedName>
    <definedName name="path_rev_usd_y1">'Path to $100M'!$B$71</definedName>
    <definedName name="path_active_y1">'Path to $100M'!$B$72</definedName>
    <definedName name="path_need_y1">'Path to $100M'!$B$81</definedName>
    <definedName name="path_rev_usd_y2">'Path to $100M'!$C$71</definedName>
    <definedName name="path_active_y2">'Path to $100M'!$C$72</definedName>
    <definedName name="path_need_y2">'Path to $100M'!$C$81</definedName>
    <definedName name="path_rev_usd_y3">'Path to $100M'!$D$71</definedName>
    <definedName name="path_active_y3">'Path to $100M'!$D$72</definedName>
    <definedName name="path_need_y3">'Path to $100M'!$D$81</definedName>
    <definedName name="path_rev_usd_y4">'Path to $100M'!$E$71</definedName>
    <definedName name="path_active_y4">'Path to $100M'!$E$72</definedName>
    <definedName name="path_need_y4">'Path to $100M'!$E$81</definedName>
    <definedName name="path_rev_usd_y5">'Path to $100M'!$F$71</definedName>
    <definedName name="path_active_y5">'Path to $100M'!$F$72</definedName>
    <definedName name="path_need_y5">'Path to $100M'!$F$81</definedName>
    <definedName name="path_rev_usd_y6">'Path to $100M'!$G$71</definedName>
    <definedName name="path_active_y6">'Path to $100M'!$G$72</definedName>
    <definedName name="path_need_y6">'Path to $100M'!$G$81</definedName>
    <definedName name="path_rev_usd_y7">'Path to $100M'!$H$71</definedName>
    <definedName name="path_active_y7">'Path to $100M'!$H$72</definedName>
    <definedName name="path_need_y7">'Path to $100M'!$H$81</definedName>
    <definedName name="path_rev_usd_y8">'Path to $100M'!$I$71</definedName>
    <definedName name="path_active_y8">'Path to $100M'!$I$72</definedName>
    <definedName name="path_need_y8">'Path to $100M'!$I$81</definedName>
    <definedName name="path_rev_usd_y9">'Path to $100M'!$J$71</definedName>
    <definedName name="path_active_y9">'Path to $100M'!$J$72</definedName>
    <definedName name="path_need_y9">'Path to $100M'!$J$81</definedName>
    <definedName name="path_rev_usd_y10">'Path to $100M'!$K$71</definedName>
    <definedName name="path_active_y10">'Path to $100M'!$K$72</definedName>
    <definedName name="path_need_y10">'Path to $100M'!$K$81</definedName>
    <definedName name="out_cac">Outputs!$B$5</definedName>
    <definedName name="out_cac_good">Outputs!$B$6</definedName>
    <definedName name="out_payback">Outputs!$B$7</definedName>
    <definedName name="out_ltv36">Outputs!$B$8</definedName>
    <definedName name="out_ltv60">Outputs!$B$9</definedName>
    <definedName name="out_ltv36_cac">Outputs!$B$10</definedName>
    <definedName name="out_ltv60_cac">Outputs!$B$11</definedName>
    <definedName name="out_y1_cm">Outputs!$B$12</definedName>
    <definedName name="out_cap_per_rev">Outputs!$B$13</definedName>
    <definedName name="y1_rev_pa">Outputs!$B$25</definedName>
    <definedName name="y2_rev_pa">Outputs!$C$25</definedName>
    <definedName name="y3_rev_pa">Outputs!$D$25</definedName>
    <definedName name="y4_rev_pa">Outputs!$E$25</definedName>
    <definedName name="y5_rev_pa">Outputs!$F$25</definedName>
    <definedName name="y1_cost_pa">Outputs!$B$26</definedName>
    <definedName name="y2_cost_pa">Outputs!$C$26</definedName>
    <definedName name="y3_cost_pa">Outputs!$D$26</definedName>
    <definedName name="y4_cost_pa">Outputs!$E$26</definedName>
    <definedName name="y5_cost_pa">Outputs!$F$26</definedName>
    <definedName name="y1_cm_pa">Outputs!$B$27</definedName>
    <definedName name="y2_cm_pa">Outputs!$C$27</definedName>
    <definedName name="y3_cm_pa">Outputs!$D$27</definedName>
    <definedName name="y4_cm_pa">Outputs!$E$27</definedName>
    <definedName name="y5_cm_pa">Outputs!$F$27</definedName>
    <definedName name="y1_rev_act">Outputs!$B$32</definedName>
    <definedName name="y2_rev_act">Outputs!$C$32</definedName>
    <definedName name="y3_rev_act">Outputs!$D$32</definedName>
    <definedName name="y4_rev_act">Outputs!$E$32</definedName>
    <definedName name="y5_rev_act">Outputs!$F$32</definedName>
    <definedName name="y1_cm_act">Outputs!$B$33</definedName>
    <definedName name="y2_cm_act">Outputs!$C$33</definedName>
    <definedName name="y3_cm_act">Outputs!$D$33</definedName>
    <definedName name="y4_cm_act">Outputs!$E$33</definedName>
    <definedName name="y5_cm_act">Outputs!$F$33</definedName>
    <definedName name="y1_cap_act">Outputs!$B$34</definedName>
    <definedName name="y2_cap_act">Outputs!$C$34</definedName>
    <definedName name="y3_cap_act">Outputs!$D$34</definedName>
    <definedName name="y4_cap_act">Outputs!$E$34</definedName>
    <definedName name="y5_cap_act">Outputs!$F$34</definedName>
    <definedName name="y1_active_per">Outputs!$B$35</definedName>
    <definedName name="y2_active_per">Outputs!$C$35</definedName>
    <definedName name="y3_active_per">Outputs!$D$35</definedName>
    <definedName name="y4_active_per">Outputs!$E$35</definedName>
    <definedName name="y5_active_per">Outputs!$F$35</definedName>
    <definedName name="seg_gig_cac">Outputs!$B$40</definedName>
    <definedName name="seg_ng_cac">Outputs!$C$40</definedName>
    <definedName name="seg_gig_ltv60">Outputs!$B$41</definedName>
    <definedName name="seg_ng_ltv60">Outputs!$C$41</definedName>
    <definedName name="seg_gig_ltv60_cac">Outputs!$B$42</definedName>
    <definedName name="seg_ng_ltv60_cac">Outputs!$C$42</definedName>
    <definedName name="seg_gig_payback">Outputs!$B$43</definedName>
    <definedName name="seg_ng_payback">Outputs!$C$43</definedName>
    <definedName name="seg_gig_rev_pa_y2">Outputs!$B$44</definedName>
    <definedName name="seg_ng_rev_pa_y2">Outputs!$C$44</definedName>
    <definedName name="seg_gig_still_m12">Outputs!$B$45</definedName>
    <definedName name="seg_ng_still_m12">Outputs!$C$45</definedName>
    <definedName name="y1_cost_pay">Outputs!$B$59</definedName>
    <definedName name="y2_cost_pay">Outputs!$C$59</definedName>
    <definedName name="y3_cost_pay">Outputs!$D$59</definedName>
    <definedName name="y4_cost_pay">Outputs!$E$59</definedName>
    <definedName name="y5_cost_pay">Outputs!$F$59</definedName>
    <definedName name="y1_cost_service">Outputs!$B$60</definedName>
    <definedName name="y2_cost_service">Outputs!$C$60</definedName>
    <definedName name="y3_cost_service">Outputs!$D$60</definedName>
    <definedName name="y4_cost_service">Outputs!$E$60</definedName>
    <definedName name="y5_cost_service">Outputs!$F$60</definedName>
    <definedName name="y1_cost_fraud">Outputs!$B$61</definedName>
    <definedName name="y2_cost_fraud">Outputs!$C$61</definedName>
    <definedName name="y3_cost_fraud">Outputs!$D$61</definedName>
    <definedName name="y4_cost_fraud">Outputs!$E$61</definedName>
    <definedName name="y5_cost_fraud">Outputs!$F$61</definedName>
    <definedName name="y1_cost_loans">Outputs!$B$62</definedName>
    <definedName name="y2_cost_loans">Outputs!$C$62</definedName>
    <definedName name="y3_cost_loans">Outputs!$D$62</definedName>
    <definedName name="y4_cost_loans">Outputs!$E$62</definedName>
    <definedName name="y5_cost_loans">Outputs!$F$62</definedName>
    <definedName name="y1_cost_cards">Outputs!$B$63</definedName>
    <definedName name="y2_cost_cards">Outputs!$C$63</definedName>
    <definedName name="y3_cost_cards">Outputs!$D$63</definedName>
    <definedName name="y4_cost_cards">Outputs!$E$63</definedName>
    <definedName name="y5_cost_cards">Outputs!$F$63</definedName>
    <definedName name="y1_cost_ins">Outputs!$B$64</definedName>
    <definedName name="y2_cost_ins">Outputs!$C$64</definedName>
    <definedName name="y3_cost_ins">Outputs!$D$64</definedName>
    <definedName name="y4_cost_ins">Outputs!$E$64</definedName>
    <definedName name="y5_cost_ins">Outputs!$F$64</definedName>
    <definedName name="story_borrow_12">Outputs!$B$69</definedName>
    <definedName name="story_borrow_24">Outputs!$B$70</definedName>
    <definedName name="story_borrow_60">Outputs!$B$71</definedName>
    <definedName name="story_cac_per_borrower">Outputs!$B$72</definedName>
    <definedName name="story_reach3">Outputs!$B$73</definedName>
    <definedName name="story_reach5">Outputs!$B$74</definedName>
    <definedName name="story_sec_start">Outputs!$B$75</definedName>
    <definedName name="story_sec_m12">Outputs!$B$76</definedName>
    <definedName name="story_rev60_gold">Outputs!$B$77</definedName>
    <definedName name="story_rev60_loans">Outputs!$B$78</definedName>
    <definedName name="story_rev60_ins">Outputs!$B$79</definedName>
  </definedNames>
  <calcPr calcId="124519" fullCalcOnLoad="1"/>
</workbook>
</file>

<file path=xl/styles.xml><?xml version="1.0" encoding="utf-8"?>
<styleSheet xmlns="http://schemas.openxmlformats.org/spreadsheetml/2006/main">
  <numFmts count="7">
    <numFmt numFmtId="164" formatCode="0.0%;(0.0%);&quot;-&quot;"/>
    <numFmt numFmtId="165" formatCode="#,##0;(#,##0);&quot;-&quot;"/>
    <numFmt numFmtId="166" formatCode="#,##0.00;(#,##0.00);&quot;-&quot;"/>
    <numFmt numFmtId="167" formatCode="#,##0.0;(#,##0.0);&quot;-&quot;"/>
    <numFmt numFmtId="168" formatCode="0.00&quot;x&quot;;(0.00&quot;x&quot;);&quot;-&quot;"/>
    <numFmt numFmtId="169" formatCode="0.0%"/>
    <numFmt numFmtId="170" formatCode="#,##0.0"/>
  </numFmts>
  <fonts count="12">
    <font>
      <name val="Calibri"/>
      <family val="2"/>
      <color theme="1"/>
      <sz val="11"/>
      <scheme val="minor"/>
    </font>
    <font>
      <name val="Arial"/>
      <b val="1"/>
      <sz val="14"/>
    </font>
    <font>
      <name val="Arial"/>
      <b val="1"/>
      <sz val="10"/>
    </font>
    <font>
      <name val="Arial"/>
      <b val="1"/>
      <color rgb="000000FF"/>
      <sz val="11"/>
    </font>
    <font>
      <name val="Arial"/>
      <i val="1"/>
      <color rgb="00555555"/>
      <sz val="9"/>
    </font>
    <font>
      <name val="Arial"/>
      <b val="1"/>
      <color rgb="00FFFFFF"/>
      <sz val="10"/>
    </font>
    <font>
      <name val="Arial"/>
      <b val="1"/>
      <i val="1"/>
      <sz val="10"/>
    </font>
    <font>
      <name val="Arial"/>
      <color rgb="00000000"/>
      <sz val="10"/>
    </font>
    <font>
      <name val="Arial"/>
      <color rgb="000000FF"/>
      <sz val="10"/>
    </font>
    <font>
      <name val="Arial"/>
      <color rgb="00008000"/>
      <sz val="10"/>
    </font>
    <font>
      <name val="Arial"/>
      <b val="1"/>
      <color rgb="00008000"/>
      <sz val="10"/>
    </font>
    <font>
      <name val="Arial"/>
      <sz val="10"/>
    </font>
  </fonts>
  <fills count="7">
    <fill>
      <patternFill/>
    </fill>
    <fill>
      <patternFill patternType="gray125"/>
    </fill>
    <fill>
      <patternFill patternType="solid">
        <fgColor rgb="00FFFF00"/>
      </patternFill>
    </fill>
    <fill>
      <patternFill patternType="solid">
        <fgColor rgb="001F3864"/>
      </patternFill>
    </fill>
    <fill>
      <patternFill patternType="solid">
        <fgColor rgb="00D9E1F2"/>
      </patternFill>
    </fill>
    <fill>
      <patternFill patternType="solid">
        <fgColor rgb="0014213D"/>
      </patternFill>
    </fill>
    <fill>
      <patternFill patternType="solid">
        <fgColor rgb="00FFF2CC"/>
      </patternFill>
    </fill>
  </fills>
  <borders count="2">
    <border>
      <left/>
      <right/>
      <top/>
      <bottom/>
      <diagonal/>
    </border>
    <border>
      <top style="thin"/>
    </border>
  </borders>
  <cellStyleXfs count="1">
    <xf numFmtId="0" fontId="0" fillId="0" borderId="0"/>
  </cellStyleXfs>
  <cellXfs count="78">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applyAlignment="1" pivotButton="0" quotePrefix="0" xfId="0">
      <alignment vertical="top" wrapText="1"/>
    </xf>
    <xf numFmtId="0" fontId="5" fillId="3" borderId="0" applyAlignment="1" pivotButton="0" quotePrefix="0" xfId="0">
      <alignment vertical="center" wrapText="1"/>
    </xf>
    <xf numFmtId="0" fontId="2" fillId="4" borderId="0" pivotButton="0" quotePrefix="0" xfId="0"/>
    <xf numFmtId="0" fontId="0" fillId="4" borderId="0" pivotButton="0" quotePrefix="0" xfId="0"/>
    <xf numFmtId="0" fontId="6" fillId="0" borderId="0" pivotButton="0" quotePrefix="0" xfId="0"/>
    <xf numFmtId="0" fontId="7" fillId="0" borderId="0" applyAlignment="1" pivotButton="0" quotePrefix="0" xfId="0">
      <alignment vertical="top"/>
    </xf>
    <xf numFmtId="0" fontId="7" fillId="0" borderId="0" applyAlignment="1" pivotButton="0" quotePrefix="0" xfId="0">
      <alignment vertical="top" wrapText="1"/>
    </xf>
    <xf numFmtId="3" fontId="8" fillId="0" borderId="0" applyAlignment="1" pivotButton="0" quotePrefix="0" xfId="0">
      <alignment vertical="top"/>
    </xf>
    <xf numFmtId="3" fontId="2" fillId="0" borderId="0" applyAlignment="1" pivotButton="0" quotePrefix="0" xfId="0">
      <alignment vertical="top"/>
    </xf>
    <xf numFmtId="164" fontId="8" fillId="0" borderId="0" applyAlignment="1" pivotButton="0" quotePrefix="0" xfId="0">
      <alignment vertical="top"/>
    </xf>
    <xf numFmtId="164" fontId="2" fillId="0" borderId="0" applyAlignment="1" pivotButton="0" quotePrefix="0" xfId="0">
      <alignment vertical="top"/>
    </xf>
    <xf numFmtId="4" fontId="8" fillId="0" borderId="0" applyAlignment="1" pivotButton="0" quotePrefix="0" xfId="0">
      <alignment vertical="top"/>
    </xf>
    <xf numFmtId="4" fontId="2" fillId="0" borderId="0" applyAlignment="1" pivotButton="0" quotePrefix="0" xfId="0">
      <alignment vertical="top"/>
    </xf>
    <xf numFmtId="0" fontId="7" fillId="2" borderId="0" applyAlignment="1" pivotButton="0" quotePrefix="0" xfId="0">
      <alignment vertical="top"/>
    </xf>
    <xf numFmtId="0" fontId="7" fillId="2" borderId="0" applyAlignment="1" pivotButton="0" quotePrefix="0" xfId="0">
      <alignment vertical="top" wrapText="1"/>
    </xf>
    <xf numFmtId="164" fontId="8" fillId="2" borderId="0" applyAlignment="1" pivotButton="0" quotePrefix="0" xfId="0">
      <alignment vertical="top"/>
    </xf>
    <xf numFmtId="164" fontId="2" fillId="2" borderId="0" applyAlignment="1" pivotButton="0" quotePrefix="0" xfId="0">
      <alignment vertical="top"/>
    </xf>
    <xf numFmtId="3" fontId="8" fillId="2" borderId="0" applyAlignment="1" pivotButton="0" quotePrefix="0" xfId="0">
      <alignment vertical="top"/>
    </xf>
    <xf numFmtId="3" fontId="2" fillId="2" borderId="0" applyAlignment="1" pivotButton="0" quotePrefix="0" xfId="0">
      <alignment vertical="top"/>
    </xf>
    <xf numFmtId="4" fontId="8" fillId="2" borderId="0" applyAlignment="1" pivotButton="0" quotePrefix="0" xfId="0">
      <alignment vertical="top"/>
    </xf>
    <xf numFmtId="4" fontId="2" fillId="2" borderId="0" applyAlignment="1" pivotButton="0" quotePrefix="0" xfId="0">
      <alignment vertical="top"/>
    </xf>
    <xf numFmtId="0" fontId="7" fillId="0" borderId="0" pivotButton="0" quotePrefix="0" xfId="0"/>
    <xf numFmtId="164" fontId="2" fillId="0" borderId="0" pivotButton="0" quotePrefix="0" xfId="0"/>
    <xf numFmtId="165" fontId="2" fillId="0" borderId="0" pivotButton="0" quotePrefix="0" xfId="0"/>
    <xf numFmtId="0" fontId="4" fillId="0" borderId="0" pivotButton="0" quotePrefix="0" xfId="0"/>
    <xf numFmtId="164" fontId="8" fillId="0" borderId="0" pivotButton="0" quotePrefix="0" xfId="0"/>
    <xf numFmtId="165" fontId="8" fillId="0" borderId="0" pivotButton="0" quotePrefix="0" xfId="0"/>
    <xf numFmtId="164" fontId="7" fillId="0" borderId="0" pivotButton="0" quotePrefix="0" xfId="0"/>
    <xf numFmtId="165" fontId="7" fillId="0" borderId="0" pivotButton="0" quotePrefix="0" xfId="0"/>
    <xf numFmtId="166" fontId="4" fillId="0" borderId="0" pivotButton="0" quotePrefix="0" xfId="0"/>
    <xf numFmtId="0" fontId="2" fillId="0" borderId="1" pivotButton="0" quotePrefix="0" xfId="0"/>
    <xf numFmtId="164" fontId="0" fillId="0" borderId="1" pivotButton="0" quotePrefix="0" xfId="0"/>
    <xf numFmtId="0" fontId="0" fillId="0" borderId="1" pivotButton="0" quotePrefix="0" xfId="0"/>
    <xf numFmtId="165" fontId="2" fillId="0" borderId="1" pivotButton="0" quotePrefix="0" xfId="0"/>
    <xf numFmtId="165" fontId="0" fillId="0" borderId="0" pivotButton="0" quotePrefix="0" xfId="0"/>
    <xf numFmtId="164" fontId="0" fillId="0" borderId="0" pivotButton="0" quotePrefix="0" xfId="0"/>
    <xf numFmtId="165" fontId="9" fillId="0" borderId="0" pivotButton="0" quotePrefix="0" xfId="0"/>
    <xf numFmtId="0" fontId="5" fillId="3" borderId="0" pivotButton="0" quotePrefix="0" xfId="0"/>
    <xf numFmtId="167" fontId="8" fillId="0" borderId="0" pivotButton="0" quotePrefix="0" xfId="0"/>
    <xf numFmtId="167" fontId="7" fillId="0" borderId="0" pivotButton="0" quotePrefix="0" xfId="0"/>
    <xf numFmtId="166" fontId="8" fillId="0" borderId="0" pivotButton="0" quotePrefix="0" xfId="0"/>
    <xf numFmtId="166" fontId="7" fillId="0" borderId="0" pivotButton="0" quotePrefix="0" xfId="0"/>
    <xf numFmtId="1" fontId="7" fillId="0" borderId="0" pivotButton="0" quotePrefix="0" xfId="0"/>
    <xf numFmtId="166" fontId="0" fillId="0" borderId="0" pivotButton="0" quotePrefix="0" xfId="0"/>
    <xf numFmtId="1" fontId="0" fillId="0" borderId="0" pivotButton="0" quotePrefix="0" xfId="0"/>
    <xf numFmtId="10" fontId="9" fillId="0" borderId="0" pivotButton="0" quotePrefix="0" xfId="0"/>
    <xf numFmtId="166" fontId="9" fillId="0" borderId="0" pivotButton="0" quotePrefix="0" xfId="0"/>
    <xf numFmtId="166" fontId="2" fillId="0" borderId="0" pivotButton="0" quotePrefix="0" xfId="0"/>
    <xf numFmtId="165" fontId="10" fillId="0" borderId="0" pivotButton="0" quotePrefix="0" xfId="0"/>
    <xf numFmtId="1" fontId="10" fillId="0" borderId="0" pivotButton="0" quotePrefix="0" xfId="0"/>
    <xf numFmtId="1" fontId="9" fillId="0" borderId="0" pivotButton="0" quotePrefix="0" xfId="0"/>
    <xf numFmtId="168" fontId="10" fillId="0" borderId="0" pivotButton="0" quotePrefix="0" xfId="0"/>
    <xf numFmtId="168" fontId="9" fillId="0" borderId="0" pivotButton="0" quotePrefix="0" xfId="0"/>
    <xf numFmtId="166" fontId="10" fillId="0" borderId="0" pivotButton="0" quotePrefix="0" xfId="0"/>
    <xf numFmtId="164" fontId="9" fillId="0" borderId="0" pivotButton="0" quotePrefix="0" xfId="0"/>
    <xf numFmtId="167" fontId="9" fillId="0" borderId="0" pivotButton="0" quotePrefix="0" xfId="0"/>
    <xf numFmtId="0" fontId="8" fillId="0" borderId="0" pivotButton="0" quotePrefix="0" xfId="0"/>
    <xf numFmtId="1" fontId="2" fillId="0" borderId="0" pivotButton="0" quotePrefix="0" xfId="0"/>
    <xf numFmtId="168" fontId="2" fillId="0" borderId="0" pivotButton="0" quotePrefix="0" xfId="0"/>
    <xf numFmtId="168" fontId="0" fillId="0" borderId="0" pivotButton="0" quotePrefix="0" xfId="0"/>
    <xf numFmtId="0" fontId="5" fillId="5" borderId="0" applyAlignment="1" pivotButton="0" quotePrefix="0" xfId="0">
      <alignment vertical="center" wrapText="1"/>
    </xf>
    <xf numFmtId="0" fontId="11" fillId="0" borderId="0" pivotButton="0" quotePrefix="0" xfId="0"/>
    <xf numFmtId="169" fontId="11" fillId="0" borderId="0" pivotButton="0" quotePrefix="0" xfId="0"/>
    <xf numFmtId="0" fontId="11" fillId="6" borderId="0" pivotButton="0" quotePrefix="0" xfId="0"/>
    <xf numFmtId="169" fontId="11" fillId="6" borderId="0" pivotButton="0" quotePrefix="0" xfId="0"/>
    <xf numFmtId="4" fontId="11" fillId="0" borderId="0" pivotButton="0" quotePrefix="0" xfId="0"/>
    <xf numFmtId="2" fontId="11" fillId="0" borderId="0" pivotButton="0" quotePrefix="0" xfId="0"/>
    <xf numFmtId="3" fontId="11" fillId="0" borderId="0" pivotButton="0" quotePrefix="0" xfId="0"/>
    <xf numFmtId="9" fontId="11" fillId="0" borderId="0" pivotButton="0" quotePrefix="0" xfId="0"/>
    <xf numFmtId="170" fontId="11" fillId="0" borderId="0" pivotButton="0" quotePrefix="0" xfId="0"/>
    <xf numFmtId="1" fontId="11" fillId="0" borderId="0" pivotButton="0" quotePrefix="0" xfId="0"/>
    <xf numFmtId="168" fontId="7" fillId="0" borderId="0" pivotButton="0" quotePrefix="0" xfId="0"/>
    <xf numFmtId="167" fontId="2" fillId="0" borderId="0" pivotButton="0" quotePrefix="0" xfId="0"/>
    <xf numFmtId="168"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8" customWidth="1" min="1" max="1"/>
    <col width="46" customWidth="1" min="2" max="2"/>
    <col width="10" customWidth="1" min="3" max="3"/>
    <col width="10" customWidth="1" min="4" max="4"/>
    <col width="10" customWidth="1" min="5" max="5"/>
    <col width="11" customWidth="1" min="6" max="6"/>
    <col width="10" customWidth="1" min="7" max="7"/>
    <col width="10" customWidth="1" min="8" max="8"/>
    <col width="10" customWidth="1" min="9" max="9"/>
    <col width="11" customWidth="1" min="10" max="10"/>
    <col width="20" customWidth="1" min="11" max="11"/>
    <col width="30" customWidth="1" min="12" max="12"/>
    <col width="26" customWidth="1" min="13" max="13"/>
    <col width="26" customWidth="1" min="14" max="14"/>
    <col width="30" customWidth="1" min="15" max="15"/>
    <col width="11" customWidth="1" min="16" max="16"/>
    <col width="50" customWidth="1" min="17" max="17"/>
  </cols>
  <sheetData>
    <row r="1">
      <c r="A1" s="1" t="inlineStr">
        <is>
          <t>Inputs: every assumption, one row each</t>
        </is>
      </c>
    </row>
    <row r="2">
      <c r="A2" s="2" t="inlineStr">
        <is>
          <t>Scenario (1 = bear, 2 = base, 3 = bull)</t>
        </is>
      </c>
      <c r="C2" s="3" t="n">
        <v>2</v>
      </c>
      <c r="D2" s="2">
        <f>CHOOSE(scenario,"Bear","Base","Bull")</f>
        <v/>
      </c>
    </row>
    <row r="3" ht="30" customHeight="1">
      <c r="A3" s="4" t="inlineStr">
        <is>
          <t>Blue = typed input. Black = formula. Green = link to another sheet. Yellow row = waiting on research, or a claim the pilot must prove. Every model cell uses the LIVE column, which follows the scenario switch in C2. Channel inputs sit on 'Funnel &amp; CAC'; yearly growth inputs on 'Path to $100M'.</t>
        </is>
      </c>
    </row>
    <row r="5">
      <c r="A5" s="5" t="inlineStr">
        <is>
          <t>id</t>
        </is>
      </c>
      <c r="B5" s="5" t="inlineStr">
        <is>
          <t>Assumption</t>
        </is>
      </c>
      <c r="C5" s="5" t="inlineStr">
        <is>
          <t>Bear</t>
        </is>
      </c>
      <c r="D5" s="5" t="inlineStr">
        <is>
          <t>Base</t>
        </is>
      </c>
      <c r="E5" s="5" t="inlineStr">
        <is>
          <t>Bull</t>
        </is>
      </c>
      <c r="F5" s="5" t="inlineStr">
        <is>
          <t>LIVE (gig)</t>
        </is>
      </c>
      <c r="G5" s="5" t="inlineStr">
        <is>
          <t>Non-gig bear</t>
        </is>
      </c>
      <c r="H5" s="5" t="inlineStr">
        <is>
          <t>Non-gig base</t>
        </is>
      </c>
      <c r="I5" s="5" t="inlineStr">
        <is>
          <t>Non-gig bull</t>
        </is>
      </c>
      <c r="J5" s="5" t="inlineStr">
        <is>
          <t>LIVE (non-gig)</t>
        </is>
      </c>
      <c r="K5" s="5" t="inlineStr">
        <is>
          <t>Unit</t>
        </is>
      </c>
      <c r="L5" s="5" t="inlineStr">
        <is>
          <t>Population</t>
        </is>
      </c>
      <c r="M5" s="5" t="inlineStr">
        <is>
          <t>Basis</t>
        </is>
      </c>
      <c r="N5" s="5" t="inlineStr">
        <is>
          <t>Non-gig basis</t>
        </is>
      </c>
      <c r="O5" s="5" t="inlineStr">
        <is>
          <t>Source</t>
        </is>
      </c>
      <c r="P5" s="5" t="inlineStr">
        <is>
          <t>As of</t>
        </is>
      </c>
      <c r="Q5" s="5" t="inlineStr">
        <is>
          <t>Notes</t>
        </is>
      </c>
    </row>
    <row r="6">
      <c r="A6" s="6" t="inlineStr">
        <is>
          <t>Savings-first model (non-gig columns blank = same as gig)</t>
        </is>
      </c>
      <c r="B6" s="7" t="n"/>
      <c r="C6" s="7" t="n"/>
      <c r="D6" s="7" t="n"/>
      <c r="E6" s="7" t="n"/>
      <c r="F6" s="7" t="n"/>
      <c r="G6" s="7" t="n"/>
      <c r="H6" s="7" t="n"/>
      <c r="I6" s="7" t="n"/>
      <c r="J6" s="7" t="n"/>
      <c r="K6" s="7" t="n"/>
      <c r="L6" s="7" t="n"/>
      <c r="M6" s="7" t="n"/>
      <c r="N6" s="7" t="n"/>
      <c r="O6" s="7" t="n"/>
      <c r="P6" s="7" t="n"/>
      <c r="Q6" s="7" t="n"/>
    </row>
    <row r="7">
      <c r="B7" s="8" t="inlineStr">
        <is>
          <t>General</t>
        </is>
      </c>
    </row>
    <row r="8">
      <c r="A8" s="9" t="inlineStr">
        <is>
          <t>cohort_size</t>
        </is>
      </c>
      <c r="B8" s="10" t="inlineStr">
        <is>
          <t>Activated savers in one monthly cohort</t>
        </is>
      </c>
      <c r="C8" s="11" t="n">
        <v>1000</v>
      </c>
      <c r="D8" s="11" t="n">
        <v>1000</v>
      </c>
      <c r="E8" s="11" t="n">
        <v>1000</v>
      </c>
      <c r="F8" s="12">
        <f>CHOOSE(scenario,C8,D8,E8)</f>
        <v/>
      </c>
      <c r="G8" s="11" t="n"/>
      <c r="H8" s="11" t="n"/>
      <c r="I8" s="11" t="n"/>
      <c r="J8" s="12">
        <f>IF(H8="",F8,CHOOSE(scenario,G8,H8,I8))</f>
        <v/>
      </c>
      <c r="K8" s="9" t="inlineStr">
        <is>
          <t>savers</t>
        </is>
      </c>
      <c r="L8" s="10" t="inlineStr">
        <is>
          <t>one monthly cohort</t>
        </is>
      </c>
      <c r="M8" s="9" t="inlineStr">
        <is>
          <t>definition</t>
        </is>
      </c>
      <c r="N8" s="9" t="inlineStr"/>
      <c r="O8" s="9" t="inlineStr"/>
      <c r="P8" s="9" t="inlineStr">
        <is>
          <t>2026-09-30</t>
        </is>
      </c>
      <c r="Q8" s="10" t="inlineStr">
        <is>
          <t>Activated = first successful auto-debit</t>
        </is>
      </c>
    </row>
    <row r="9">
      <c r="A9" s="9" t="inlineStr">
        <is>
          <t>mix_gig</t>
        </is>
      </c>
      <c r="B9" s="10" t="inlineStr">
        <is>
          <t>Share of activated savers who are gig workers</t>
        </is>
      </c>
      <c r="C9" s="13" t="n">
        <v>0.5</v>
      </c>
      <c r="D9" s="13" t="n">
        <v>0.5</v>
      </c>
      <c r="E9" s="13" t="n">
        <v>0.5</v>
      </c>
      <c r="F9" s="14">
        <f>CHOOSE(scenario,C9,D9,E9)</f>
        <v/>
      </c>
      <c r="G9" s="13" t="n"/>
      <c r="H9" s="13" t="n"/>
      <c r="I9" s="13" t="n"/>
      <c r="J9" s="14">
        <f>IF(H9="",F9,CHOOSE(scenario,G9,H9,I9))</f>
        <v/>
      </c>
      <c r="K9" s="9" t="inlineStr">
        <is>
          <t>share</t>
        </is>
      </c>
      <c r="L9" s="10" t="inlineStr">
        <is>
          <t>each monthly cohort</t>
        </is>
      </c>
      <c r="M9" s="9" t="inlineStr">
        <is>
          <t>founder decision (2026-09-30)</t>
        </is>
      </c>
      <c r="N9" s="9" t="inlineStr"/>
      <c r="O9" s="9" t="inlineStr"/>
      <c r="P9" s="9" t="inlineStr">
        <is>
          <t>2026-09-30</t>
        </is>
      </c>
      <c r="Q9" s="10" t="inlineStr">
        <is>
          <t>Half gig (app delivery and ride), half non-gig (shopkeepers, self-employed trades, workers outside the apps, small business owners), from day one</t>
        </is>
      </c>
    </row>
    <row r="10">
      <c r="A10" s="9" t="inlineStr">
        <is>
          <t>disc_rate</t>
        </is>
      </c>
      <c r="B10" s="10" t="inlineStr">
        <is>
          <t>Discount rate for LTV</t>
        </is>
      </c>
      <c r="C10" s="13" t="n">
        <v>0.2</v>
      </c>
      <c r="D10" s="13" t="n">
        <v>0.2</v>
      </c>
      <c r="E10" s="13" t="n">
        <v>0.2</v>
      </c>
      <c r="F10" s="14">
        <f>CHOOSE(scenario,C10,D10,E10)</f>
        <v/>
      </c>
      <c r="G10" s="13" t="n"/>
      <c r="H10" s="13" t="n"/>
      <c r="I10" s="13" t="n"/>
      <c r="J10" s="14">
        <f>IF(H10="",F10,CHOOSE(scenario,G10,H10,I10))</f>
        <v/>
      </c>
      <c r="K10" s="9" t="inlineStr">
        <is>
          <t>per year</t>
        </is>
      </c>
      <c r="L10" s="10" t="inlineStr">
        <is>
          <t>all cash flows</t>
        </is>
      </c>
      <c r="M10" s="9" t="inlineStr">
        <is>
          <t>assumption</t>
        </is>
      </c>
      <c r="N10" s="9" t="inlineStr"/>
      <c r="O10" s="9" t="inlineStr"/>
      <c r="P10" s="9" t="inlineStr">
        <is>
          <t>2026-09-30</t>
        </is>
      </c>
      <c r="Q10" s="10" t="inlineStr">
        <is>
          <t>Stated on every LTV figure</t>
        </is>
      </c>
    </row>
    <row r="11">
      <c r="A11" s="9" t="inlineStr">
        <is>
          <t>usd_inr</t>
        </is>
      </c>
      <c r="B11" s="10" t="inlineStr">
        <is>
          <t>Rupees per US dollar</t>
        </is>
      </c>
      <c r="C11" s="15" t="n">
        <v>96.09999999999999</v>
      </c>
      <c r="D11" s="15" t="n">
        <v>96.09999999999999</v>
      </c>
      <c r="E11" s="15" t="n">
        <v>96.09999999999999</v>
      </c>
      <c r="F11" s="16">
        <f>CHOOSE(scenario,C11,D11,E11)</f>
        <v/>
      </c>
      <c r="G11" s="15" t="n"/>
      <c r="H11" s="15" t="n"/>
      <c r="I11" s="15" t="n"/>
      <c r="J11" s="16">
        <f>IF(H11="",F11,CHOOSE(scenario,G11,H11,I11))</f>
        <v/>
      </c>
      <c r="K11" s="9" t="inlineStr">
        <is>
          <t>INR per USD</t>
        </is>
      </c>
      <c r="L11" s="10" t="inlineStr">
        <is>
          <t>conversion for $ figures</t>
        </is>
      </c>
      <c r="M11" s="9" t="inlineStr">
        <is>
          <t>market rate</t>
        </is>
      </c>
      <c r="N11" s="9" t="inlineStr"/>
      <c r="O11" s="9" t="inlineStr">
        <is>
          <t>OWN-01</t>
        </is>
      </c>
      <c r="P11" s="9" t="inlineStr">
        <is>
          <t>2026-09-30</t>
        </is>
      </c>
      <c r="Q11" s="10" t="inlineStr">
        <is>
          <t>Spot rate on 30 Sep 2026</t>
        </is>
      </c>
    </row>
    <row r="12">
      <c r="B12" s="8" t="inlineStr">
        <is>
          <t>Retention</t>
        </is>
      </c>
    </row>
    <row r="13">
      <c r="A13" s="9" t="inlineStr">
        <is>
          <t>ret_m1</t>
        </is>
      </c>
      <c r="B13" s="10" t="inlineStr">
        <is>
          <t>Share of activated savers still saving in month 1</t>
        </is>
      </c>
      <c r="C13" s="13" t="n">
        <v>0.6</v>
      </c>
      <c r="D13" s="13" t="n">
        <v>0.7</v>
      </c>
      <c r="E13" s="13" t="n">
        <v>0.8</v>
      </c>
      <c r="F13" s="14">
        <f>CHOOSE(scenario,C13,D13,E13)</f>
        <v/>
      </c>
      <c r="G13" s="13" t="n">
        <v>0.7</v>
      </c>
      <c r="H13" s="13" t="n">
        <v>0.72</v>
      </c>
      <c r="I13" s="13" t="n">
        <v>0.8</v>
      </c>
      <c r="J13" s="14">
        <f>IF(H13="",F13,CHOOSE(scenario,G13,H13,I13))</f>
        <v/>
      </c>
      <c r="K13" s="9" t="inlineStr">
        <is>
          <t>share</t>
        </is>
      </c>
      <c r="L13" s="10" t="inlineStr">
        <is>
          <t>per activated saver</t>
        </is>
      </c>
      <c r="M13" s="9" t="inlineStr">
        <is>
          <t>founder view (2026-09-30)</t>
        </is>
      </c>
      <c r="N13" s="9" t="inlineStr">
        <is>
          <t>benchmark proxies + judgement (no shopkeeper-specific data)</t>
        </is>
      </c>
      <c r="O13" s="9" t="inlineStr">
        <is>
          <t>INC-01</t>
        </is>
      </c>
      <c r="P13" s="9" t="inlineStr">
        <is>
          <t>2026-09-30</t>
        </is>
      </c>
      <c r="Q13" s="10" t="inlineStr">
        <is>
          <t>Shape interpolated to meet the founder's 20 at 1 year / 10 at 2 years</t>
        </is>
      </c>
    </row>
    <row r="14">
      <c r="A14" s="9" t="inlineStr">
        <is>
          <t>ret_m3</t>
        </is>
      </c>
      <c r="B14" s="10" t="inlineStr">
        <is>
          <t>Still saving in month 3</t>
        </is>
      </c>
      <c r="C14" s="13" t="n">
        <v>0.38</v>
      </c>
      <c r="D14" s="13" t="n">
        <v>0.48</v>
      </c>
      <c r="E14" s="13" t="n">
        <v>0.6</v>
      </c>
      <c r="F14" s="14">
        <f>CHOOSE(scenario,C14,D14,E14)</f>
        <v/>
      </c>
      <c r="G14" s="13" t="n">
        <v>0.48</v>
      </c>
      <c r="H14" s="13" t="n">
        <v>0.53</v>
      </c>
      <c r="I14" s="13" t="n">
        <v>0.65</v>
      </c>
      <c r="J14" s="14">
        <f>IF(H14="",F14,CHOOSE(scenario,G14,H14,I14))</f>
        <v/>
      </c>
      <c r="K14" s="9" t="inlineStr">
        <is>
          <t>share</t>
        </is>
      </c>
      <c r="L14" s="10" t="inlineStr">
        <is>
          <t>per activated saver</t>
        </is>
      </c>
      <c r="M14" s="9" t="inlineStr">
        <is>
          <t>founder view (2026-09-30)</t>
        </is>
      </c>
      <c r="N14" s="9" t="inlineStr">
        <is>
          <t>benchmark proxies + judgement (no shopkeeper-specific data)</t>
        </is>
      </c>
      <c r="O14" s="9" t="inlineStr">
        <is>
          <t>INC-01</t>
        </is>
      </c>
      <c r="P14" s="9" t="inlineStr">
        <is>
          <t>2026-09-30</t>
        </is>
      </c>
      <c r="Q14" s="10" t="inlineStr"/>
    </row>
    <row r="15">
      <c r="A15" s="9" t="inlineStr">
        <is>
          <t>ret_m6</t>
        </is>
      </c>
      <c r="B15" s="10" t="inlineStr">
        <is>
          <t>Still saving in month 6</t>
        </is>
      </c>
      <c r="C15" s="13" t="n">
        <v>0.24</v>
      </c>
      <c r="D15" s="13" t="n">
        <v>0.33</v>
      </c>
      <c r="E15" s="13" t="n">
        <v>0.45</v>
      </c>
      <c r="F15" s="14">
        <f>CHOOSE(scenario,C15,D15,E15)</f>
        <v/>
      </c>
      <c r="G15" s="13" t="n">
        <v>0.33</v>
      </c>
      <c r="H15" s="13" t="n">
        <v>0.4</v>
      </c>
      <c r="I15" s="13" t="n">
        <v>0.53</v>
      </c>
      <c r="J15" s="14">
        <f>IF(H15="",F15,CHOOSE(scenario,G15,H15,I15))</f>
        <v/>
      </c>
      <c r="K15" s="9" t="inlineStr">
        <is>
          <t>share</t>
        </is>
      </c>
      <c r="L15" s="10" t="inlineStr">
        <is>
          <t>per activated saver</t>
        </is>
      </c>
      <c r="M15" s="9" t="inlineStr">
        <is>
          <t>founder view (2026-09-30)</t>
        </is>
      </c>
      <c r="N15" s="9" t="inlineStr">
        <is>
          <t>benchmark proxies + judgement (no shopkeeper-specific data); SBI daily Rs 250 SIP lost 35.6% of FY26 registrations within the year</t>
        </is>
      </c>
      <c r="O15" s="9" t="inlineStr">
        <is>
          <t>INC-01</t>
        </is>
      </c>
      <c r="P15" s="9" t="inlineStr">
        <is>
          <t>2026-09-30</t>
        </is>
      </c>
      <c r="Q15" s="10" t="inlineStr"/>
    </row>
    <row r="16">
      <c r="A16" s="9" t="inlineStr">
        <is>
          <t>ret_m12</t>
        </is>
      </c>
      <c r="B16" s="10" t="inlineStr">
        <is>
          <t>Still saving in month 12</t>
        </is>
      </c>
      <c r="C16" s="13" t="n">
        <v>0.13</v>
      </c>
      <c r="D16" s="13" t="n">
        <v>0.2</v>
      </c>
      <c r="E16" s="13" t="n">
        <v>0.32</v>
      </c>
      <c r="F16" s="14">
        <f>CHOOSE(scenario,C16,D16,E16)</f>
        <v/>
      </c>
      <c r="G16" s="13" t="n">
        <v>0.2</v>
      </c>
      <c r="H16" s="13" t="n">
        <v>0.25</v>
      </c>
      <c r="I16" s="13" t="n">
        <v>0.4</v>
      </c>
      <c r="J16" s="14">
        <f>IF(H16="",F16,CHOOSE(scenario,G16,H16,I16))</f>
        <v/>
      </c>
      <c r="K16" s="9" t="inlineStr">
        <is>
          <t>share</t>
        </is>
      </c>
      <c r="L16" s="10" t="inlineStr">
        <is>
          <t>per activated saver</t>
        </is>
      </c>
      <c r="M16" s="9" t="inlineStr">
        <is>
          <t>founder view (2026-09-30)</t>
        </is>
      </c>
      <c r="N16" s="9" t="inlineStr">
        <is>
          <t>benchmark proxies + judgement (no shopkeeper-specific data); bear = gig base</t>
        </is>
      </c>
      <c r="O16" s="9" t="inlineStr">
        <is>
          <t>INC-01</t>
        </is>
      </c>
      <c r="P16" s="9" t="inlineStr">
        <is>
          <t>2026-09-30</t>
        </is>
      </c>
      <c r="Q16" s="10" t="inlineStr">
        <is>
          <t>Founder: of 100 who start, about 20 still saving after a year. Rider tenure averages about 13 months [INC-01].</t>
        </is>
      </c>
    </row>
    <row r="17">
      <c r="A17" s="9" t="inlineStr">
        <is>
          <t>ret_m24</t>
        </is>
      </c>
      <c r="B17" s="10" t="inlineStr">
        <is>
          <t>Still saving in month 24</t>
        </is>
      </c>
      <c r="C17" s="13" t="n">
        <v>0.06</v>
      </c>
      <c r="D17" s="13" t="n">
        <v>0.1</v>
      </c>
      <c r="E17" s="13" t="n">
        <v>0.2</v>
      </c>
      <c r="F17" s="14">
        <f>CHOOSE(scenario,C17,D17,E17)</f>
        <v/>
      </c>
      <c r="G17" s="13" t="n">
        <v>0.1</v>
      </c>
      <c r="H17" s="13" t="n">
        <v>0.15</v>
      </c>
      <c r="I17" s="13" t="n">
        <v>0.25</v>
      </c>
      <c r="J17" s="14">
        <f>IF(H17="",F17,CHOOSE(scenario,G17,H17,I17))</f>
        <v/>
      </c>
      <c r="K17" s="9" t="inlineStr">
        <is>
          <t>share</t>
        </is>
      </c>
      <c r="L17" s="10" t="inlineStr">
        <is>
          <t>per activated saver</t>
        </is>
      </c>
      <c r="M17" s="9" t="inlineStr">
        <is>
          <t>founder view (2026-09-30)</t>
        </is>
      </c>
      <c r="N17" s="9" t="inlineStr">
        <is>
          <t>benchmark proxies + judgement (no shopkeeper-specific data)</t>
        </is>
      </c>
      <c r="O17" s="9" t="inlineStr">
        <is>
          <t>INC-01</t>
        </is>
      </c>
      <c r="P17" s="9" t="inlineStr">
        <is>
          <t>2026-09-30</t>
        </is>
      </c>
      <c r="Q17" s="10" t="inlineStr">
        <is>
          <t>Founder: about 10 of 100 still saving after two years.</t>
        </is>
      </c>
    </row>
    <row r="18">
      <c r="A18" s="9" t="inlineStr">
        <is>
          <t>churn_late</t>
        </is>
      </c>
      <c r="B18" s="10" t="inlineStr">
        <is>
          <t>Monthly churn after month 24</t>
        </is>
      </c>
      <c r="C18" s="13" t="n">
        <v>0.03</v>
      </c>
      <c r="D18" s="13" t="n">
        <v>0.02</v>
      </c>
      <c r="E18" s="13" t="n">
        <v>0.012</v>
      </c>
      <c r="F18" s="14">
        <f>CHOOSE(scenario,C18,D18,E18)</f>
        <v/>
      </c>
      <c r="G18" s="13" t="n">
        <v>0.02</v>
      </c>
      <c r="H18" s="13" t="n">
        <v>0.015</v>
      </c>
      <c r="I18" s="13" t="n">
        <v>0.01</v>
      </c>
      <c r="J18" s="14">
        <f>IF(H18="",F18,CHOOSE(scenario,G18,H18,I18))</f>
        <v/>
      </c>
      <c r="K18" s="9" t="inlineStr">
        <is>
          <t>share per month</t>
        </is>
      </c>
      <c r="L18" s="10" t="inlineStr">
        <is>
          <t>active savers after month 24</t>
        </is>
      </c>
      <c r="M18" s="9" t="inlineStr">
        <is>
          <t>assumption</t>
        </is>
      </c>
      <c r="N18" s="9" t="inlineStr">
        <is>
          <t>assumption</t>
        </is>
      </c>
      <c r="O18" s="9" t="inlineStr"/>
      <c r="P18" s="9" t="inlineStr">
        <is>
          <t>2026-09-30</t>
        </is>
      </c>
      <c r="Q18" s="10" t="inlineStr"/>
    </row>
    <row r="19">
      <c r="B19" s="8" t="inlineStr">
        <is>
          <t>Saving</t>
        </is>
      </c>
    </row>
    <row r="20">
      <c r="A20" s="9" t="inlineStr">
        <is>
          <t>daily_amount</t>
        </is>
      </c>
      <c r="B20" s="10" t="inlineStr">
        <is>
          <t>Amount per successful debit</t>
        </is>
      </c>
      <c r="C20" s="11" t="n">
        <v>25</v>
      </c>
      <c r="D20" s="11" t="n">
        <v>40</v>
      </c>
      <c r="E20" s="11" t="n">
        <v>60</v>
      </c>
      <c r="F20" s="12">
        <f>CHOOSE(scenario,C20,D20,E20)</f>
        <v/>
      </c>
      <c r="G20" s="11" t="n">
        <v>30</v>
      </c>
      <c r="H20" s="11" t="n">
        <v>50</v>
      </c>
      <c r="I20" s="11" t="n">
        <v>100</v>
      </c>
      <c r="J20" s="12">
        <f>IF(H20="",F20,CHOOSE(scenario,G20,H20,I20))</f>
        <v/>
      </c>
      <c r="K20" s="9" t="inlineStr">
        <is>
          <t>INR per debit</t>
        </is>
      </c>
      <c r="L20" s="10" t="inlineStr">
        <is>
          <t>active savers year 1</t>
        </is>
      </c>
      <c r="M20" s="9" t="inlineStr">
        <is>
          <t>assumption, sized against income</t>
        </is>
      </c>
      <c r="N20" s="9" t="inlineStr">
        <is>
          <t>benchmark: vendors save 2.2x drivers (Kenya RCT); Bachatt Rs 100-200/day and pigmy Rs 100+/day tickets; mix includes low earners. Income is NOT a clean comparison: PLFS self-employed earnings (Rs 23k urban) may be before business costs, gig Rs 18.8k is net</t>
        </is>
      </c>
      <c r="O20" s="9" t="inlineStr">
        <is>
          <t>INC-01, BAC-04, REG-043</t>
        </is>
      </c>
      <c r="P20" s="9" t="inlineStr">
        <is>
          <t>2026-09-30</t>
        </is>
      </c>
      <c r="Q20" s="10" t="inlineStr">
        <is>
          <t>Daily design chosen by founder (2026-09-30). Rs 40 x 20 debits = Rs 800/month, about 4% of a full-time rider's net Rs 18,761. CONSTRAINT: daily fund saving needs at least Rs 100 a debit [REG-043]; Rs 10-99 a day works only with digital gold (gold_on) or by accumulating in the worker's own bank.</t>
        </is>
      </c>
    </row>
    <row r="21">
      <c r="A21" s="9" t="inlineStr">
        <is>
          <t>amount_growth</t>
        </is>
      </c>
      <c r="B21" s="10" t="inlineStr">
        <is>
          <t>Yearly growth in amount per debit</t>
        </is>
      </c>
      <c r="C21" s="13" t="n">
        <v>0.05</v>
      </c>
      <c r="D21" s="13" t="n">
        <v>0.1</v>
      </c>
      <c r="E21" s="13" t="n">
        <v>0.15</v>
      </c>
      <c r="F21" s="14">
        <f>CHOOSE(scenario,C21,D21,E21)</f>
        <v/>
      </c>
      <c r="G21" s="13" t="n"/>
      <c r="H21" s="13" t="n"/>
      <c r="I21" s="13" t="n"/>
      <c r="J21" s="14">
        <f>IF(H21="",F21,CHOOSE(scenario,G21,H21,I21))</f>
        <v/>
      </c>
      <c r="K21" s="9" t="inlineStr">
        <is>
          <t>per year</t>
        </is>
      </c>
      <c r="L21" s="10" t="inlineStr">
        <is>
          <t>active savers</t>
        </is>
      </c>
      <c r="M21" s="9" t="inlineStr">
        <is>
          <t>assumption</t>
        </is>
      </c>
      <c r="N21" s="9" t="inlineStr"/>
      <c r="O21" s="9" t="inlineStr"/>
      <c r="P21" s="9" t="inlineStr">
        <is>
          <t>2026-09-30</t>
        </is>
      </c>
      <c r="Q21" s="10" t="inlineStr"/>
    </row>
    <row r="22">
      <c r="A22" s="9" t="inlineStr">
        <is>
          <t>debits_scheduled</t>
        </is>
      </c>
      <c r="B22" s="10" t="inlineStr">
        <is>
          <t>Debits scheduled per month</t>
        </is>
      </c>
      <c r="C22" s="11" t="n">
        <v>30</v>
      </c>
      <c r="D22" s="11" t="n">
        <v>30</v>
      </c>
      <c r="E22" s="11" t="n">
        <v>30</v>
      </c>
      <c r="F22" s="12">
        <f>CHOOSE(scenario,C22,D22,E22)</f>
        <v/>
      </c>
      <c r="G22" s="11" t="n"/>
      <c r="H22" s="11" t="n"/>
      <c r="I22" s="11" t="n"/>
      <c r="J22" s="12">
        <f>IF(H22="",F22,CHOOSE(scenario,G22,H22,I22))</f>
        <v/>
      </c>
      <c r="K22" s="9" t="inlineStr">
        <is>
          <t>debits per month</t>
        </is>
      </c>
      <c r="L22" s="10" t="inlineStr">
        <is>
          <t>active savers</t>
        </is>
      </c>
      <c r="M22" s="9" t="inlineStr">
        <is>
          <t>product design</t>
        </is>
      </c>
      <c r="N22" s="9" t="inlineStr"/>
      <c r="O22" s="9" t="inlineStr"/>
      <c r="P22" s="9" t="inlineStr">
        <is>
          <t>2026-09-30</t>
        </is>
      </c>
      <c r="Q22" s="10" t="inlineStr">
        <is>
          <t>Daily plan; set 4 for a weekly plan</t>
        </is>
      </c>
    </row>
    <row r="23">
      <c r="A23" s="9" t="inlineStr">
        <is>
          <t>debits_success</t>
        </is>
      </c>
      <c r="B23" s="10" t="inlineStr">
        <is>
          <t>Successful debits per month</t>
        </is>
      </c>
      <c r="C23" s="11" t="n">
        <v>15</v>
      </c>
      <c r="D23" s="11" t="n">
        <v>20</v>
      </c>
      <c r="E23" s="11" t="n">
        <v>24</v>
      </c>
      <c r="F23" s="12">
        <f>CHOOSE(scenario,C23,D23,E23)</f>
        <v/>
      </c>
      <c r="G23" s="11" t="n">
        <v>16</v>
      </c>
      <c r="H23" s="11" t="n">
        <v>22</v>
      </c>
      <c r="I23" s="11" t="n">
        <v>25</v>
      </c>
      <c r="J23" s="12">
        <f>IF(H23="",F23,CHOOSE(scenario,G23,H23,I23))</f>
        <v/>
      </c>
      <c r="K23" s="9" t="inlineStr">
        <is>
          <t>debits per month</t>
        </is>
      </c>
      <c r="L23" s="10" t="inlineStr">
        <is>
          <t>active savers</t>
        </is>
      </c>
      <c r="M23" s="9" t="inlineStr">
        <is>
          <t>assumption</t>
        </is>
      </c>
      <c r="N23" s="9" t="inlineStr">
        <is>
          <t>assumption: daily cash flow bounces fewer debits</t>
        </is>
      </c>
      <c r="O23" s="9" t="inlineStr">
        <is>
          <t>REG-047</t>
        </is>
      </c>
      <c r="P23" s="9" t="inlineStr">
        <is>
          <t>2026-09-30</t>
        </is>
      </c>
      <c r="Q23" s="10" t="inlineStr">
        <is>
          <t>Daily plan. Debits may run only outside peak hours; one attempt plus three retries.</t>
        </is>
      </c>
    </row>
    <row r="24">
      <c r="A24" s="9" t="inlineStr">
        <is>
          <t>withdraw_rate</t>
        </is>
      </c>
      <c r="B24" s="10" t="inlineStr">
        <is>
          <t>Share of balance withdrawn per month by active savers</t>
        </is>
      </c>
      <c r="C24" s="13" t="n">
        <v>0.15</v>
      </c>
      <c r="D24" s="13" t="n">
        <v>0.1</v>
      </c>
      <c r="E24" s="13" t="n">
        <v>0.06</v>
      </c>
      <c r="F24" s="14">
        <f>CHOOSE(scenario,C24,D24,E24)</f>
        <v/>
      </c>
      <c r="G24" s="13" t="n"/>
      <c r="H24" s="13" t="n"/>
      <c r="I24" s="13" t="n"/>
      <c r="J24" s="14">
        <f>IF(H24="",F24,CHOOSE(scenario,G24,H24,I24))</f>
        <v/>
      </c>
      <c r="K24" s="9" t="inlineStr">
        <is>
          <t>share per month</t>
        </is>
      </c>
      <c r="L24" s="10" t="inlineStr">
        <is>
          <t>active savers</t>
        </is>
      </c>
      <c r="M24" s="9" t="inlineStr">
        <is>
          <t>assumption</t>
        </is>
      </c>
      <c r="N24" s="9" t="inlineStr"/>
      <c r="O24" s="9" t="inlineStr"/>
      <c r="P24" s="9" t="inlineStr">
        <is>
          <t>2026-09-30</t>
        </is>
      </c>
      <c r="Q24" s="10" t="inlineStr"/>
    </row>
    <row r="25">
      <c r="A25" s="9" t="inlineStr">
        <is>
          <t>leaver_withdraw</t>
        </is>
      </c>
      <c r="B25" s="10" t="inlineStr">
        <is>
          <t>Share of balance withdrawn in the month a saver stops</t>
        </is>
      </c>
      <c r="C25" s="13" t="n">
        <v>0.8</v>
      </c>
      <c r="D25" s="13" t="n">
        <v>0.6</v>
      </c>
      <c r="E25" s="13" t="n">
        <v>0.4</v>
      </c>
      <c r="F25" s="14">
        <f>CHOOSE(scenario,C25,D25,E25)</f>
        <v/>
      </c>
      <c r="G25" s="13" t="n"/>
      <c r="H25" s="13" t="n"/>
      <c r="I25" s="13" t="n"/>
      <c r="J25" s="14">
        <f>IF(H25="",F25,CHOOSE(scenario,G25,H25,I25))</f>
        <v/>
      </c>
      <c r="K25" s="9" t="inlineStr">
        <is>
          <t>share</t>
        </is>
      </c>
      <c r="L25" s="10" t="inlineStr">
        <is>
          <t>savers who stop</t>
        </is>
      </c>
      <c r="M25" s="9" t="inlineStr">
        <is>
          <t>assumption</t>
        </is>
      </c>
      <c r="N25" s="9" t="inlineStr"/>
      <c r="O25" s="9" t="inlineStr"/>
      <c r="P25" s="9" t="inlineStr">
        <is>
          <t>2026-09-30</t>
        </is>
      </c>
      <c r="Q25" s="10" t="inlineStr"/>
    </row>
    <row r="26">
      <c r="A26" s="9" t="inlineStr">
        <is>
          <t>dormant_withdraw</t>
        </is>
      </c>
      <c r="B26" s="10" t="inlineStr">
        <is>
          <t>Share of dormant balance withdrawn per month</t>
        </is>
      </c>
      <c r="C26" s="13" t="n">
        <v>0.08</v>
      </c>
      <c r="D26" s="13" t="n">
        <v>0.05</v>
      </c>
      <c r="E26" s="13" t="n">
        <v>0.03</v>
      </c>
      <c r="F26" s="14">
        <f>CHOOSE(scenario,C26,D26,E26)</f>
        <v/>
      </c>
      <c r="G26" s="13" t="n"/>
      <c r="H26" s="13" t="n"/>
      <c r="I26" s="13" t="n"/>
      <c r="J26" s="14">
        <f>IF(H26="",F26,CHOOSE(scenario,G26,H26,I26))</f>
        <v/>
      </c>
      <c r="K26" s="9" t="inlineStr">
        <is>
          <t>share per month</t>
        </is>
      </c>
      <c r="L26" s="10" t="inlineStr">
        <is>
          <t>stopped savers' remaining balance</t>
        </is>
      </c>
      <c r="M26" s="9" t="inlineStr">
        <is>
          <t>assumption</t>
        </is>
      </c>
      <c r="N26" s="9" t="inlineStr"/>
      <c r="O26" s="9" t="inlineStr"/>
      <c r="P26" s="9" t="inlineStr">
        <is>
          <t>2026-09-30</t>
        </is>
      </c>
      <c r="Q26" s="10" t="inlineStr"/>
    </row>
    <row r="27">
      <c r="A27" s="9" t="inlineStr">
        <is>
          <t>fund_yield</t>
        </is>
      </c>
      <c r="B27" s="10" t="inlineStr">
        <is>
          <t>Liquid fund / FD yield to saver</t>
        </is>
      </c>
      <c r="C27" s="13" t="n">
        <v>0.05</v>
      </c>
      <c r="D27" s="13" t="n">
        <v>0.055</v>
      </c>
      <c r="E27" s="13" t="n">
        <v>0.06</v>
      </c>
      <c r="F27" s="14">
        <f>CHOOSE(scenario,C27,D27,E27)</f>
        <v/>
      </c>
      <c r="G27" s="13" t="n"/>
      <c r="H27" s="13" t="n"/>
      <c r="I27" s="13" t="n"/>
      <c r="J27" s="14">
        <f>IF(H27="",F27,CHOOSE(scenario,G27,H27,I27))</f>
        <v/>
      </c>
      <c r="K27" s="9" t="inlineStr">
        <is>
          <t>per year</t>
        </is>
      </c>
      <c r="L27" s="10" t="inlineStr">
        <is>
          <t>savings balance</t>
        </is>
      </c>
      <c r="M27" s="9" t="inlineStr">
        <is>
          <t>benchmark</t>
        </is>
      </c>
      <c r="N27" s="9" t="inlineStr"/>
      <c r="O27" s="9" t="inlineStr">
        <is>
          <t>OWN-02</t>
        </is>
      </c>
      <c r="P27" s="9" t="inlineStr">
        <is>
          <t>2026</t>
        </is>
      </c>
      <c r="Q27" s="10" t="inlineStr">
        <is>
          <t>Liquid funds 5-6% a year with repo at 5.25%; FDs at small banks pay somewhat more</t>
        </is>
      </c>
    </row>
    <row r="28">
      <c r="A28" s="9" t="inlineStr">
        <is>
          <t>fd_share</t>
        </is>
      </c>
      <c r="B28" s="10" t="inlineStr">
        <is>
          <t>Share of savings balance held in bank FDs</t>
        </is>
      </c>
      <c r="C28" s="13" t="n">
        <v>0.2</v>
      </c>
      <c r="D28" s="13" t="n">
        <v>0.3</v>
      </c>
      <c r="E28" s="13" t="n">
        <v>0.4</v>
      </c>
      <c r="F28" s="14">
        <f>CHOOSE(scenario,C28,D28,E28)</f>
        <v/>
      </c>
      <c r="G28" s="13" t="n"/>
      <c r="H28" s="13" t="n"/>
      <c r="I28" s="13" t="n"/>
      <c r="J28" s="14">
        <f>IF(H28="",F28,CHOOSE(scenario,G28,H28,I28))</f>
        <v/>
      </c>
      <c r="K28" s="9" t="inlineStr">
        <is>
          <t>share</t>
        </is>
      </c>
      <c r="L28" s="10" t="inlineStr">
        <is>
          <t>savings balance from FD start month</t>
        </is>
      </c>
      <c r="M28" s="9" t="inlineStr">
        <is>
          <t>assumption</t>
        </is>
      </c>
      <c r="N28" s="9" t="inlineStr"/>
      <c r="O28" s="9" t="inlineStr"/>
      <c r="P28" s="9" t="inlineStr">
        <is>
          <t>2026-09-30</t>
        </is>
      </c>
      <c r="Q28" s="10" t="inlineStr">
        <is>
          <t>Goal money</t>
        </is>
      </c>
    </row>
    <row r="29">
      <c r="A29" s="9" t="inlineStr">
        <is>
          <t>fd_start</t>
        </is>
      </c>
      <c r="B29" s="10" t="inlineStr">
        <is>
          <t>Month FDs start</t>
        </is>
      </c>
      <c r="C29" s="11" t="n">
        <v>6</v>
      </c>
      <c r="D29" s="11" t="n">
        <v>6</v>
      </c>
      <c r="E29" s="11" t="n">
        <v>6</v>
      </c>
      <c r="F29" s="12">
        <f>CHOOSE(scenario,C29,D29,E29)</f>
        <v/>
      </c>
      <c r="G29" s="11" t="n"/>
      <c r="H29" s="11" t="n"/>
      <c r="I29" s="11" t="n"/>
      <c r="J29" s="12">
        <f>IF(H29="",F29,CHOOSE(scenario,G29,H29,I29))</f>
        <v/>
      </c>
      <c r="K29" s="9" t="inlineStr">
        <is>
          <t>month</t>
        </is>
      </c>
      <c r="L29" s="10" t="inlineStr">
        <is>
          <t>cohort age</t>
        </is>
      </c>
      <c r="M29" s="9" t="inlineStr">
        <is>
          <t>product design</t>
        </is>
      </c>
      <c r="N29" s="9" t="inlineStr"/>
      <c r="O29" s="9" t="inlineStr"/>
      <c r="P29" s="9" t="inlineStr">
        <is>
          <t>2026-09-30</t>
        </is>
      </c>
      <c r="Q29" s="10" t="inlineStr"/>
    </row>
    <row r="30">
      <c r="B30" s="8" t="inlineStr">
        <is>
          <t>Revenue: savings</t>
        </is>
      </c>
    </row>
    <row r="31">
      <c r="A31" s="9" t="inlineStr">
        <is>
          <t>trail_liquid</t>
        </is>
      </c>
      <c r="B31" s="10" t="inlineStr">
        <is>
          <t>Distributor trail on liquid-fund balance</t>
        </is>
      </c>
      <c r="C31" s="13" t="n">
        <v>0.0005</v>
      </c>
      <c r="D31" s="13" t="n">
        <v>0.0008</v>
      </c>
      <c r="E31" s="13" t="n">
        <v>0.0012</v>
      </c>
      <c r="F31" s="14">
        <f>CHOOSE(scenario,C31,D31,E31)</f>
        <v/>
      </c>
      <c r="G31" s="13" t="n"/>
      <c r="H31" s="13" t="n"/>
      <c r="I31" s="13" t="n"/>
      <c r="J31" s="14">
        <f>IF(H31="",F31,CHOOSE(scenario,G31,H31,I31))</f>
        <v/>
      </c>
      <c r="K31" s="9" t="inlineStr">
        <is>
          <t>per year</t>
        </is>
      </c>
      <c r="L31" s="10" t="inlineStr">
        <is>
          <t>liquid-fund balance (regular plan)</t>
        </is>
      </c>
      <c r="M31" s="9" t="inlineStr">
        <is>
          <t>benchmark: regular minus direct TER gap (an upper bound on trail)</t>
        </is>
      </c>
      <c r="N31" s="9" t="inlineStr"/>
      <c r="O31" s="9" t="inlineStr">
        <is>
          <t>BM-01</t>
        </is>
      </c>
      <c r="P31" s="9" t="inlineStr">
        <is>
          <t>2026-08-31</t>
        </is>
      </c>
      <c r="Q31" s="10" t="inlineStr">
        <is>
          <t>ICICI Pru Liquid 0.25% vs 0.17%; SBI Liquid 0.29% vs 0.17%. About Rs 4 a year on a Rs 5,000 balance.</t>
        </is>
      </c>
    </row>
    <row r="32">
      <c r="A32" s="17" t="inlineStr">
        <is>
          <t>fd_fee</t>
        </is>
      </c>
      <c r="B32" s="18" t="inlineStr">
        <is>
          <t>Distribution fee on FD balance</t>
        </is>
      </c>
      <c r="C32" s="19" t="n">
        <v>0.0025</v>
      </c>
      <c r="D32" s="19" t="n">
        <v>0.005</v>
      </c>
      <c r="E32" s="19" t="n">
        <v>0.01</v>
      </c>
      <c r="F32" s="20">
        <f>CHOOSE(scenario,C32,D32,E32)</f>
        <v/>
      </c>
      <c r="G32" s="19" t="n"/>
      <c r="H32" s="19" t="n"/>
      <c r="I32" s="19" t="n"/>
      <c r="J32" s="20">
        <f>IF(H32="",F32,CHOOSE(scenario,G32,H32,I32))</f>
        <v/>
      </c>
      <c r="K32" s="17" t="inlineStr">
        <is>
          <t>per year</t>
        </is>
      </c>
      <c r="L32" s="18" t="inlineStr">
        <is>
          <t>FD balance</t>
        </is>
      </c>
      <c r="M32" s="17" t="inlineStr">
        <is>
          <t>benchmark, UNVERIFIED (anecdotal)</t>
        </is>
      </c>
      <c r="N32" s="17" t="inlineStr"/>
      <c r="O32" s="17" t="inlineStr">
        <is>
          <t>BM-03</t>
        </is>
      </c>
      <c r="P32" s="17" t="inlineStr">
        <is>
          <t>2025-02</t>
        </is>
      </c>
      <c r="Q32" s="18" t="inlineStr">
        <is>
          <t>Stable Money about 1% (anonymous source); Altcase 0.4%. Banks publish no rate. Modelled as a yearly % of FD balance, assuming 1-year FDs rebooked through us.</t>
        </is>
      </c>
    </row>
    <row r="33">
      <c r="A33" s="9" t="inlineStr">
        <is>
          <t>mf_incentive</t>
        </is>
      </c>
      <c r="B33" s="10" t="inlineStr">
        <is>
          <t>One-time incentive per first-time MF investor</t>
        </is>
      </c>
      <c r="C33" s="11" t="n">
        <v>0</v>
      </c>
      <c r="D33" s="11" t="n">
        <v>0</v>
      </c>
      <c r="E33" s="11" t="n">
        <v>0</v>
      </c>
      <c r="F33" s="12">
        <f>CHOOSE(scenario,C33,D33,E33)</f>
        <v/>
      </c>
      <c r="G33" s="11" t="n"/>
      <c r="H33" s="11" t="n"/>
      <c r="I33" s="11" t="n"/>
      <c r="J33" s="12">
        <f>IF(H33="",F33,CHOOSE(scenario,G33,H33,I33))</f>
        <v/>
      </c>
      <c r="K33" s="9" t="inlineStr">
        <is>
          <t>INR per investor</t>
        </is>
      </c>
      <c r="L33" s="10" t="inlineStr">
        <is>
          <t>first-time investors starting a small SIP</t>
        </is>
      </c>
      <c r="M33" s="9" t="inlineStr">
        <is>
          <t>regulation: SEBI Choti SIP (not available to this design)</t>
        </is>
      </c>
      <c r="N33" s="9" t="inlineStr"/>
      <c r="O33" s="9" t="inlineStr">
        <is>
          <t>REG-032, REG-033</t>
        </is>
      </c>
      <c r="P33" s="9" t="inlineStr">
        <is>
          <t>2025-08-11</t>
        </is>
      </c>
      <c r="Q33" s="10" t="inlineStr">
        <is>
          <t>Rs 500 per new-to-MF investor, paid after 24 months, monthly Rs 250 equity SIP only. Forfeited if the investor holds ANY other SIP or lumpsum, and our liquid-fund saving comes first. So Rs 0 here.</t>
        </is>
      </c>
    </row>
    <row r="34">
      <c r="A34" s="9" t="inlineStr">
        <is>
          <t>first_time_share</t>
        </is>
      </c>
      <c r="B34" s="10" t="inlineStr">
        <is>
          <t>Share of savers who are first-time MF investors</t>
        </is>
      </c>
      <c r="C34" s="13" t="n">
        <v>0.9</v>
      </c>
      <c r="D34" s="13" t="n">
        <v>0.9</v>
      </c>
      <c r="E34" s="13" t="n">
        <v>0.9</v>
      </c>
      <c r="F34" s="14">
        <f>CHOOSE(scenario,C34,D34,E34)</f>
        <v/>
      </c>
      <c r="G34" s="13" t="n"/>
      <c r="H34" s="13" t="n"/>
      <c r="I34" s="13" t="n"/>
      <c r="J34" s="14">
        <f>IF(H34="",F34,CHOOSE(scenario,G34,H34,I34))</f>
        <v/>
      </c>
      <c r="K34" s="9" t="inlineStr">
        <is>
          <t>share</t>
        </is>
      </c>
      <c r="L34" s="10" t="inlineStr">
        <is>
          <t>activated savers</t>
        </is>
      </c>
      <c r="M34" s="9" t="inlineStr">
        <is>
          <t>benchmark: company claim</t>
        </is>
      </c>
      <c r="N34" s="9" t="inlineStr"/>
      <c r="O34" s="9" t="inlineStr">
        <is>
          <t>JAR-07</t>
        </is>
      </c>
      <c r="P34" s="9" t="inlineStr">
        <is>
          <t>2025-09-18</t>
        </is>
      </c>
      <c r="Q34" s="10" t="inlineStr">
        <is>
          <t>Jar says more than 95% of its users save formally for the first time (method undisclosed).</t>
        </is>
      </c>
    </row>
    <row r="35">
      <c r="B35" s="8" t="inlineStr">
        <is>
          <t>Revenue: loans</t>
        </is>
      </c>
    </row>
    <row r="36">
      <c r="A36" s="9" t="inlineStr">
        <is>
          <t>loan_start</t>
        </is>
      </c>
      <c r="B36" s="10" t="inlineStr">
        <is>
          <t>Month a saver can first get a loan offer</t>
        </is>
      </c>
      <c r="C36" s="11" t="n">
        <v>6</v>
      </c>
      <c r="D36" s="11" t="n">
        <v>4</v>
      </c>
      <c r="E36" s="11" t="n">
        <v>3</v>
      </c>
      <c r="F36" s="12">
        <f>CHOOSE(scenario,C36,D36,E36)</f>
        <v/>
      </c>
      <c r="G36" s="11" t="n"/>
      <c r="H36" s="11" t="n"/>
      <c r="I36" s="11" t="n"/>
      <c r="J36" s="12">
        <f>IF(H36="",F36,CHOOSE(scenario,G36,H36,I36))</f>
        <v/>
      </c>
      <c r="K36" s="9" t="inlineStr">
        <is>
          <t>month</t>
        </is>
      </c>
      <c r="L36" s="10" t="inlineStr">
        <is>
          <t>cohort age</t>
        </is>
      </c>
      <c r="M36" s="9" t="inlineStr">
        <is>
          <t>product design</t>
        </is>
      </c>
      <c r="N36" s="9" t="inlineStr"/>
      <c r="O36" s="9" t="inlineStr"/>
      <c r="P36" s="9" t="inlineStr">
        <is>
          <t>2026-09-30</t>
        </is>
      </c>
      <c r="Q36" s="10" t="inlineStr">
        <is>
          <t>After a saving streak</t>
        </is>
      </c>
    </row>
    <row r="37">
      <c r="A37" s="9" t="inlineStr">
        <is>
          <t>loan_eligible</t>
        </is>
      </c>
      <c r="B37" s="10" t="inlineStr">
        <is>
          <t>Share of active savers eligible for a loan offer</t>
        </is>
      </c>
      <c r="C37" s="13" t="n">
        <v>0.3</v>
      </c>
      <c r="D37" s="13" t="n">
        <v>0.5</v>
      </c>
      <c r="E37" s="13" t="n">
        <v>0.65</v>
      </c>
      <c r="F37" s="14">
        <f>CHOOSE(scenario,C37,D37,E37)</f>
        <v/>
      </c>
      <c r="G37" s="13" t="n"/>
      <c r="H37" s="13" t="n"/>
      <c r="I37" s="13" t="n"/>
      <c r="J37" s="14">
        <f>IF(H37="",F37,CHOOSE(scenario,G37,H37,I37))</f>
        <v/>
      </c>
      <c r="K37" s="9" t="inlineStr">
        <is>
          <t>share</t>
        </is>
      </c>
      <c r="L37" s="10" t="inlineStr">
        <is>
          <t>active savers from loan start</t>
        </is>
      </c>
      <c r="M37" s="9" t="inlineStr">
        <is>
          <t>assumption; cross-checked against the share who ever borrow</t>
        </is>
      </c>
      <c r="N37" s="9" t="inlineStr"/>
      <c r="O37" s="9" t="inlineStr">
        <is>
          <t>LEND-04, CMP-07, CMP-05</t>
        </is>
      </c>
      <c r="P37" s="9" t="inlineStr">
        <is>
          <t>2026-09-30</t>
        </is>
      </c>
      <c r="Q37" s="10" t="inlineStr">
        <is>
          <t>Benchmarks for share who ever borrow: 8% of Moneyview registered users, 11% of GCash lifetime users, 34% of eligible M-Shwari users.</t>
        </is>
      </c>
    </row>
    <row r="38">
      <c r="A38" s="9" t="inlineStr">
        <is>
          <t>loan_apply</t>
        </is>
      </c>
      <c r="B38" s="10" t="inlineStr">
        <is>
          <t>Monthly application rate among eligible never-borrowed savers</t>
        </is>
      </c>
      <c r="C38" s="13" t="n">
        <v>0.02</v>
      </c>
      <c r="D38" s="13" t="n">
        <v>0.04</v>
      </c>
      <c r="E38" s="13" t="n">
        <v>0.06</v>
      </c>
      <c r="F38" s="14">
        <f>CHOOSE(scenario,C38,D38,E38)</f>
        <v/>
      </c>
      <c r="G38" s="13" t="n"/>
      <c r="H38" s="13" t="n"/>
      <c r="I38" s="13" t="n"/>
      <c r="J38" s="14">
        <f>IF(H38="",F38,CHOOSE(scenario,G38,H38,I38))</f>
        <v/>
      </c>
      <c r="K38" s="9" t="inlineStr">
        <is>
          <t>share per month</t>
        </is>
      </c>
      <c r="L38" s="10" t="inlineStr">
        <is>
          <t>eligible active savers who never borrowed</t>
        </is>
      </c>
      <c r="M38" s="9" t="inlineStr">
        <is>
          <t>assumption</t>
        </is>
      </c>
      <c r="N38" s="9" t="inlineStr"/>
      <c r="O38" s="9" t="inlineStr"/>
      <c r="P38" s="9" t="inlineStr">
        <is>
          <t>2026-09-30</t>
        </is>
      </c>
      <c r="Q38" s="10" t="inlineStr"/>
    </row>
    <row r="39">
      <c r="A39" s="17" t="inlineStr">
        <is>
          <t>loan_approval</t>
        </is>
      </c>
      <c r="B39" s="18" t="inlineStr">
        <is>
          <t>Partner approval rate for our applicants</t>
        </is>
      </c>
      <c r="C39" s="19" t="n">
        <v>0.4</v>
      </c>
      <c r="D39" s="19" t="n">
        <v>0.6</v>
      </c>
      <c r="E39" s="19" t="n">
        <v>0.75</v>
      </c>
      <c r="F39" s="20">
        <f>CHOOSE(scenario,C39,D39,E39)</f>
        <v/>
      </c>
      <c r="G39" s="19" t="n">
        <v>0.35</v>
      </c>
      <c r="H39" s="19" t="n">
        <v>0.55</v>
      </c>
      <c r="I39" s="19" t="n">
        <v>0.7</v>
      </c>
      <c r="J39" s="20">
        <f>IF(H39="",F39,CHOOSE(scenario,G39,H39,I39))</f>
        <v/>
      </c>
      <c r="K39" s="17" t="inlineStr">
        <is>
          <t>share</t>
        </is>
      </c>
      <c r="L39" s="18" t="inlineStr">
        <is>
          <t>applications from eligible savers</t>
        </is>
      </c>
      <c r="M39" s="17" t="inlineStr">
        <is>
          <t>assumption (claim 2: pilot must prove)</t>
        </is>
      </c>
      <c r="N39" s="17" t="inlineStr">
        <is>
          <t>assumption: more new-to-credit, no payslip or platform data</t>
        </is>
      </c>
      <c r="O39" s="17" t="inlineStr">
        <is>
          <t>EVD-02, EVD-03</t>
        </is>
      </c>
      <c r="P39" s="17" t="inlineStr">
        <is>
          <t>2026-09-30</t>
        </is>
      </c>
      <c r="Q39" s="18" t="inlineStr">
        <is>
          <t>No evidence yet that savings behaviour predicts repayment in this segment. Platform-app data does predict creditworthiness (RappiCard, EVD-02).</t>
        </is>
      </c>
    </row>
    <row r="40">
      <c r="A40" s="9" t="inlineStr">
        <is>
          <t>loan_ticket</t>
        </is>
      </c>
      <c r="B40" s="10" t="inlineStr">
        <is>
          <t>Unsecured loan size (loan 5 onward)</t>
        </is>
      </c>
      <c r="C40" s="11" t="n">
        <v>10000</v>
      </c>
      <c r="D40" s="11" t="n">
        <v>15000</v>
      </c>
      <c r="E40" s="11" t="n">
        <v>20000</v>
      </c>
      <c r="F40" s="12">
        <f>CHOOSE(scenario,C40,D40,E40)</f>
        <v/>
      </c>
      <c r="G40" s="11" t="n"/>
      <c r="H40" s="11" t="n"/>
      <c r="I40" s="11" t="n"/>
      <c r="J40" s="12">
        <f>IF(H40="",F40,CHOOSE(scenario,G40,H40,I40))</f>
        <v/>
      </c>
      <c r="K40" s="9" t="inlineStr">
        <is>
          <t>INR</t>
        </is>
      </c>
      <c r="L40" s="10" t="inlineStr">
        <is>
          <t>unsecured loans on the ladder (loan 5+)</t>
        </is>
      </c>
      <c r="M40" s="9" t="inlineStr">
        <is>
          <t>assumption</t>
        </is>
      </c>
      <c r="N40" s="9" t="inlineStr"/>
      <c r="O40" s="9" t="inlineStr"/>
      <c r="P40" s="9" t="inlineStr">
        <is>
          <t>2026-09-30</t>
        </is>
      </c>
      <c r="Q40" s="10" t="inlineStr">
        <is>
          <t>Ladder (founder, 2 Oct 2026): loans 1-2 secured against savings, 3-4 part secured, 5+ unsecured at this size. Bueno first loans Rs 10k-25k.</t>
        </is>
      </c>
    </row>
    <row r="41">
      <c r="A41" s="9" t="inlineStr">
        <is>
          <t>loan_stepup</t>
        </is>
      </c>
      <c r="B41" s="10" t="inlineStr">
        <is>
          <t>Repeat loan size as a multiple of the first</t>
        </is>
      </c>
      <c r="C41" s="15" t="n">
        <v>1</v>
      </c>
      <c r="D41" s="15" t="n">
        <v>1.2</v>
      </c>
      <c r="E41" s="15" t="n">
        <v>1.4</v>
      </c>
      <c r="F41" s="16">
        <f>CHOOSE(scenario,C41,D41,E41)</f>
        <v/>
      </c>
      <c r="G41" s="15" t="n"/>
      <c r="H41" s="15" t="n"/>
      <c r="I41" s="15" t="n"/>
      <c r="J41" s="16">
        <f>IF(H41="",F41,CHOOSE(scenario,G41,H41,I41))</f>
        <v/>
      </c>
      <c r="K41" s="9" t="inlineStr">
        <is>
          <t>multiple</t>
        </is>
      </c>
      <c r="L41" s="10" t="inlineStr">
        <is>
          <t>repeat loans</t>
        </is>
      </c>
      <c r="M41" s="9" t="inlineStr">
        <is>
          <t>assumption</t>
        </is>
      </c>
      <c r="N41" s="9" t="inlineStr"/>
      <c r="O41" s="9" t="inlineStr"/>
      <c r="P41" s="9" t="inlineStr">
        <is>
          <t>2026-09-30</t>
        </is>
      </c>
      <c r="Q41" s="10" t="inlineStr">
        <is>
          <t>Not used by the ladder (kept for reference).</t>
        </is>
      </c>
    </row>
    <row r="42">
      <c r="A42" s="9" t="inlineStr">
        <is>
          <t>loan_tenor</t>
        </is>
      </c>
      <c r="B42" s="10" t="inlineStr">
        <is>
          <t>Loan length</t>
        </is>
      </c>
      <c r="C42" s="11" t="n">
        <v>6</v>
      </c>
      <c r="D42" s="11" t="n">
        <v>6</v>
      </c>
      <c r="E42" s="11" t="n">
        <v>6</v>
      </c>
      <c r="F42" s="12">
        <f>CHOOSE(scenario,C42,D42,E42)</f>
        <v/>
      </c>
      <c r="G42" s="11" t="n"/>
      <c r="H42" s="11" t="n"/>
      <c r="I42" s="11" t="n"/>
      <c r="J42" s="12">
        <f>IF(H42="",F42,CHOOSE(scenario,G42,H42,I42))</f>
        <v/>
      </c>
      <c r="K42" s="9" t="inlineStr">
        <is>
          <t>months</t>
        </is>
      </c>
      <c r="L42" s="10" t="inlineStr">
        <is>
          <t>all loans</t>
        </is>
      </c>
      <c r="M42" s="9" t="inlineStr">
        <is>
          <t>assumption</t>
        </is>
      </c>
      <c r="N42" s="9" t="inlineStr"/>
      <c r="O42" s="9" t="inlineStr"/>
      <c r="P42" s="9" t="inlineStr">
        <is>
          <t>2026-09-30</t>
        </is>
      </c>
      <c r="Q42" s="10" t="inlineStr"/>
    </row>
    <row r="43">
      <c r="A43" s="9" t="inlineStr">
        <is>
          <t>loan_repeat</t>
        </is>
      </c>
      <c r="B43" s="10" t="inlineStr">
        <is>
          <t>Share of repaid loans followed by another loan</t>
        </is>
      </c>
      <c r="C43" s="13" t="n">
        <v>0.3</v>
      </c>
      <c r="D43" s="13" t="n">
        <v>0.45</v>
      </c>
      <c r="E43" s="13" t="n">
        <v>0.6</v>
      </c>
      <c r="F43" s="14">
        <f>CHOOSE(scenario,C43,D43,E43)</f>
        <v/>
      </c>
      <c r="G43" s="13" t="n"/>
      <c r="H43" s="13" t="n"/>
      <c r="I43" s="13" t="n"/>
      <c r="J43" s="14">
        <f>IF(H43="",F43,CHOOSE(scenario,G43,H43,I43))</f>
        <v/>
      </c>
      <c r="K43" s="9" t="inlineStr">
        <is>
          <t>share</t>
        </is>
      </c>
      <c r="L43" s="10" t="inlineStr">
        <is>
          <t>repaid loans of still-active savers</t>
        </is>
      </c>
      <c r="M43" s="9" t="inlineStr">
        <is>
          <t>assumption</t>
        </is>
      </c>
      <c r="N43" s="9" t="inlineStr"/>
      <c r="O43" s="9" t="inlineStr"/>
      <c r="P43" s="9" t="inlineStr">
        <is>
          <t>2026-09-30</t>
        </is>
      </c>
      <c r="Q43" s="10" t="inlineStr">
        <is>
          <t>Bueno: 30-50% of repayers took a 2nd loan</t>
        </is>
      </c>
    </row>
    <row r="44">
      <c r="A44" s="17" t="inlineStr">
        <is>
          <t>loan_dpd90</t>
        </is>
      </c>
      <c r="B44" s="18" t="inlineStr">
        <is>
          <t>Share of loans that go 90+ days late</t>
        </is>
      </c>
      <c r="C44" s="19" t="n">
        <v>0.07000000000000001</v>
      </c>
      <c r="D44" s="19" t="n">
        <v>0.045</v>
      </c>
      <c r="E44" s="19" t="n">
        <v>0.03</v>
      </c>
      <c r="F44" s="20">
        <f>CHOOSE(scenario,C44,D44,E44)</f>
        <v/>
      </c>
      <c r="G44" s="19" t="n">
        <v>0.12</v>
      </c>
      <c r="H44" s="19" t="n">
        <v>0.07000000000000001</v>
      </c>
      <c r="I44" s="19" t="n">
        <v>0.05</v>
      </c>
      <c r="J44" s="20">
        <f>IF(H44="",F44,CHOOSE(scenario,G44,H44,I44))</f>
        <v/>
      </c>
      <c r="K44" s="17" t="inlineStr">
        <is>
          <t>share of loans (count)</t>
        </is>
      </c>
      <c r="L44" s="18" t="inlineStr">
        <is>
          <t>loans to savers</t>
        </is>
      </c>
      <c r="M44" s="17" t="inlineStr">
        <is>
          <t>assumption (claim 2: pilot must prove); segment benchmark 6-7%</t>
        </is>
      </c>
      <c r="N44" s="17" t="inlineStr">
        <is>
          <t>benchmark (claim 2 applies): self-employed small unsecured loans peak 10.2% at 90+; PM SVANidhi NPA 12-16%</t>
        </is>
      </c>
      <c r="O44" s="17" t="inlineStr">
        <is>
          <t>MAC-03</t>
        </is>
      </c>
      <c r="P44" s="17" t="inlineStr">
        <is>
          <t>2025-01-17</t>
        </is>
      </c>
      <c r="Q44" s="18" t="inlineStr">
        <is>
          <t>CRIF H1 FY25: Rs 10-50k loans peak 90+ at 6.0% (all lenders) / 7.2% (NBFCs), count-based. Bueno: 6-7% of loans 90+ (founder). Base assumes savers do better. NOT USED since 2 Oct 2026: the ladder uses ladder_dpd90 on unsecured money only (founder: savers self-select and graduate).</t>
        </is>
      </c>
    </row>
    <row r="45">
      <c r="A45" s="9" t="inlineStr">
        <is>
          <t>loan_ead</t>
        </is>
      </c>
      <c r="B45" s="10" t="inlineStr">
        <is>
          <t>Share of the loan still owed when it goes 90+ late</t>
        </is>
      </c>
      <c r="C45" s="13" t="n">
        <v>0.9</v>
      </c>
      <c r="D45" s="13" t="n">
        <v>0.8</v>
      </c>
      <c r="E45" s="13" t="n">
        <v>0.7</v>
      </c>
      <c r="F45" s="14">
        <f>CHOOSE(scenario,C45,D45,E45)</f>
        <v/>
      </c>
      <c r="G45" s="13" t="n"/>
      <c r="H45" s="13" t="n"/>
      <c r="I45" s="13" t="n"/>
      <c r="J45" s="14">
        <f>IF(H45="",F45,CHOOSE(scenario,G45,H45,I45))</f>
        <v/>
      </c>
      <c r="K45" s="9" t="inlineStr">
        <is>
          <t>share of loan</t>
        </is>
      </c>
      <c r="L45" s="10" t="inlineStr">
        <is>
          <t>loans that go 90+ late</t>
        </is>
      </c>
      <c r="M45" s="9" t="inlineStr">
        <is>
          <t>founder experience (Bueno) applied to saver loans</t>
        </is>
      </c>
      <c r="N45" s="9" t="inlineStr"/>
      <c r="O45" s="9" t="inlineStr"/>
      <c r="P45" s="9" t="inlineStr">
        <is>
          <t>2026-09-30</t>
        </is>
      </c>
      <c r="Q45" s="10" t="inlineStr">
        <is>
          <t>At Bueno nearly all of a loan was still unpaid when it went 90+ late; saver loans run 6 months, so slightly less.</t>
        </is>
      </c>
    </row>
    <row r="46">
      <c r="A46" s="9" t="inlineStr">
        <is>
          <t>loan_lgd</t>
        </is>
      </c>
      <c r="B46" s="10" t="inlineStr">
        <is>
          <t>Share of that never recovered</t>
        </is>
      </c>
      <c r="C46" s="13" t="n">
        <v>0.6</v>
      </c>
      <c r="D46" s="13" t="n">
        <v>0.5</v>
      </c>
      <c r="E46" s="13" t="n">
        <v>0.4</v>
      </c>
      <c r="F46" s="14">
        <f>CHOOSE(scenario,C46,D46,E46)</f>
        <v/>
      </c>
      <c r="G46" s="13" t="n"/>
      <c r="H46" s="13" t="n"/>
      <c r="I46" s="13" t="n"/>
      <c r="J46" s="14">
        <f>IF(H46="",F46,CHOOSE(scenario,G46,H46,I46))</f>
        <v/>
      </c>
      <c r="K46" s="9" t="inlineStr">
        <is>
          <t>share</t>
        </is>
      </c>
      <c r="L46" s="10" t="inlineStr">
        <is>
          <t>amount owed at 90+ late</t>
        </is>
      </c>
      <c r="M46" s="9" t="inlineStr">
        <is>
          <t>founder experience (Bueno) applied to saver loans</t>
        </is>
      </c>
      <c r="N46" s="9" t="inlineStr"/>
      <c r="O46" s="9" t="inlineStr"/>
      <c r="P46" s="9" t="inlineStr">
        <is>
          <t>2026-09-30</t>
        </is>
      </c>
      <c r="Q46" s="10" t="inlineStr">
        <is>
          <t>Bueno recovered about half of what was owed on loans 90+ days late.</t>
        </is>
      </c>
    </row>
    <row r="47">
      <c r="A47" s="9" t="inlineStr">
        <is>
          <t>secured_ltv</t>
        </is>
      </c>
      <c r="B47" s="10" t="inlineStr">
        <is>
          <t>Secured loan as a share of the saver's fund + FD money</t>
        </is>
      </c>
      <c r="C47" s="13" t="n">
        <v>0.85</v>
      </c>
      <c r="D47" s="13" t="n">
        <v>0.85</v>
      </c>
      <c r="E47" s="13" t="n">
        <v>0.85</v>
      </c>
      <c r="F47" s="14">
        <f>CHOOSE(scenario,C47,D47,E47)</f>
        <v/>
      </c>
      <c r="G47" s="13" t="n"/>
      <c r="H47" s="13" t="n"/>
      <c r="I47" s="13" t="n"/>
      <c r="J47" s="14">
        <f>IF(H47="",F47,CHOOSE(scenario,G47,H47,I47))</f>
        <v/>
      </c>
      <c r="K47" s="9" t="inlineStr">
        <is>
          <t>share</t>
        </is>
      </c>
      <c r="L47" s="10" t="inlineStr">
        <is>
          <t>loans 1-4 on the ladder</t>
        </is>
      </c>
      <c r="M47" s="9" t="inlineStr">
        <is>
          <t>RBI loans against securities: 85% LTV for debt fund units; FD lenders often lend more</t>
        </is>
      </c>
      <c r="N47" s="9" t="inlineStr"/>
      <c r="O47" s="9" t="inlineStr">
        <is>
          <t>REG-028</t>
        </is>
      </c>
      <c r="P47" s="9" t="inlineStr">
        <is>
          <t>2026-10-02</t>
        </is>
      </c>
      <c r="Q47" s="10" t="inlineStr">
        <is>
          <t>Gold is excluded: no loans against digital gold [REG-023].</t>
        </is>
      </c>
    </row>
    <row r="48">
      <c r="A48" s="9" t="inlineStr">
        <is>
          <t>secured_fee</t>
        </is>
      </c>
      <c r="B48" s="10" t="inlineStr">
        <is>
          <t>Our revenue on the secured part of a loan</t>
        </is>
      </c>
      <c r="C48" s="13" t="n">
        <v>0.02</v>
      </c>
      <c r="D48" s="13" t="n">
        <v>0.02</v>
      </c>
      <c r="E48" s="13" t="n">
        <v>0.02</v>
      </c>
      <c r="F48" s="14">
        <f>CHOOSE(scenario,C48,D48,E48)</f>
        <v/>
      </c>
      <c r="G48" s="13" t="n"/>
      <c r="H48" s="13" t="n"/>
      <c r="I48" s="13" t="n"/>
      <c r="J48" s="14">
        <f>IF(H48="",F48,CHOOSE(scenario,G48,H48,I48))</f>
        <v/>
      </c>
      <c r="K48" s="9" t="inlineStr">
        <is>
          <t>share</t>
        </is>
      </c>
      <c r="L48" s="10" t="inlineStr">
        <is>
          <t>secured money lent</t>
        </is>
      </c>
      <c r="M48" s="9" t="inlineStr">
        <is>
          <t>founder estimate (2 Oct 2026): 1% fee + 0.5% origination + 0.5% blended late fee</t>
        </is>
      </c>
      <c r="N48" s="9" t="inlineStr"/>
      <c r="O48" s="9" t="inlineStr">
        <is>
          <t>founder</t>
        </is>
      </c>
      <c r="P48" s="9" t="inlineStr">
        <is>
          <t>2026-10-02</t>
        </is>
      </c>
      <c r="Q48" s="10" t="inlineStr">
        <is>
          <t>No loss cover on secured money: the lender holds the saver's FD or fund units.</t>
        </is>
      </c>
    </row>
    <row r="49">
      <c r="A49" s="9" t="inlineStr">
        <is>
          <t>part_unsec_multiple</t>
        </is>
      </c>
      <c r="B49" s="10" t="inlineStr">
        <is>
          <t>Unsecured top-up on loans 3-4, as a multiple of the secured part</t>
        </is>
      </c>
      <c r="C49" s="11" t="n">
        <v>1</v>
      </c>
      <c r="D49" s="11" t="n">
        <v>1</v>
      </c>
      <c r="E49" s="11" t="n">
        <v>1</v>
      </c>
      <c r="F49" s="12">
        <f>CHOOSE(scenario,C49,D49,E49)</f>
        <v/>
      </c>
      <c r="G49" s="11" t="n"/>
      <c r="H49" s="11" t="n"/>
      <c r="I49" s="11" t="n"/>
      <c r="J49" s="12">
        <f>IF(H49="",F49,CHOOSE(scenario,G49,H49,I49))</f>
        <v/>
      </c>
      <c r="K49" s="9" t="inlineStr">
        <is>
          <t>multiple</t>
        </is>
      </c>
      <c r="L49" s="10" t="inlineStr">
        <is>
          <t>loans 3-4 on the ladder</t>
        </is>
      </c>
      <c r="M49" s="9" t="inlineStr">
        <is>
          <t>assumption (2 Oct 2026): loans 3-4 are half secured, half unsecured; founder to confirm</t>
        </is>
      </c>
      <c r="N49" s="9" t="inlineStr"/>
      <c r="O49" s="9" t="inlineStr"/>
      <c r="P49" s="9" t="inlineStr">
        <is>
          <t>2026-10-02</t>
        </is>
      </c>
      <c r="Q49" s="10" t="inlineStr"/>
    </row>
    <row r="50">
      <c r="A50" s="9" t="inlineStr">
        <is>
          <t>ladder_dpd90</t>
        </is>
      </c>
      <c r="B50" s="10" t="inlineStr">
        <is>
          <t>Share of unsecured money that goes 90+ days late (loan 3 onward)</t>
        </is>
      </c>
      <c r="C50" s="13" t="n">
        <v>0.02</v>
      </c>
      <c r="D50" s="13" t="n">
        <v>0.015</v>
      </c>
      <c r="E50" s="13" t="n">
        <v>0.01</v>
      </c>
      <c r="F50" s="14">
        <f>CHOOSE(scenario,C50,D50,E50)</f>
        <v/>
      </c>
      <c r="G50" s="13" t="n"/>
      <c r="H50" s="13" t="n"/>
      <c r="I50" s="13" t="n"/>
      <c r="J50" s="14">
        <f>IF(H50="",F50,CHOOSE(scenario,G50,H50,I50))</f>
        <v/>
      </c>
      <c r="K50" s="9" t="inlineStr">
        <is>
          <t>share of loans (count)</t>
        </is>
      </c>
      <c r="L50" s="10" t="inlineStr">
        <is>
          <t>unsecured part of ladder loans, borrowers who repaid 2+ loans</t>
        </is>
      </c>
      <c r="M50" s="9" t="inlineStr">
        <is>
          <t>founder data: repeat loans 1-2% 90+ late; founder view (2 Oct 2026) that savers self-select</t>
        </is>
      </c>
      <c r="N50" s="9" t="inlineStr"/>
      <c r="O50" s="9" t="inlineStr">
        <is>
          <t>founder</t>
        </is>
      </c>
      <c r="P50" s="9" t="inlineStr">
        <is>
          <t>2026-10-02</t>
        </is>
      </c>
      <c r="Q50" s="10" t="inlineStr">
        <is>
          <t>Applied to unsecured money only; secured money has no credit loss.</t>
        </is>
      </c>
    </row>
    <row r="51">
      <c r="A51" s="9" t="inlineStr">
        <is>
          <t>lsp_fee</t>
        </is>
      </c>
      <c r="B51" s="10" t="inlineStr">
        <is>
          <t>Our fee as loan service provider</t>
        </is>
      </c>
      <c r="C51" s="13" t="n">
        <v>0.01</v>
      </c>
      <c r="D51" s="13" t="n">
        <v>0.015</v>
      </c>
      <c r="E51" s="13" t="n">
        <v>0.03</v>
      </c>
      <c r="F51" s="14">
        <f>CHOOSE(scenario,C51,D51,E51)</f>
        <v/>
      </c>
      <c r="G51" s="13" t="n"/>
      <c r="H51" s="13" t="n"/>
      <c r="I51" s="13" t="n"/>
      <c r="J51" s="14">
        <f>IF(H51="",F51,CHOOSE(scenario,G51,H51,I51))</f>
        <v/>
      </c>
      <c r="K51" s="9" t="inlineStr">
        <is>
          <t>share of disbursal</t>
        </is>
      </c>
      <c r="L51" s="10" t="inlineStr">
        <is>
          <t>loans sourced</t>
        </is>
      </c>
      <c r="M51" s="9" t="inlineStr">
        <is>
          <t>benchmark (origination only, no servicing)</t>
        </is>
      </c>
      <c r="N51" s="9" t="inlineStr"/>
      <c r="O51" s="9" t="inlineStr">
        <is>
          <t>LEV-009, LEV-065, BM-07</t>
        </is>
      </c>
      <c r="P51" s="9" t="inlineStr">
        <is>
          <t>2026</t>
        </is>
      </c>
      <c r="Q51" s="10" t="inlineStr">
        <is>
          <t>DSAs get 1-3% from NBFCs, 0.5-1.5% from banks; Paisabazaar's revenue/disbursal is at most 4.7% incl. cards. The lender pays; never the borrower [REG-011].</t>
        </is>
      </c>
    </row>
    <row r="52">
      <c r="A52" s="9" t="inlineStr">
        <is>
          <t>dlg_on</t>
        </is>
      </c>
      <c r="B52" s="10" t="inlineStr">
        <is>
          <t>Do we give the lender a default-loss guarantee? (1 = yes)</t>
        </is>
      </c>
      <c r="C52" s="11" t="n">
        <v>1</v>
      </c>
      <c r="D52" s="11" t="n">
        <v>1</v>
      </c>
      <c r="E52" s="11" t="n">
        <v>1</v>
      </c>
      <c r="F52" s="12">
        <f>CHOOSE(scenario,C52,D52,E52)</f>
        <v/>
      </c>
      <c r="G52" s="11" t="n"/>
      <c r="H52" s="11" t="n"/>
      <c r="I52" s="11" t="n"/>
      <c r="J52" s="12">
        <f>IF(H52="",F52,CHOOSE(scenario,G52,H52,I52))</f>
        <v/>
      </c>
      <c r="K52" s="9" t="inlineStr">
        <is>
          <t>switch</t>
        </is>
      </c>
      <c r="L52" s="10" t="inlineStr">
        <is>
          <t>loans sourced</t>
        </is>
      </c>
      <c r="M52" s="9" t="inlineStr">
        <is>
          <t>founder's chosen plan (2026-09-30): 5% loss cover + gold</t>
        </is>
      </c>
      <c r="N52" s="9" t="inlineStr"/>
      <c r="O52" s="9" t="inlineStr">
        <is>
          <t>REG-003, LEV-002</t>
        </is>
      </c>
      <c r="P52" s="9" t="inlineStr">
        <is>
          <t>2026-09-30</t>
        </is>
      </c>
      <c r="Q52" s="10" t="inlineStr">
        <is>
          <t>Set to 0 to see the idea as briefed (savings + distribution only).</t>
        </is>
      </c>
    </row>
    <row r="53">
      <c r="A53" s="9" t="inlineStr">
        <is>
          <t>dlg_cap</t>
        </is>
      </c>
      <c r="B53" s="10" t="inlineStr">
        <is>
          <t>Guarantee cap</t>
        </is>
      </c>
      <c r="C53" s="13" t="n">
        <v>0.05</v>
      </c>
      <c r="D53" s="13" t="n">
        <v>0.05</v>
      </c>
      <c r="E53" s="13" t="n">
        <v>0.05</v>
      </c>
      <c r="F53" s="14">
        <f>CHOOSE(scenario,C53,D53,E53)</f>
        <v/>
      </c>
      <c r="G53" s="13" t="n"/>
      <c r="H53" s="13" t="n"/>
      <c r="I53" s="13" t="n"/>
      <c r="J53" s="14">
        <f>IF(H53="",F53,CHOOSE(scenario,G53,H53,I53))</f>
        <v/>
      </c>
      <c r="K53" s="9" t="inlineStr">
        <is>
          <t>share of portfolio</t>
        </is>
      </c>
      <c r="L53" s="10" t="inlineStr">
        <is>
          <t>loans sourced</t>
        </is>
      </c>
      <c r="M53" s="9" t="inlineStr">
        <is>
          <t>regulation + practice</t>
        </is>
      </c>
      <c r="N53" s="9" t="inlineStr"/>
      <c r="O53" s="9" t="inlineStr">
        <is>
          <t>REG-003, LEV-002</t>
        </is>
      </c>
      <c r="P53" s="9" t="inlineStr">
        <is>
          <t>2026-09</t>
        </is>
      </c>
      <c r="Q53" s="10" t="inlineStr">
        <is>
          <t>Cap 5% of the amount disbursed. Moneyview posts 4.5-4.8% of guaranteed disbursals as lien-marked deposits.</t>
        </is>
      </c>
    </row>
    <row r="54">
      <c r="A54" s="9" t="inlineStr">
        <is>
          <t>dlg_fee_uplift</t>
        </is>
      </c>
      <c r="B54" s="10" t="inlineStr">
        <is>
          <t>Extra fee a lender pays when we give a guarantee</t>
        </is>
      </c>
      <c r="C54" s="13" t="n">
        <v>0.03</v>
      </c>
      <c r="D54" s="13" t="n">
        <v>0.055</v>
      </c>
      <c r="E54" s="13" t="n">
        <v>0.07000000000000001</v>
      </c>
      <c r="F54" s="14">
        <f>CHOOSE(scenario,C54,D54,E54)</f>
        <v/>
      </c>
      <c r="G54" s="13" t="n"/>
      <c r="H54" s="13" t="n"/>
      <c r="I54" s="13" t="n"/>
      <c r="J54" s="14">
        <f>IF(H54="",F54,CHOOSE(scenario,G54,H54,I54))</f>
        <v/>
      </c>
      <c r="K54" s="9" t="inlineStr">
        <is>
          <t>share of disbursal</t>
        </is>
      </c>
      <c r="L54" s="10" t="inlineStr">
        <is>
          <t>loans sourced</t>
        </is>
      </c>
      <c r="M54" s="9" t="inlineStr">
        <is>
          <t>benchmark (derived from filings) + judgment</t>
        </is>
      </c>
      <c r="N54" s="9" t="inlineStr"/>
      <c r="O54" s="9" t="inlineStr">
        <is>
          <t>LEV-059, LEV-064, LEV-008</t>
        </is>
      </c>
      <c r="P54" s="9" t="inlineStr">
        <is>
          <t>2026-09</t>
        </is>
      </c>
      <c r="Q54" s="10" t="inlineStr">
        <is>
          <t>Total fee with a 5% guarantee + servicing: 4 / 7 / 10% of disbursal, minus the no-guarantee fee. Moneyview partner fees about 11% of partner disbursal (derived); Kissht 17.4% of off-book AUM a year. No source splits guarantee vs no-guarantee fees.</t>
        </is>
      </c>
    </row>
    <row r="55">
      <c r="A55" s="9" t="inlineStr">
        <is>
          <t>loan_ops_cost</t>
        </is>
      </c>
      <c r="B55" s="10" t="inlineStr">
        <is>
          <t>Our cost per loan</t>
        </is>
      </c>
      <c r="C55" s="11" t="n">
        <v>150</v>
      </c>
      <c r="D55" s="11" t="n">
        <v>100</v>
      </c>
      <c r="E55" s="11" t="n">
        <v>75</v>
      </c>
      <c r="F55" s="12">
        <f>CHOOSE(scenario,C55,D55,E55)</f>
        <v/>
      </c>
      <c r="G55" s="11" t="n"/>
      <c r="H55" s="11" t="n"/>
      <c r="I55" s="11" t="n"/>
      <c r="J55" s="12">
        <f>IF(H55="",F55,CHOOSE(scenario,G55,H55,I55))</f>
        <v/>
      </c>
      <c r="K55" s="9" t="inlineStr">
        <is>
          <t>INR per loan</t>
        </is>
      </c>
      <c r="L55" s="10" t="inlineStr">
        <is>
          <t>loans sourced</t>
        </is>
      </c>
      <c r="M55" s="9" t="inlineStr">
        <is>
          <t>assumption</t>
        </is>
      </c>
      <c r="N55" s="9" t="inlineStr"/>
      <c r="O55" s="9" t="inlineStr"/>
      <c r="P55" s="9" t="inlineStr">
        <is>
          <t>2026-09-30</t>
        </is>
      </c>
      <c r="Q55" s="10" t="inlineStr"/>
    </row>
    <row r="56">
      <c r="B56" s="8" t="inlineStr">
        <is>
          <t>Lever: own NBFC</t>
        </is>
      </c>
    </row>
    <row r="57">
      <c r="A57" s="9" t="inlineStr">
        <is>
          <t>nbfc_on</t>
        </is>
      </c>
      <c r="B57" s="10" t="inlineStr">
        <is>
          <t>Lend from our own NBFC? (1 = yes)</t>
        </is>
      </c>
      <c r="C57" s="11" t="n">
        <v>0</v>
      </c>
      <c r="D57" s="11" t="n">
        <v>0</v>
      </c>
      <c r="E57" s="11" t="n">
        <v>0</v>
      </c>
      <c r="F57" s="12">
        <f>CHOOSE(scenario,C57,D57,E57)</f>
        <v/>
      </c>
      <c r="G57" s="11" t="n"/>
      <c r="H57" s="11" t="n"/>
      <c r="I57" s="11" t="n"/>
      <c r="J57" s="12">
        <f>IF(H57="",F57,CHOOSE(scenario,G57,H57,I57))</f>
        <v/>
      </c>
      <c r="K57" s="9" t="inlineStr">
        <is>
          <t>switch</t>
        </is>
      </c>
      <c r="L57" s="10" t="inlineStr">
        <is>
          <t>all loans</t>
        </is>
      </c>
      <c r="M57" s="9" t="inlineStr">
        <is>
          <t>lever switch</t>
        </is>
      </c>
      <c r="N57" s="9" t="inlineStr"/>
      <c r="O57" s="9" t="inlineStr"/>
      <c r="P57" s="9" t="inlineStr">
        <is>
          <t>2026-09-30</t>
        </is>
      </c>
      <c r="Q57" s="10" t="inlineStr">
        <is>
          <t>When 1, loans sit on our books: we earn interest and bear all losses; the LSP fee and guarantee switch are ignored</t>
        </is>
      </c>
    </row>
    <row r="58">
      <c r="A58" s="9" t="inlineStr">
        <is>
          <t>nbfc_apr</t>
        </is>
      </c>
      <c r="B58" s="10" t="inlineStr">
        <is>
          <t>Yearly interest rate charged to savers</t>
        </is>
      </c>
      <c r="C58" s="15" t="n">
        <v>0.25</v>
      </c>
      <c r="D58" s="15" t="n">
        <v>0.28</v>
      </c>
      <c r="E58" s="15" t="n">
        <v>0.3</v>
      </c>
      <c r="F58" s="16">
        <f>CHOOSE(scenario,C58,D58,E58)</f>
        <v/>
      </c>
      <c r="G58" s="15" t="n"/>
      <c r="H58" s="15" t="n"/>
      <c r="I58" s="15" t="n"/>
      <c r="J58" s="16">
        <f>IF(H58="",F58,CHOOSE(scenario,G58,H58,I58))</f>
        <v/>
      </c>
      <c r="K58" s="9" t="inlineStr">
        <is>
          <t>annual rate</t>
        </is>
      </c>
      <c r="L58" s="10" t="inlineStr">
        <is>
          <t>own-book loans</t>
        </is>
      </c>
      <c r="M58" s="9" t="inlineStr">
        <is>
          <t>benchmark</t>
        </is>
      </c>
      <c r="N58" s="9" t="inlineStr"/>
      <c r="O58" s="9" t="inlineStr">
        <is>
          <t>LEV-062, LEV-064, LEV-011, LEV-013</t>
        </is>
      </c>
      <c r="P58" s="9" t="inlineStr">
        <is>
          <t>2026</t>
        </is>
      </c>
      <c r="Q58" s="10" t="inlineStr">
        <is>
          <t>Yield on loans at Moneyview 27.6%, Kissht 30.7%</t>
        </is>
      </c>
    </row>
    <row r="59">
      <c r="A59" s="9" t="inlineStr">
        <is>
          <t>nbfc_proc_fee</t>
        </is>
      </c>
      <c r="B59" s="10" t="inlineStr">
        <is>
          <t>Processing fee</t>
        </is>
      </c>
      <c r="C59" s="13" t="n">
        <v>0.02</v>
      </c>
      <c r="D59" s="13" t="n">
        <v>0.03</v>
      </c>
      <c r="E59" s="13" t="n">
        <v>0.04</v>
      </c>
      <c r="F59" s="14">
        <f>CHOOSE(scenario,C59,D59,E59)</f>
        <v/>
      </c>
      <c r="G59" s="13" t="n"/>
      <c r="H59" s="13" t="n"/>
      <c r="I59" s="13" t="n"/>
      <c r="J59" s="14">
        <f>IF(H59="",F59,CHOOSE(scenario,G59,H59,I59))</f>
        <v/>
      </c>
      <c r="K59" s="9" t="inlineStr">
        <is>
          <t>share of loan</t>
        </is>
      </c>
      <c r="L59" s="10" t="inlineStr">
        <is>
          <t>own-book loans</t>
        </is>
      </c>
      <c r="M59" s="9" t="inlineStr">
        <is>
          <t>benchmark</t>
        </is>
      </c>
      <c r="N59" s="9" t="inlineStr"/>
      <c r="O59" s="9" t="inlineStr">
        <is>
          <t>LEV-011, LEV-013</t>
        </is>
      </c>
      <c r="P59" s="9" t="inlineStr">
        <is>
          <t>2026</t>
        </is>
      </c>
      <c r="Q59" s="10" t="inlineStr">
        <is>
          <t>Moneyview from 2%; KreditBee up to 5.5%</t>
        </is>
      </c>
    </row>
    <row r="60">
      <c r="A60" s="9" t="inlineStr">
        <is>
          <t>nbfc_cof</t>
        </is>
      </c>
      <c r="B60" s="10" t="inlineStr">
        <is>
          <t>Our cost of borrowing to fund loans</t>
        </is>
      </c>
      <c r="C60" s="15" t="n">
        <v>0.16</v>
      </c>
      <c r="D60" s="15" t="n">
        <v>0.14</v>
      </c>
      <c r="E60" s="15" t="n">
        <v>0.12</v>
      </c>
      <c r="F60" s="16">
        <f>CHOOSE(scenario,C60,D60,E60)</f>
        <v/>
      </c>
      <c r="G60" s="15" t="n"/>
      <c r="H60" s="15" t="n"/>
      <c r="I60" s="15" t="n"/>
      <c r="J60" s="16">
        <f>IF(H60="",F60,CHOOSE(scenario,G60,H60,I60))</f>
        <v/>
      </c>
      <c r="K60" s="9" t="inlineStr">
        <is>
          <t>annual rate</t>
        </is>
      </c>
      <c r="L60" s="10" t="inlineStr">
        <is>
          <t>own-book loans</t>
        </is>
      </c>
      <c r="M60" s="9" t="inlineStr">
        <is>
          <t>benchmark</t>
        </is>
      </c>
      <c r="N60" s="9" t="inlineStr"/>
      <c r="O60" s="9" t="inlineStr">
        <is>
          <t>LEV-015, LEV-028, LEV-062</t>
        </is>
      </c>
      <c r="P60" s="9" t="inlineStr">
        <is>
          <t>2026</t>
        </is>
      </c>
      <c r="Q60" s="10" t="inlineStr">
        <is>
          <t>Moneyview's NBFC 14.44-14.74%, Kissht 13.3-13.7%, Amica (parent-subsidised) 11.5-12.5%</t>
        </is>
      </c>
    </row>
    <row r="61">
      <c r="B61" s="8" t="inlineStr">
        <is>
          <t>Revenue: loans</t>
        </is>
      </c>
    </row>
    <row r="62">
      <c r="A62" s="9" t="inlineStr">
        <is>
          <t>service_cost</t>
        </is>
      </c>
      <c r="B62" s="10" t="inlineStr">
        <is>
          <t>Collection and servicing cost per loan when we service it (guarantee or own NBFC)</t>
        </is>
      </c>
      <c r="C62" s="11" t="n">
        <v>350</v>
      </c>
      <c r="D62" s="11" t="n">
        <v>250</v>
      </c>
      <c r="E62" s="11" t="n">
        <v>150</v>
      </c>
      <c r="F62" s="12">
        <f>CHOOSE(scenario,C62,D62,E62)</f>
        <v/>
      </c>
      <c r="G62" s="11" t="n"/>
      <c r="H62" s="11" t="n"/>
      <c r="I62" s="11" t="n"/>
      <c r="J62" s="12">
        <f>IF(H62="",F62,CHOOSE(scenario,G62,H62,I62))</f>
        <v/>
      </c>
      <c r="K62" s="9" t="inlineStr">
        <is>
          <t>INR per loan</t>
        </is>
      </c>
      <c r="L62" s="10" t="inlineStr">
        <is>
          <t>own-book loans</t>
        </is>
      </c>
      <c r="M62" s="9" t="inlineStr">
        <is>
          <t>founder data + benchmark</t>
        </is>
      </c>
      <c r="N62" s="9" t="inlineStr"/>
      <c r="O62" s="9" t="inlineStr">
        <is>
          <t>LEV-018, LEV-019</t>
        </is>
      </c>
      <c r="P62" s="9" t="inlineStr">
        <is>
          <t>2026</t>
        </is>
      </c>
      <c r="Q62" s="10" t="inlineStr">
        <is>
          <t>Collection and servicing per loan when WE service it (under the guarantee or our own NBFC). Bueno: Rs 100-300 per loan in collections.</t>
        </is>
      </c>
    </row>
    <row r="63">
      <c r="B63" s="8" t="inlineStr">
        <is>
          <t>Lever: own NBFC</t>
        </is>
      </c>
    </row>
    <row r="64">
      <c r="A64" s="9" t="inlineStr">
        <is>
          <t>nbfc_equity</t>
        </is>
      </c>
      <c r="B64" s="10" t="inlineStr">
        <is>
          <t>Equity needed per rupee of loan book</t>
        </is>
      </c>
      <c r="C64" s="13" t="n">
        <v>0.5</v>
      </c>
      <c r="D64" s="13" t="n">
        <v>0.33</v>
      </c>
      <c r="E64" s="13" t="n">
        <v>0.25</v>
      </c>
      <c r="F64" s="14">
        <f>CHOOSE(scenario,C64,D64,E64)</f>
        <v/>
      </c>
      <c r="G64" s="13" t="n"/>
      <c r="H64" s="13" t="n"/>
      <c r="I64" s="13" t="n"/>
      <c r="J64" s="14">
        <f>IF(H64="",F64,CHOOSE(scenario,G64,H64,I64))</f>
        <v/>
      </c>
      <c r="K64" s="9" t="inlineStr">
        <is>
          <t>share of book</t>
        </is>
      </c>
      <c r="L64" s="10" t="inlineStr">
        <is>
          <t>own-book loans</t>
        </is>
      </c>
      <c r="M64" s="9" t="inlineStr">
        <is>
          <t>benchmark</t>
        </is>
      </c>
      <c r="N64" s="9" t="inlineStr"/>
      <c r="O64" s="9" t="inlineStr">
        <is>
          <t>LEV-023, LEV-024, LEV-063</t>
        </is>
      </c>
      <c r="P64" s="9" t="inlineStr">
        <is>
          <t>2026</t>
        </is>
      </c>
      <c r="Q64" s="10" t="inlineStr">
        <is>
          <t>Peers run 1-3x debt/equity (equity = 1/(1+D/E)); the 15% CRAR floor does not bind (peers hold 24-48%)</t>
        </is>
      </c>
    </row>
    <row r="65">
      <c r="A65" s="9" t="inlineStr">
        <is>
          <t>nbfc_nof_cr</t>
        </is>
      </c>
      <c r="B65" s="10" t="inlineStr">
        <is>
          <t>Minimum net owned fund</t>
        </is>
      </c>
      <c r="C65" s="11" t="n">
        <v>10</v>
      </c>
      <c r="D65" s="11" t="n">
        <v>10</v>
      </c>
      <c r="E65" s="11" t="n">
        <v>10</v>
      </c>
      <c r="F65" s="12">
        <f>CHOOSE(scenario,C65,D65,E65)</f>
        <v/>
      </c>
      <c r="G65" s="11" t="n"/>
      <c r="H65" s="11" t="n"/>
      <c r="I65" s="11" t="n"/>
      <c r="J65" s="12">
        <f>IF(H65="",F65,CHOOSE(scenario,G65,H65,I65))</f>
        <v/>
      </c>
      <c r="K65" s="9" t="inlineStr">
        <is>
          <t>INR crore</t>
        </is>
      </c>
      <c r="L65" s="10" t="inlineStr">
        <is>
          <t>the NBFC</t>
        </is>
      </c>
      <c r="M65" s="9" t="inlineStr">
        <is>
          <t>regulation</t>
        </is>
      </c>
      <c r="N65" s="9" t="inlineStr"/>
      <c r="O65" s="9" t="inlineStr">
        <is>
          <t>REG-017</t>
        </is>
      </c>
      <c r="P65" s="9" t="inlineStr">
        <is>
          <t>2021-10-22</t>
        </is>
      </c>
      <c r="Q65" s="10" t="inlineStr">
        <is>
          <t>Rs 10 crore by 31 Mar 2027</t>
        </is>
      </c>
    </row>
    <row r="66">
      <c r="A66" s="9" t="inlineStr">
        <is>
          <t>nbfc_fixed_cr</t>
        </is>
      </c>
      <c r="B66" s="10" t="inlineStr">
        <is>
          <t>Extra fixed cost of running an NBFC (compliance, risk, audit)</t>
        </is>
      </c>
      <c r="C66" s="11" t="n">
        <v>8</v>
      </c>
      <c r="D66" s="11" t="n">
        <v>5</v>
      </c>
      <c r="E66" s="11" t="n">
        <v>3</v>
      </c>
      <c r="F66" s="12">
        <f>CHOOSE(scenario,C66,D66,E66)</f>
        <v/>
      </c>
      <c r="G66" s="11" t="n"/>
      <c r="H66" s="11" t="n"/>
      <c r="I66" s="11" t="n"/>
      <c r="J66" s="12">
        <f>IF(H66="",F66,CHOOSE(scenario,G66,H66,I66))</f>
        <v/>
      </c>
      <c r="K66" s="9" t="inlineStr">
        <is>
          <t>INR crore per year</t>
        </is>
      </c>
      <c r="L66" s="10" t="inlineStr">
        <is>
          <t>the NBFC, from the year it starts</t>
        </is>
      </c>
      <c r="M66" s="9" t="inlineStr">
        <is>
          <t>assumption</t>
        </is>
      </c>
      <c r="N66" s="9" t="inlineStr"/>
      <c r="O66" s="9" t="inlineStr">
        <is>
          <t>LEV-028, LEV-029</t>
        </is>
      </c>
      <c r="P66" s="9" t="inlineStr">
        <is>
          <t>2026-09-30</t>
        </is>
      </c>
      <c r="Q66" s="10" t="inlineStr">
        <is>
          <t>Jupiter (Amica) and Groww (Creditserv) both lost money in their NBFCs' first year</t>
        </is>
      </c>
    </row>
    <row r="67">
      <c r="B67" s="8" t="inlineStr">
        <is>
          <t>Lever: digital gold</t>
        </is>
      </c>
    </row>
    <row r="68">
      <c r="A68" s="9" t="inlineStr">
        <is>
          <t>gold_on</t>
        </is>
      </c>
      <c r="B68" s="10" t="inlineStr">
        <is>
          <t>Offer digital gold? (1 = yes)</t>
        </is>
      </c>
      <c r="C68" s="11" t="n">
        <v>1</v>
      </c>
      <c r="D68" s="11" t="n">
        <v>1</v>
      </c>
      <c r="E68" s="11" t="n">
        <v>1</v>
      </c>
      <c r="F68" s="12">
        <f>CHOOSE(scenario,C68,D68,E68)</f>
        <v/>
      </c>
      <c r="G68" s="11" t="n"/>
      <c r="H68" s="11" t="n"/>
      <c r="I68" s="11" t="n"/>
      <c r="J68" s="12">
        <f>IF(H68="",F68,CHOOSE(scenario,G68,H68,I68))</f>
        <v/>
      </c>
      <c r="K68" s="9" t="inlineStr">
        <is>
          <t>switch</t>
        </is>
      </c>
      <c r="L68" s="10" t="inlineStr">
        <is>
          <t>savings</t>
        </is>
      </c>
      <c r="M68" s="9" t="inlineStr">
        <is>
          <t>founder's chosen plan (2026-09-30): 5% loss cover + gold</t>
        </is>
      </c>
      <c r="N68" s="9" t="inlineStr"/>
      <c r="O68" s="9" t="inlineStr">
        <is>
          <t>REG-022, REG-023, REG-024, LEV-041, LEV-043</t>
        </is>
      </c>
      <c r="P68" s="9" t="inlineStr">
        <is>
          <t>2026-09-30</t>
        </is>
      </c>
      <c r="Q68" s="10" t="inlineStr">
        <is>
          <t>Gold takes Rs 10 saves [LEV-039]; unregulated, framework under consultation, cannot back a loan. Set to 0 for the idea as briefed.</t>
        </is>
      </c>
    </row>
    <row r="69">
      <c r="A69" s="9" t="inlineStr">
        <is>
          <t>gold_share</t>
        </is>
      </c>
      <c r="B69" s="10" t="inlineStr">
        <is>
          <t>Share of each rupee saved that goes into gold</t>
        </is>
      </c>
      <c r="C69" s="13" t="n">
        <v>0.5</v>
      </c>
      <c r="D69" s="13" t="n">
        <v>0.5</v>
      </c>
      <c r="E69" s="13" t="n">
        <v>0.5</v>
      </c>
      <c r="F69" s="14">
        <f>CHOOSE(scenario,C69,D69,E69)</f>
        <v/>
      </c>
      <c r="G69" s="13" t="n"/>
      <c r="H69" s="13" t="n"/>
      <c r="I69" s="13" t="n"/>
      <c r="J69" s="14">
        <f>IF(H69="",F69,CHOOSE(scenario,G69,H69,I69))</f>
        <v/>
      </c>
      <c r="K69" s="9" t="inlineStr">
        <is>
          <t>share</t>
        </is>
      </c>
      <c r="L69" s="10" t="inlineStr">
        <is>
          <t>money saved</t>
        </is>
      </c>
      <c r="M69" s="9" t="inlineStr">
        <is>
          <t>founder decision (2 Oct 2026): half of savings in gold, half in fund/FD so it can back a loan</t>
        </is>
      </c>
      <c r="N69" s="9" t="inlineStr"/>
      <c r="O69" s="9" t="inlineStr">
        <is>
          <t>REG-043, LEV-039</t>
        </is>
      </c>
      <c r="P69" s="9" t="inlineStr">
        <is>
          <t>2026-10-02</t>
        </is>
      </c>
      <c r="Q69" s="10" t="inlineStr">
        <is>
          <t>Was 0.5/0.7/0.8. Gold cannot back a loan or card [REG-022/023]; the fund and FD half can. Daily saves under Rs 100 still go to gold first.</t>
        </is>
      </c>
    </row>
    <row r="70">
      <c r="A70" s="17" t="inlineStr">
        <is>
          <t>gold_margin</t>
        </is>
      </c>
      <c r="B70" s="18" t="inlineStr">
        <is>
          <t>Our margin on gold bought</t>
        </is>
      </c>
      <c r="C70" s="19" t="n">
        <v>0.01</v>
      </c>
      <c r="D70" s="19" t="n">
        <v>0.015</v>
      </c>
      <c r="E70" s="19" t="n">
        <v>0.024</v>
      </c>
      <c r="F70" s="20">
        <f>CHOOSE(scenario,C70,D70,E70)</f>
        <v/>
      </c>
      <c r="G70" s="19" t="n"/>
      <c r="H70" s="19" t="n"/>
      <c r="I70" s="19" t="n"/>
      <c r="J70" s="20">
        <f>IF(H70="",F70,CHOOSE(scenario,G70,H70,I70))</f>
        <v/>
      </c>
      <c r="K70" s="17" t="inlineStr">
        <is>
          <t>share of gold bought</t>
        </is>
      </c>
      <c r="L70" s="18" t="inlineStr">
        <is>
          <t>gold purchases</t>
        </is>
      </c>
      <c r="M70" s="17" t="inlineStr">
        <is>
          <t>benchmark, UNVERIFIED (distributor commission)</t>
        </is>
      </c>
      <c r="N70" s="17" t="inlineStr"/>
      <c r="O70" s="17" t="inlineStr">
        <is>
          <t>LEV-036, LEV-071, LEV-035, LEV-037</t>
        </is>
      </c>
      <c r="P70" s="17" t="inlineStr">
        <is>
          <t>2026</t>
        </is>
      </c>
      <c r="Q70" s="18" t="inlineStr">
        <is>
          <t>Only published figure: Jar about 2.4% as a distributor (case study). Augmont confirms a per-transaction commission, rate undisclosed. Savers pay a 2-3% spread + 3% GST: a round trip inside a year loses them money.</t>
        </is>
      </c>
    </row>
    <row r="71">
      <c r="B71" s="8" t="inlineStr">
        <is>
          <t>Revenue: cards</t>
        </is>
      </c>
    </row>
    <row r="72">
      <c r="A72" s="9" t="inlineStr">
        <is>
          <t>card_start</t>
        </is>
      </c>
      <c r="B72" s="10" t="inlineStr">
        <is>
          <t>Month a saver can get an FD-secured card</t>
        </is>
      </c>
      <c r="C72" s="11" t="n">
        <v>9</v>
      </c>
      <c r="D72" s="11" t="n">
        <v>6</v>
      </c>
      <c r="E72" s="11" t="n">
        <v>6</v>
      </c>
      <c r="F72" s="12">
        <f>CHOOSE(scenario,C72,D72,E72)</f>
        <v/>
      </c>
      <c r="G72" s="11" t="n"/>
      <c r="H72" s="11" t="n"/>
      <c r="I72" s="11" t="n"/>
      <c r="J72" s="12">
        <f>IF(H72="",F72,CHOOSE(scenario,G72,H72,I72))</f>
        <v/>
      </c>
      <c r="K72" s="9" t="inlineStr">
        <is>
          <t>month</t>
        </is>
      </c>
      <c r="L72" s="10" t="inlineStr">
        <is>
          <t>cohort age</t>
        </is>
      </c>
      <c r="M72" s="9" t="inlineStr">
        <is>
          <t>product design</t>
        </is>
      </c>
      <c r="N72" s="9" t="inlineStr"/>
      <c r="O72" s="9" t="inlineStr"/>
      <c r="P72" s="9" t="inlineStr">
        <is>
          <t>2026-09-30</t>
        </is>
      </c>
      <c r="Q72" s="10" t="inlineStr"/>
    </row>
    <row r="73">
      <c r="A73" s="9" t="inlineStr">
        <is>
          <t>card_eligible</t>
        </is>
      </c>
      <c r="B73" s="10" t="inlineStr">
        <is>
          <t>Share of active savers eligible (enough in FD)</t>
        </is>
      </c>
      <c r="C73" s="13" t="n">
        <v>0.25</v>
      </c>
      <c r="D73" s="13" t="n">
        <v>0.4</v>
      </c>
      <c r="E73" s="13" t="n">
        <v>0.5</v>
      </c>
      <c r="F73" s="14">
        <f>CHOOSE(scenario,C73,D73,E73)</f>
        <v/>
      </c>
      <c r="G73" s="13" t="n"/>
      <c r="H73" s="13" t="n"/>
      <c r="I73" s="13" t="n"/>
      <c r="J73" s="14">
        <f>IF(H73="",F73,CHOOSE(scenario,G73,H73,I73))</f>
        <v/>
      </c>
      <c r="K73" s="9" t="inlineStr">
        <is>
          <t>share</t>
        </is>
      </c>
      <c r="L73" s="10" t="inlineStr">
        <is>
          <t>active savers</t>
        </is>
      </c>
      <c r="M73" s="9" t="inlineStr">
        <is>
          <t>assumption</t>
        </is>
      </c>
      <c r="N73" s="9" t="inlineStr"/>
      <c r="O73" s="9" t="inlineStr"/>
      <c r="P73" s="9" t="inlineStr">
        <is>
          <t>2026-09-30</t>
        </is>
      </c>
      <c r="Q73" s="10" t="inlineStr"/>
    </row>
    <row r="74">
      <c r="A74" s="9" t="inlineStr">
        <is>
          <t>card_uptake</t>
        </is>
      </c>
      <c r="B74" s="10" t="inlineStr">
        <is>
          <t>Monthly take-up among eligible savers without a card</t>
        </is>
      </c>
      <c r="C74" s="13" t="n">
        <v>0.015</v>
      </c>
      <c r="D74" s="13" t="n">
        <v>0.03</v>
      </c>
      <c r="E74" s="13" t="n">
        <v>0.045</v>
      </c>
      <c r="F74" s="14">
        <f>CHOOSE(scenario,C74,D74,E74)</f>
        <v/>
      </c>
      <c r="G74" s="13" t="n"/>
      <c r="H74" s="13" t="n"/>
      <c r="I74" s="13" t="n"/>
      <c r="J74" s="14">
        <f>IF(H74="",F74,CHOOSE(scenario,G74,H74,I74))</f>
        <v/>
      </c>
      <c r="K74" s="9" t="inlineStr">
        <is>
          <t>share per month</t>
        </is>
      </c>
      <c r="L74" s="10" t="inlineStr">
        <is>
          <t>eligible active savers</t>
        </is>
      </c>
      <c r="M74" s="9" t="inlineStr">
        <is>
          <t>assumption</t>
        </is>
      </c>
      <c r="N74" s="9" t="inlineStr"/>
      <c r="O74" s="9" t="inlineStr"/>
      <c r="P74" s="9" t="inlineStr">
        <is>
          <t>2026-09-30</t>
        </is>
      </c>
      <c r="Q74" s="10" t="inlineStr"/>
    </row>
    <row r="75">
      <c r="A75" s="9" t="inlineStr">
        <is>
          <t>card_fee</t>
        </is>
      </c>
      <c r="B75" s="10" t="inlineStr">
        <is>
          <t>Fee per FD-secured card issued</t>
        </is>
      </c>
      <c r="C75" s="11" t="n">
        <v>200</v>
      </c>
      <c r="D75" s="11" t="n">
        <v>500</v>
      </c>
      <c r="E75" s="11" t="n">
        <v>1000</v>
      </c>
      <c r="F75" s="12">
        <f>CHOOSE(scenario,C75,D75,E75)</f>
        <v/>
      </c>
      <c r="G75" s="11" t="n"/>
      <c r="H75" s="11" t="n"/>
      <c r="I75" s="11" t="n"/>
      <c r="J75" s="12">
        <f>IF(H75="",F75,CHOOSE(scenario,G75,H75,I75))</f>
        <v/>
      </c>
      <c r="K75" s="9" t="inlineStr">
        <is>
          <t>INR per card</t>
        </is>
      </c>
      <c r="L75" s="10" t="inlineStr">
        <is>
          <t>cards issued</t>
        </is>
      </c>
      <c r="M75" s="9" t="inlineStr">
        <is>
          <t>assumption: no FD-secured card payout found</t>
        </is>
      </c>
      <c r="N75" s="9" t="inlineStr"/>
      <c r="O75" s="9" t="inlineStr">
        <is>
          <t>BM-08</t>
        </is>
      </c>
      <c r="P75" s="9" t="inlineStr">
        <is>
          <t>2026-09-30</t>
        </is>
      </c>
      <c r="Q75" s="10" t="inlineStr">
        <is>
          <t>Unsecured-card affiliate payouts are Rs 500-2,000; secured-card payouts are probably lower.</t>
        </is>
      </c>
    </row>
    <row r="76">
      <c r="A76" s="9" t="inlineStr">
        <is>
          <t>card_churn</t>
        </is>
      </c>
      <c r="B76" s="10" t="inlineStr">
        <is>
          <t>Monthly share of card holders who stop</t>
        </is>
      </c>
      <c r="C76" s="13" t="n">
        <v>0.04</v>
      </c>
      <c r="D76" s="13" t="n">
        <v>0.025</v>
      </c>
      <c r="E76" s="13" t="n">
        <v>0.015</v>
      </c>
      <c r="F76" s="14">
        <f>CHOOSE(scenario,C76,D76,E76)</f>
        <v/>
      </c>
      <c r="G76" s="13" t="n"/>
      <c r="H76" s="13" t="n"/>
      <c r="I76" s="13" t="n"/>
      <c r="J76" s="14">
        <f>IF(H76="",F76,CHOOSE(scenario,G76,H76,I76))</f>
        <v/>
      </c>
      <c r="K76" s="9" t="inlineStr">
        <is>
          <t>share per month</t>
        </is>
      </c>
      <c r="L76" s="10" t="inlineStr">
        <is>
          <t>card holders</t>
        </is>
      </c>
      <c r="M76" s="9" t="inlineStr">
        <is>
          <t>assumption</t>
        </is>
      </c>
      <c r="N76" s="9" t="inlineStr"/>
      <c r="O76" s="9" t="inlineStr"/>
      <c r="P76" s="9" t="inlineStr">
        <is>
          <t>2026-09-30</t>
        </is>
      </c>
      <c r="Q76" s="10" t="inlineStr"/>
    </row>
    <row r="77">
      <c r="A77" s="9" t="inlineStr">
        <is>
          <t>card_spend</t>
        </is>
      </c>
      <c r="B77" s="10" t="inlineStr">
        <is>
          <t>Monthly spend per card holder</t>
        </is>
      </c>
      <c r="C77" s="11" t="n">
        <v>1500</v>
      </c>
      <c r="D77" s="11" t="n">
        <v>3000</v>
      </c>
      <c r="E77" s="11" t="n">
        <v>5000</v>
      </c>
      <c r="F77" s="12">
        <f>CHOOSE(scenario,C77,D77,E77)</f>
        <v/>
      </c>
      <c r="G77" s="11" t="n"/>
      <c r="H77" s="11" t="n"/>
      <c r="I77" s="11" t="n"/>
      <c r="J77" s="12">
        <f>IF(H77="",F77,CHOOSE(scenario,G77,H77,I77))</f>
        <v/>
      </c>
      <c r="K77" s="9" t="inlineStr">
        <is>
          <t>INR per month</t>
        </is>
      </c>
      <c r="L77" s="10" t="inlineStr">
        <is>
          <t>card holders</t>
        </is>
      </c>
      <c r="M77" s="9" t="inlineStr">
        <is>
          <t>assumption</t>
        </is>
      </c>
      <c r="N77" s="9" t="inlineStr"/>
      <c r="O77" s="9" t="inlineStr"/>
      <c r="P77" s="9" t="inlineStr">
        <is>
          <t>2026-09-30</t>
        </is>
      </c>
      <c r="Q77" s="10" t="inlineStr"/>
    </row>
    <row r="78">
      <c r="A78" s="9" t="inlineStr">
        <is>
          <t>card_ic_share</t>
        </is>
      </c>
      <c r="B78" s="10" t="inlineStr">
        <is>
          <t>Our share of card spend (interchange share)</t>
        </is>
      </c>
      <c r="C78" s="13" t="n">
        <v>0</v>
      </c>
      <c r="D78" s="13" t="n">
        <v>0</v>
      </c>
      <c r="E78" s="13" t="n">
        <v>0.0025</v>
      </c>
      <c r="F78" s="14">
        <f>CHOOSE(scenario,C78,D78,E78)</f>
        <v/>
      </c>
      <c r="G78" s="13" t="n"/>
      <c r="H78" s="13" t="n"/>
      <c r="I78" s="13" t="n"/>
      <c r="J78" s="14">
        <f>IF(H78="",F78,CHOOSE(scenario,G78,H78,I78))</f>
        <v/>
      </c>
      <c r="K78" s="9" t="inlineStr">
        <is>
          <t>share of spend</t>
        </is>
      </c>
      <c r="L78" s="10" t="inlineStr">
        <is>
          <t>card spend</t>
        </is>
      </c>
      <c r="M78" s="9" t="inlineStr">
        <is>
          <t>assumption</t>
        </is>
      </c>
      <c r="N78" s="9" t="inlineStr"/>
      <c r="O78" s="9" t="inlineStr">
        <is>
          <t>REG-087</t>
        </is>
      </c>
      <c r="P78" s="9" t="inlineStr">
        <is>
          <t>2022-04-21</t>
        </is>
      </c>
      <c r="Q78" s="10" t="inlineStr">
        <is>
          <t>A sourcing partner gets no card-transaction data and usually no ongoing share. Bull assumes a co-brand deal that shares 0.25% of spend.</t>
        </is>
      </c>
    </row>
    <row r="79">
      <c r="A79" s="9" t="inlineStr">
        <is>
          <t>card_ops_cost</t>
        </is>
      </c>
      <c r="B79" s="10" t="inlineStr">
        <is>
          <t>Our cost per card issued</t>
        </is>
      </c>
      <c r="C79" s="11" t="n">
        <v>150</v>
      </c>
      <c r="D79" s="11" t="n">
        <v>100</v>
      </c>
      <c r="E79" s="11" t="n">
        <v>75</v>
      </c>
      <c r="F79" s="12">
        <f>CHOOSE(scenario,C79,D79,E79)</f>
        <v/>
      </c>
      <c r="G79" s="11" t="n"/>
      <c r="H79" s="11" t="n"/>
      <c r="I79" s="11" t="n"/>
      <c r="J79" s="12">
        <f>IF(H79="",F79,CHOOSE(scenario,G79,H79,I79))</f>
        <v/>
      </c>
      <c r="K79" s="9" t="inlineStr">
        <is>
          <t>INR per card</t>
        </is>
      </c>
      <c r="L79" s="10" t="inlineStr">
        <is>
          <t>cards issued</t>
        </is>
      </c>
      <c r="M79" s="9" t="inlineStr">
        <is>
          <t>assumption</t>
        </is>
      </c>
      <c r="N79" s="9" t="inlineStr"/>
      <c r="O79" s="9" t="inlineStr"/>
      <c r="P79" s="9" t="inlineStr">
        <is>
          <t>2026-09-30</t>
        </is>
      </c>
      <c r="Q79" s="10" t="inlineStr"/>
    </row>
    <row r="80">
      <c r="A80" s="9" t="inlineStr">
        <is>
          <t>unsec_start</t>
        </is>
      </c>
      <c r="B80" s="10" t="inlineStr">
        <is>
          <t>Month FD-card holders can move to an unsecured card</t>
        </is>
      </c>
      <c r="C80" s="11" t="n">
        <v>24</v>
      </c>
      <c r="D80" s="11" t="n">
        <v>18</v>
      </c>
      <c r="E80" s="11" t="n">
        <v>15</v>
      </c>
      <c r="F80" s="12">
        <f>CHOOSE(scenario,C80,D80,E80)</f>
        <v/>
      </c>
      <c r="G80" s="11" t="n"/>
      <c r="H80" s="11" t="n"/>
      <c r="I80" s="11" t="n"/>
      <c r="J80" s="12">
        <f>IF(H80="",F80,CHOOSE(scenario,G80,H80,I80))</f>
        <v/>
      </c>
      <c r="K80" s="9" t="inlineStr">
        <is>
          <t>month</t>
        </is>
      </c>
      <c r="L80" s="10" t="inlineStr">
        <is>
          <t>cohort age</t>
        </is>
      </c>
      <c r="M80" s="9" t="inlineStr">
        <is>
          <t>product design</t>
        </is>
      </c>
      <c r="N80" s="9" t="inlineStr"/>
      <c r="O80" s="9" t="inlineStr"/>
      <c r="P80" s="9" t="inlineStr">
        <is>
          <t>2026-09-30</t>
        </is>
      </c>
      <c r="Q80" s="10" t="inlineStr"/>
    </row>
    <row r="81">
      <c r="A81" s="9" t="inlineStr">
        <is>
          <t>unsec_grad</t>
        </is>
      </c>
      <c r="B81" s="10" t="inlineStr">
        <is>
          <t>Monthly share of FD-card holders who move to an unsecured card</t>
        </is>
      </c>
      <c r="C81" s="13" t="n">
        <v>0.005</v>
      </c>
      <c r="D81" s="13" t="n">
        <v>0.01</v>
      </c>
      <c r="E81" s="13" t="n">
        <v>0.02</v>
      </c>
      <c r="F81" s="14">
        <f>CHOOSE(scenario,C81,D81,E81)</f>
        <v/>
      </c>
      <c r="G81" s="13" t="n"/>
      <c r="H81" s="13" t="n"/>
      <c r="I81" s="13" t="n"/>
      <c r="J81" s="14">
        <f>IF(H81="",F81,CHOOSE(scenario,G81,H81,I81))</f>
        <v/>
      </c>
      <c r="K81" s="9" t="inlineStr">
        <is>
          <t>share per month</t>
        </is>
      </c>
      <c r="L81" s="10" t="inlineStr">
        <is>
          <t>FD-card holders not yet moved</t>
        </is>
      </c>
      <c r="M81" s="9" t="inlineStr">
        <is>
          <t>assumption</t>
        </is>
      </c>
      <c r="N81" s="9" t="inlineStr"/>
      <c r="O81" s="9" t="inlineStr"/>
      <c r="P81" s="9" t="inlineStr">
        <is>
          <t>2026-09-30</t>
        </is>
      </c>
      <c r="Q81" s="10" t="inlineStr"/>
    </row>
    <row r="82">
      <c r="A82" s="17" t="inlineStr">
        <is>
          <t>unsec_fee</t>
        </is>
      </c>
      <c r="B82" s="18" t="inlineStr">
        <is>
          <t>Fee per unsecured card issued</t>
        </is>
      </c>
      <c r="C82" s="21" t="n">
        <v>500</v>
      </c>
      <c r="D82" s="21" t="n">
        <v>1000</v>
      </c>
      <c r="E82" s="21" t="n">
        <v>2000</v>
      </c>
      <c r="F82" s="22">
        <f>CHOOSE(scenario,C82,D82,E82)</f>
        <v/>
      </c>
      <c r="G82" s="21" t="n"/>
      <c r="H82" s="21" t="n"/>
      <c r="I82" s="21" t="n"/>
      <c r="J82" s="22">
        <f>IF(H82="",F82,CHOOSE(scenario,G82,H82,I82))</f>
        <v/>
      </c>
      <c r="K82" s="17" t="inlineStr">
        <is>
          <t>INR per card</t>
        </is>
      </c>
      <c r="L82" s="18" t="inlineStr">
        <is>
          <t>unsecured cards issued</t>
        </is>
      </c>
      <c r="M82" s="17" t="inlineStr">
        <is>
          <t>benchmark, UNVERIFIED (affiliate blogs)</t>
        </is>
      </c>
      <c r="N82" s="17" t="inlineStr"/>
      <c r="O82" s="17" t="inlineStr">
        <is>
          <t>BM-08</t>
        </is>
      </c>
      <c r="P82" s="17" t="inlineStr">
        <is>
          <t>2026-09-30</t>
        </is>
      </c>
      <c r="Q82" s="18" t="inlineStr">
        <is>
          <t>Rs 500-2,000 per approved card typical.</t>
        </is>
      </c>
    </row>
    <row r="83">
      <c r="B83" s="8" t="inlineStr">
        <is>
          <t>Revenue: SIP</t>
        </is>
      </c>
    </row>
    <row r="84">
      <c r="A84" s="9" t="inlineStr">
        <is>
          <t>sip_start</t>
        </is>
      </c>
      <c r="B84" s="10" t="inlineStr">
        <is>
          <t>Month a saver is offered an equity SIP</t>
        </is>
      </c>
      <c r="C84" s="11" t="n">
        <v>9</v>
      </c>
      <c r="D84" s="11" t="n">
        <v>6</v>
      </c>
      <c r="E84" s="11" t="n">
        <v>6</v>
      </c>
      <c r="F84" s="12">
        <f>CHOOSE(scenario,C84,D84,E84)</f>
        <v/>
      </c>
      <c r="G84" s="11" t="n"/>
      <c r="H84" s="11" t="n"/>
      <c r="I84" s="11" t="n"/>
      <c r="J84" s="12">
        <f>IF(H84="",F84,CHOOSE(scenario,G84,H84,I84))</f>
        <v/>
      </c>
      <c r="K84" s="9" t="inlineStr">
        <is>
          <t>month</t>
        </is>
      </c>
      <c r="L84" s="10" t="inlineStr">
        <is>
          <t>cohort age</t>
        </is>
      </c>
      <c r="M84" s="9" t="inlineStr">
        <is>
          <t>product design</t>
        </is>
      </c>
      <c r="N84" s="9" t="inlineStr"/>
      <c r="O84" s="9" t="inlineStr"/>
      <c r="P84" s="9" t="inlineStr">
        <is>
          <t>2026-09-30</t>
        </is>
      </c>
      <c r="Q84" s="10" t="inlineStr"/>
    </row>
    <row r="85">
      <c r="A85" s="9" t="inlineStr">
        <is>
          <t>sip_eligible</t>
        </is>
      </c>
      <c r="B85" s="10" t="inlineStr">
        <is>
          <t>Share of active savers who could start a SIP</t>
        </is>
      </c>
      <c r="C85" s="13" t="n">
        <v>1</v>
      </c>
      <c r="D85" s="13" t="n">
        <v>1</v>
      </c>
      <c r="E85" s="13" t="n">
        <v>1</v>
      </c>
      <c r="F85" s="14">
        <f>CHOOSE(scenario,C85,D85,E85)</f>
        <v/>
      </c>
      <c r="G85" s="13" t="n"/>
      <c r="H85" s="13" t="n"/>
      <c r="I85" s="13" t="n"/>
      <c r="J85" s="14">
        <f>IF(H85="",F85,CHOOSE(scenario,G85,H85,I85))</f>
        <v/>
      </c>
      <c r="K85" s="9" t="inlineStr">
        <is>
          <t>share</t>
        </is>
      </c>
      <c r="L85" s="10" t="inlineStr">
        <is>
          <t>active savers</t>
        </is>
      </c>
      <c r="M85" s="9" t="inlineStr">
        <is>
          <t>product design</t>
        </is>
      </c>
      <c r="N85" s="9" t="inlineStr"/>
      <c r="O85" s="9" t="inlineStr"/>
      <c r="P85" s="9" t="inlineStr">
        <is>
          <t>2026-09-30</t>
        </is>
      </c>
      <c r="Q85" s="10" t="inlineStr"/>
    </row>
    <row r="86">
      <c r="A86" s="9" t="inlineStr">
        <is>
          <t>sip_uptake</t>
        </is>
      </c>
      <c r="B86" s="10" t="inlineStr">
        <is>
          <t>Monthly take-up among savers without a SIP</t>
        </is>
      </c>
      <c r="C86" s="13" t="n">
        <v>0.005</v>
      </c>
      <c r="D86" s="13" t="n">
        <v>0.01</v>
      </c>
      <c r="E86" s="13" t="n">
        <v>0.02</v>
      </c>
      <c r="F86" s="14">
        <f>CHOOSE(scenario,C86,D86,E86)</f>
        <v/>
      </c>
      <c r="G86" s="13" t="n"/>
      <c r="H86" s="13" t="n"/>
      <c r="I86" s="13" t="n"/>
      <c r="J86" s="14">
        <f>IF(H86="",F86,CHOOSE(scenario,G86,H86,I86))</f>
        <v/>
      </c>
      <c r="K86" s="9" t="inlineStr">
        <is>
          <t>share per month</t>
        </is>
      </c>
      <c r="L86" s="10" t="inlineStr">
        <is>
          <t>active savers without a SIP</t>
        </is>
      </c>
      <c r="M86" s="9" t="inlineStr">
        <is>
          <t>assumption</t>
        </is>
      </c>
      <c r="N86" s="9" t="inlineStr"/>
      <c r="O86" s="9" t="inlineStr"/>
      <c r="P86" s="9" t="inlineStr">
        <is>
          <t>2026-09-30</t>
        </is>
      </c>
      <c r="Q86" s="10" t="inlineStr"/>
    </row>
    <row r="87">
      <c r="A87" s="9" t="inlineStr">
        <is>
          <t>sip_stop</t>
        </is>
      </c>
      <c r="B87" s="10" t="inlineStr">
        <is>
          <t>Monthly share of SIP holders who stop</t>
        </is>
      </c>
      <c r="C87" s="13" t="n">
        <v>0.05</v>
      </c>
      <c r="D87" s="13" t="n">
        <v>0.03</v>
      </c>
      <c r="E87" s="13" t="n">
        <v>0.02</v>
      </c>
      <c r="F87" s="14">
        <f>CHOOSE(scenario,C87,D87,E87)</f>
        <v/>
      </c>
      <c r="G87" s="13" t="n"/>
      <c r="H87" s="13" t="n"/>
      <c r="I87" s="13" t="n"/>
      <c r="J87" s="14">
        <f>IF(H87="",F87,CHOOSE(scenario,G87,H87,I87))</f>
        <v/>
      </c>
      <c r="K87" s="9" t="inlineStr">
        <is>
          <t>share per month</t>
        </is>
      </c>
      <c r="L87" s="10" t="inlineStr">
        <is>
          <t>SIP holders</t>
        </is>
      </c>
      <c r="M87" s="9" t="inlineStr">
        <is>
          <t>assumption</t>
        </is>
      </c>
      <c r="N87" s="9" t="inlineStr"/>
      <c r="O87" s="9" t="inlineStr"/>
      <c r="P87" s="9" t="inlineStr">
        <is>
          <t>2026-09-30</t>
        </is>
      </c>
      <c r="Q87" s="10" t="inlineStr"/>
    </row>
    <row r="88">
      <c r="A88" s="9" t="inlineStr">
        <is>
          <t>sip_amount</t>
        </is>
      </c>
      <c r="B88" s="10" t="inlineStr">
        <is>
          <t>SIP amount</t>
        </is>
      </c>
      <c r="C88" s="11" t="n">
        <v>250</v>
      </c>
      <c r="D88" s="11" t="n">
        <v>500</v>
      </c>
      <c r="E88" s="11" t="n">
        <v>750</v>
      </c>
      <c r="F88" s="12">
        <f>CHOOSE(scenario,C88,D88,E88)</f>
        <v/>
      </c>
      <c r="G88" s="11" t="n"/>
      <c r="H88" s="11" t="n"/>
      <c r="I88" s="11" t="n"/>
      <c r="J88" s="12">
        <f>IF(H88="",F88,CHOOSE(scenario,G88,H88,I88))</f>
        <v/>
      </c>
      <c r="K88" s="9" t="inlineStr">
        <is>
          <t>INR per month</t>
        </is>
      </c>
      <c r="L88" s="10" t="inlineStr">
        <is>
          <t>SIP holders</t>
        </is>
      </c>
      <c r="M88" s="9" t="inlineStr">
        <is>
          <t>assumption</t>
        </is>
      </c>
      <c r="N88" s="9" t="inlineStr"/>
      <c r="O88" s="9" t="inlineStr"/>
      <c r="P88" s="9" t="inlineStr">
        <is>
          <t>2026-09-30</t>
        </is>
      </c>
      <c r="Q88" s="10" t="inlineStr">
        <is>
          <t>SBI JanNivesh minimum Rs 250</t>
        </is>
      </c>
    </row>
    <row r="89">
      <c r="A89" s="9" t="inlineStr">
        <is>
          <t>sip_return</t>
        </is>
      </c>
      <c r="B89" s="10" t="inlineStr">
        <is>
          <t>Equity fund return</t>
        </is>
      </c>
      <c r="C89" s="13" t="n">
        <v>0.08</v>
      </c>
      <c r="D89" s="13" t="n">
        <v>0.1</v>
      </c>
      <c r="E89" s="13" t="n">
        <v>0.12</v>
      </c>
      <c r="F89" s="14">
        <f>CHOOSE(scenario,C89,D89,E89)</f>
        <v/>
      </c>
      <c r="G89" s="13" t="n"/>
      <c r="H89" s="13" t="n"/>
      <c r="I89" s="13" t="n"/>
      <c r="J89" s="14">
        <f>IF(H89="",F89,CHOOSE(scenario,G89,H89,I89))</f>
        <v/>
      </c>
      <c r="K89" s="9" t="inlineStr">
        <is>
          <t>per year</t>
        </is>
      </c>
      <c r="L89" s="10" t="inlineStr">
        <is>
          <t>SIP balance</t>
        </is>
      </c>
      <c r="M89" s="9" t="inlineStr">
        <is>
          <t>assumption</t>
        </is>
      </c>
      <c r="N89" s="9" t="inlineStr"/>
      <c r="O89" s="9" t="inlineStr"/>
      <c r="P89" s="9" t="inlineStr">
        <is>
          <t>2026-09-30</t>
        </is>
      </c>
      <c r="Q89" s="10" t="inlineStr"/>
    </row>
    <row r="90">
      <c r="A90" s="9" t="inlineStr">
        <is>
          <t>sip_redeem</t>
        </is>
      </c>
      <c r="B90" s="10" t="inlineStr">
        <is>
          <t>Share of SIP balance redeemed per month</t>
        </is>
      </c>
      <c r="C90" s="13" t="n">
        <v>0.03</v>
      </c>
      <c r="D90" s="13" t="n">
        <v>0.02</v>
      </c>
      <c r="E90" s="13" t="n">
        <v>0.01</v>
      </c>
      <c r="F90" s="14">
        <f>CHOOSE(scenario,C90,D90,E90)</f>
        <v/>
      </c>
      <c r="G90" s="13" t="n"/>
      <c r="H90" s="13" t="n"/>
      <c r="I90" s="13" t="n"/>
      <c r="J90" s="14">
        <f>IF(H90="",F90,CHOOSE(scenario,G90,H90,I90))</f>
        <v/>
      </c>
      <c r="K90" s="9" t="inlineStr">
        <is>
          <t>share per month</t>
        </is>
      </c>
      <c r="L90" s="10" t="inlineStr">
        <is>
          <t>SIP balance</t>
        </is>
      </c>
      <c r="M90" s="9" t="inlineStr">
        <is>
          <t>assumption</t>
        </is>
      </c>
      <c r="N90" s="9" t="inlineStr"/>
      <c r="O90" s="9" t="inlineStr"/>
      <c r="P90" s="9" t="inlineStr">
        <is>
          <t>2026-09-30</t>
        </is>
      </c>
      <c r="Q90" s="10" t="inlineStr"/>
    </row>
    <row r="91">
      <c r="A91" s="9" t="inlineStr">
        <is>
          <t>trail_equity</t>
        </is>
      </c>
      <c r="B91" s="10" t="inlineStr">
        <is>
          <t>Distributor trail on equity SIP balance</t>
        </is>
      </c>
      <c r="C91" s="13" t="n">
        <v>0.005</v>
      </c>
      <c r="D91" s="13" t="n">
        <v>0.0075</v>
      </c>
      <c r="E91" s="13" t="n">
        <v>0.01</v>
      </c>
      <c r="F91" s="14">
        <f>CHOOSE(scenario,C91,D91,E91)</f>
        <v/>
      </c>
      <c r="G91" s="13" t="n"/>
      <c r="H91" s="13" t="n"/>
      <c r="I91" s="13" t="n"/>
      <c r="J91" s="14">
        <f>IF(H91="",F91,CHOOSE(scenario,G91,H91,I91))</f>
        <v/>
      </c>
      <c r="K91" s="9" t="inlineStr">
        <is>
          <t>per year</t>
        </is>
      </c>
      <c r="L91" s="10" t="inlineStr">
        <is>
          <t>equity SIP balance (regular plan)</t>
        </is>
      </c>
      <c r="M91" s="9" t="inlineStr">
        <is>
          <t>benchmark: regular minus direct TER gap</t>
        </is>
      </c>
      <c r="N91" s="9" t="inlineStr"/>
      <c r="O91" s="9" t="inlineStr">
        <is>
          <t>OWN-04</t>
        </is>
      </c>
      <c r="P91" s="9" t="inlineStr">
        <is>
          <t>2026</t>
        </is>
      </c>
      <c r="Q91" s="10" t="inlineStr">
        <is>
          <t>Equity funds 0.5-1.0% a year; an upper bound on trail actually paid</t>
        </is>
      </c>
    </row>
    <row r="92">
      <c r="B92" s="8" t="inlineStr">
        <is>
          <t>Revenue: insurance</t>
        </is>
      </c>
    </row>
    <row r="93">
      <c r="A93" s="9" t="inlineStr">
        <is>
          <t>ins_start</t>
        </is>
      </c>
      <c r="B93" s="10" t="inlineStr">
        <is>
          <t>Month a saver is offered insurance</t>
        </is>
      </c>
      <c r="C93" s="11" t="n">
        <v>6</v>
      </c>
      <c r="D93" s="11" t="n">
        <v>3</v>
      </c>
      <c r="E93" s="11" t="n">
        <v>3</v>
      </c>
      <c r="F93" s="12">
        <f>CHOOSE(scenario,C93,D93,E93)</f>
        <v/>
      </c>
      <c r="G93" s="11" t="n"/>
      <c r="H93" s="11" t="n"/>
      <c r="I93" s="11" t="n"/>
      <c r="J93" s="12">
        <f>IF(H93="",F93,CHOOSE(scenario,G93,H93,I93))</f>
        <v/>
      </c>
      <c r="K93" s="9" t="inlineStr">
        <is>
          <t>month</t>
        </is>
      </c>
      <c r="L93" s="10" t="inlineStr">
        <is>
          <t>cohort age</t>
        </is>
      </c>
      <c r="M93" s="9" t="inlineStr">
        <is>
          <t>product design</t>
        </is>
      </c>
      <c r="N93" s="9" t="inlineStr"/>
      <c r="O93" s="9" t="inlineStr"/>
      <c r="P93" s="9" t="inlineStr">
        <is>
          <t>2026-09-30</t>
        </is>
      </c>
      <c r="Q93" s="10" t="inlineStr"/>
    </row>
    <row r="94">
      <c r="A94" s="9" t="inlineStr">
        <is>
          <t>ins_eligible</t>
        </is>
      </c>
      <c r="B94" s="10" t="inlineStr">
        <is>
          <t>Share of active savers who could buy</t>
        </is>
      </c>
      <c r="C94" s="13" t="n">
        <v>0.8</v>
      </c>
      <c r="D94" s="13" t="n">
        <v>0.9</v>
      </c>
      <c r="E94" s="13" t="n">
        <v>1</v>
      </c>
      <c r="F94" s="14">
        <f>CHOOSE(scenario,C94,D94,E94)</f>
        <v/>
      </c>
      <c r="G94" s="13" t="n"/>
      <c r="H94" s="13" t="n"/>
      <c r="I94" s="13" t="n"/>
      <c r="J94" s="14">
        <f>IF(H94="",F94,CHOOSE(scenario,G94,H94,I94))</f>
        <v/>
      </c>
      <c r="K94" s="9" t="inlineStr">
        <is>
          <t>share</t>
        </is>
      </c>
      <c r="L94" s="10" t="inlineStr">
        <is>
          <t>active savers</t>
        </is>
      </c>
      <c r="M94" s="9" t="inlineStr">
        <is>
          <t>assumption</t>
        </is>
      </c>
      <c r="N94" s="9" t="inlineStr"/>
      <c r="O94" s="9" t="inlineStr"/>
      <c r="P94" s="9" t="inlineStr">
        <is>
          <t>2026-09-30</t>
        </is>
      </c>
      <c r="Q94" s="10" t="inlineStr"/>
    </row>
    <row r="95">
      <c r="A95" s="9" t="inlineStr">
        <is>
          <t>ins_uptake</t>
        </is>
      </c>
      <c r="B95" s="10" t="inlineStr">
        <is>
          <t>Monthly take-up among savers never insured</t>
        </is>
      </c>
      <c r="C95" s="13" t="n">
        <v>0.01</v>
      </c>
      <c r="D95" s="13" t="n">
        <v>0.02</v>
      </c>
      <c r="E95" s="13" t="n">
        <v>0.03</v>
      </c>
      <c r="F95" s="14">
        <f>CHOOSE(scenario,C95,D95,E95)</f>
        <v/>
      </c>
      <c r="G95" s="13" t="n"/>
      <c r="H95" s="13" t="n"/>
      <c r="I95" s="13" t="n"/>
      <c r="J95" s="14">
        <f>IF(H95="",F95,CHOOSE(scenario,G95,H95,I95))</f>
        <v/>
      </c>
      <c r="K95" s="9" t="inlineStr">
        <is>
          <t>share per month</t>
        </is>
      </c>
      <c r="L95" s="10" t="inlineStr">
        <is>
          <t>active savers never insured</t>
        </is>
      </c>
      <c r="M95" s="9" t="inlineStr">
        <is>
          <t>assumption</t>
        </is>
      </c>
      <c r="N95" s="9" t="inlineStr"/>
      <c r="O95" s="9" t="inlineStr"/>
      <c r="P95" s="9" t="inlineStr">
        <is>
          <t>2026-09-30</t>
        </is>
      </c>
      <c r="Q95" s="10" t="inlineStr"/>
    </row>
    <row r="96">
      <c r="A96" s="9" t="inlineStr">
        <is>
          <t>ins_premium</t>
        </is>
      </c>
      <c r="B96" s="10" t="inlineStr">
        <is>
          <t>Annual premium per policy</t>
        </is>
      </c>
      <c r="C96" s="11" t="n">
        <v>1500</v>
      </c>
      <c r="D96" s="11" t="n">
        <v>3000</v>
      </c>
      <c r="E96" s="11" t="n">
        <v>5000</v>
      </c>
      <c r="F96" s="12">
        <f>CHOOSE(scenario,C96,D96,E96)</f>
        <v/>
      </c>
      <c r="G96" s="11" t="n"/>
      <c r="H96" s="11" t="n"/>
      <c r="I96" s="11" t="n"/>
      <c r="J96" s="12">
        <f>IF(H96="",F96,CHOOSE(scenario,G96,H96,I96))</f>
        <v/>
      </c>
      <c r="K96" s="9" t="inlineStr">
        <is>
          <t>INR per year</t>
        </is>
      </c>
      <c r="L96" s="10" t="inlineStr">
        <is>
          <t>policies</t>
        </is>
      </c>
      <c r="M96" s="9" t="inlineStr">
        <is>
          <t>assumption</t>
        </is>
      </c>
      <c r="N96" s="9" t="inlineStr"/>
      <c r="O96" s="9" t="inlineStr"/>
      <c r="P96" s="9" t="inlineStr">
        <is>
          <t>2026-09-30</t>
        </is>
      </c>
      <c r="Q96" s="10" t="inlineStr">
        <is>
          <t>Mix of accident / health / term</t>
        </is>
      </c>
    </row>
    <row r="97">
      <c r="A97" s="9" t="inlineStr">
        <is>
          <t>ins_comm_first</t>
        </is>
      </c>
      <c r="B97" s="10" t="inlineStr">
        <is>
          <t>First-year commission</t>
        </is>
      </c>
      <c r="C97" s="13" t="n">
        <v>0.05</v>
      </c>
      <c r="D97" s="13" t="n">
        <v>0.12</v>
      </c>
      <c r="E97" s="13" t="n">
        <v>0.15</v>
      </c>
      <c r="F97" s="14">
        <f>CHOOSE(scenario,C97,D97,E97)</f>
        <v/>
      </c>
      <c r="G97" s="13" t="n"/>
      <c r="H97" s="13" t="n"/>
      <c r="I97" s="13" t="n"/>
      <c r="J97" s="14">
        <f>IF(H97="",F97,CHOOSE(scenario,G97,H97,I97))</f>
        <v/>
      </c>
      <c r="K97" s="9" t="inlineStr">
        <is>
          <t>share of premium</t>
        </is>
      </c>
      <c r="L97" s="10" t="inlineStr">
        <is>
          <t>first-year premium</t>
        </is>
      </c>
      <c r="M97" s="9" t="inlineStr">
        <is>
          <t>regulation (draft) + benchmark</t>
        </is>
      </c>
      <c r="N97" s="9" t="inlineStr"/>
      <c r="O97" s="9" t="inlineStr">
        <is>
          <t>BM-09, BM-10</t>
        </is>
      </c>
      <c r="P97" s="9" t="inlineStr">
        <is>
          <t>2026-09-29</t>
        </is>
      </c>
      <c r="Q97" s="10" t="inlineStr">
        <is>
          <t>IRDAI draft 23 Sep 2026: 15% first sale (health/PA), 5% if packaged with a loan. FY25 actual 14-20% of net premium.</t>
        </is>
      </c>
    </row>
    <row r="98">
      <c r="A98" s="9" t="inlineStr">
        <is>
          <t>ins_comm_renew</t>
        </is>
      </c>
      <c r="B98" s="10" t="inlineStr">
        <is>
          <t>Renewal commission</t>
        </is>
      </c>
      <c r="C98" s="13" t="n">
        <v>0.03</v>
      </c>
      <c r="D98" s="13" t="n">
        <v>0.05</v>
      </c>
      <c r="E98" s="13" t="n">
        <v>0.05</v>
      </c>
      <c r="F98" s="14">
        <f>CHOOSE(scenario,C98,D98,E98)</f>
        <v/>
      </c>
      <c r="G98" s="13" t="n"/>
      <c r="H98" s="13" t="n"/>
      <c r="I98" s="13" t="n"/>
      <c r="J98" s="14">
        <f>IF(H98="",F98,CHOOSE(scenario,G98,H98,I98))</f>
        <v/>
      </c>
      <c r="K98" s="9" t="inlineStr">
        <is>
          <t>share of premium</t>
        </is>
      </c>
      <c r="L98" s="10" t="inlineStr">
        <is>
          <t>renewal premium</t>
        </is>
      </c>
      <c r="M98" s="9" t="inlineStr">
        <is>
          <t>regulation (draft)</t>
        </is>
      </c>
      <c r="N98" s="9" t="inlineStr"/>
      <c r="O98" s="9" t="inlineStr">
        <is>
          <t>BM-10</t>
        </is>
      </c>
      <c r="P98" s="9" t="inlineStr">
        <is>
          <t>2026-09-29</t>
        </is>
      </c>
      <c r="Q98" s="10" t="inlineStr">
        <is>
          <t>Draft renewal cap 5%.</t>
        </is>
      </c>
    </row>
    <row r="99">
      <c r="A99" s="9" t="inlineStr">
        <is>
          <t>ins_persist</t>
        </is>
      </c>
      <c r="B99" s="10" t="inlineStr">
        <is>
          <t>Share of policies renewed each year</t>
        </is>
      </c>
      <c r="C99" s="13" t="n">
        <v>0.4</v>
      </c>
      <c r="D99" s="13" t="n">
        <v>0.55</v>
      </c>
      <c r="E99" s="13" t="n">
        <v>0.7</v>
      </c>
      <c r="F99" s="14">
        <f>CHOOSE(scenario,C99,D99,E99)</f>
        <v/>
      </c>
      <c r="G99" s="13" t="n"/>
      <c r="H99" s="13" t="n"/>
      <c r="I99" s="13" t="n"/>
      <c r="J99" s="14">
        <f>IF(H99="",F99,CHOOSE(scenario,G99,H99,I99))</f>
        <v/>
      </c>
      <c r="K99" s="9" t="inlineStr">
        <is>
          <t>share</t>
        </is>
      </c>
      <c r="L99" s="10" t="inlineStr">
        <is>
          <t>policies due for renewal</t>
        </is>
      </c>
      <c r="M99" s="9" t="inlineStr">
        <is>
          <t>assumption</t>
        </is>
      </c>
      <c r="N99" s="9" t="inlineStr"/>
      <c r="O99" s="9" t="inlineStr"/>
      <c r="P99" s="9" t="inlineStr">
        <is>
          <t>2026-09-30</t>
        </is>
      </c>
      <c r="Q99" s="10" t="inlineStr"/>
    </row>
    <row r="100">
      <c r="A100" s="9" t="inlineStr">
        <is>
          <t>ins_ops_cost</t>
        </is>
      </c>
      <c r="B100" s="10" t="inlineStr">
        <is>
          <t>Our cost per new policy</t>
        </is>
      </c>
      <c r="C100" s="11" t="n">
        <v>100</v>
      </c>
      <c r="D100" s="11" t="n">
        <v>60</v>
      </c>
      <c r="E100" s="11" t="n">
        <v>40</v>
      </c>
      <c r="F100" s="12">
        <f>CHOOSE(scenario,C100,D100,E100)</f>
        <v/>
      </c>
      <c r="G100" s="11" t="n"/>
      <c r="H100" s="11" t="n"/>
      <c r="I100" s="11" t="n"/>
      <c r="J100" s="12">
        <f>IF(H100="",F100,CHOOSE(scenario,G100,H100,I100))</f>
        <v/>
      </c>
      <c r="K100" s="9" t="inlineStr">
        <is>
          <t>INR per policy</t>
        </is>
      </c>
      <c r="L100" s="10" t="inlineStr">
        <is>
          <t>new policies</t>
        </is>
      </c>
      <c r="M100" s="9" t="inlineStr">
        <is>
          <t>assumption</t>
        </is>
      </c>
      <c r="N100" s="9" t="inlineStr"/>
      <c r="O100" s="9" t="inlineStr"/>
      <c r="P100" s="9" t="inlineStr">
        <is>
          <t>2026-09-30</t>
        </is>
      </c>
      <c r="Q100" s="10" t="inlineStr"/>
    </row>
    <row r="101">
      <c r="B101" s="8" t="inlineStr">
        <is>
          <t>Cost to serve</t>
        </is>
      </c>
    </row>
    <row r="102">
      <c r="A102" s="9" t="inlineStr">
        <is>
          <t>cost_debit</t>
        </is>
      </c>
      <c r="B102" s="10" t="inlineStr">
        <is>
          <t>Cost per successful debit (mandate execution + fund order)</t>
        </is>
      </c>
      <c r="C102" s="15" t="n">
        <v>5</v>
      </c>
      <c r="D102" s="15" t="n">
        <v>2</v>
      </c>
      <c r="E102" s="15" t="n">
        <v>0.5</v>
      </c>
      <c r="F102" s="16">
        <f>CHOOSE(scenario,C102,D102,E102)</f>
        <v/>
      </c>
      <c r="G102" s="15" t="n"/>
      <c r="H102" s="15" t="n"/>
      <c r="I102" s="15" t="n"/>
      <c r="J102" s="16">
        <f>IF(H102="",F102,CHOOSE(scenario,G102,H102,I102))</f>
        <v/>
      </c>
      <c r="K102" s="9" t="inlineStr">
        <is>
          <t>INR per debit</t>
        </is>
      </c>
      <c r="L102" s="10" t="inlineStr">
        <is>
          <t>successful debits</t>
        </is>
      </c>
      <c r="M102" s="9" t="inlineStr">
        <is>
          <t>benchmark: payment-company list price (bear); base is an assumed negotiated rate</t>
        </is>
      </c>
      <c r="N102" s="9" t="inlineStr"/>
      <c r="O102" s="9" t="inlineStr">
        <is>
          <t>REG-050</t>
        </is>
      </c>
      <c r="P102" s="9" t="inlineStr">
        <is>
          <t>2026-09-30</t>
        </is>
      </c>
      <c r="Q102" s="10" t="inlineStr">
        <is>
          <t>Cashfree list: Rs 5 per UPI Autopay debit under Rs 1,000 and Rs 7.5 per mandate, paid by the merchant, never the customer [REG-049]. UPI Autopay carries no MDR [REG-052]. Who pays when an AMC collects directly is UNVERIFIED.</t>
        </is>
      </c>
    </row>
    <row r="103">
      <c r="A103" s="9" t="inlineStr">
        <is>
          <t>cost_notice</t>
        </is>
      </c>
      <c r="B103" s="10" t="inlineStr">
        <is>
          <t>Cost per pre-debit notice</t>
        </is>
      </c>
      <c r="C103" s="15" t="n">
        <v>0.115</v>
      </c>
      <c r="D103" s="15" t="n">
        <v>0</v>
      </c>
      <c r="E103" s="15" t="n">
        <v>0</v>
      </c>
      <c r="F103" s="16">
        <f>CHOOSE(scenario,C103,D103,E103)</f>
        <v/>
      </c>
      <c r="G103" s="15" t="n"/>
      <c r="H103" s="15" t="n"/>
      <c r="I103" s="15" t="n"/>
      <c r="J103" s="16">
        <f>IF(H103="",F103,CHOOSE(scenario,G103,H103,I103))</f>
        <v/>
      </c>
      <c r="K103" s="9" t="inlineStr">
        <is>
          <t>INR per notice</t>
        </is>
      </c>
      <c r="L103" s="10" t="inlineStr">
        <is>
          <t>scheduled debits</t>
        </is>
      </c>
      <c r="M103" s="9" t="inlineStr">
        <is>
          <t>regulation + benchmark</t>
        </is>
      </c>
      <c r="N103" s="9" t="inlineStr"/>
      <c r="O103" s="9" t="inlineStr">
        <is>
          <t>REG-049, REG-072</t>
        </is>
      </c>
      <c r="P103" s="9" t="inlineStr">
        <is>
          <t>2026-09-30</t>
        </is>
      </c>
      <c r="Q103" s="10" t="inlineStr">
        <is>
          <t>The statutory 24h pre-debit notice is sent by the worker's bank or UPI app, not by us. Bear case: we also send our own WhatsApp reminder (Rs 0.115 + GST).</t>
        </is>
      </c>
    </row>
    <row r="104">
      <c r="A104" s="9" t="inlineStr">
        <is>
          <t>cost_failed</t>
        </is>
      </c>
      <c r="B104" s="10" t="inlineStr">
        <is>
          <t>Cost per failed debit</t>
        </is>
      </c>
      <c r="C104" s="15" t="n">
        <v>1</v>
      </c>
      <c r="D104" s="15" t="n">
        <v>0.25</v>
      </c>
      <c r="E104" s="15" t="n">
        <v>0</v>
      </c>
      <c r="F104" s="16">
        <f>CHOOSE(scenario,C104,D104,E104)</f>
        <v/>
      </c>
      <c r="G104" s="15" t="n"/>
      <c r="H104" s="15" t="n"/>
      <c r="I104" s="15" t="n"/>
      <c r="J104" s="16">
        <f>IF(H104="",F104,CHOOSE(scenario,G104,H104,I104))</f>
        <v/>
      </c>
      <c r="K104" s="9" t="inlineStr">
        <is>
          <t>INR per failed debit</t>
        </is>
      </c>
      <c r="L104" s="10" t="inlineStr">
        <is>
          <t>failed debits</t>
        </is>
      </c>
      <c r="M104" s="9" t="inlineStr">
        <is>
          <t>assumption; no published failed-debit fee</t>
        </is>
      </c>
      <c r="N104" s="9" t="inlineStr"/>
      <c r="O104" s="9" t="inlineStr">
        <is>
          <t>REG-050</t>
        </is>
      </c>
      <c r="P104" s="9" t="inlineStr">
        <is>
          <t>2026-09-30</t>
        </is>
      </c>
      <c r="Q104" s="10" t="inlineStr">
        <is>
          <t>Razorpay: no per-retry charge within limits. Morning debits failed in 2026 when banks ran them in the 10:00-13:00 window [REG-047].</t>
        </is>
      </c>
    </row>
    <row r="105">
      <c r="A105" s="9" t="inlineStr">
        <is>
          <t>cost_support</t>
        </is>
      </c>
      <c r="B105" s="10" t="inlineStr">
        <is>
          <t>Support cost</t>
        </is>
      </c>
      <c r="C105" s="11" t="n">
        <v>8</v>
      </c>
      <c r="D105" s="11" t="n">
        <v>5</v>
      </c>
      <c r="E105" s="11" t="n">
        <v>3</v>
      </c>
      <c r="F105" s="12">
        <f>CHOOSE(scenario,C105,D105,E105)</f>
        <v/>
      </c>
      <c r="G105" s="11" t="n"/>
      <c r="H105" s="11" t="n"/>
      <c r="I105" s="11" t="n"/>
      <c r="J105" s="12">
        <f>IF(H105="",F105,CHOOSE(scenario,G105,H105,I105))</f>
        <v/>
      </c>
      <c r="K105" s="9" t="inlineStr">
        <is>
          <t>INR per active saver per month</t>
        </is>
      </c>
      <c r="L105" s="10" t="inlineStr">
        <is>
          <t>active savers</t>
        </is>
      </c>
      <c r="M105" s="9" t="inlineStr">
        <is>
          <t>assumption</t>
        </is>
      </c>
      <c r="N105" s="9" t="inlineStr"/>
      <c r="O105" s="9" t="inlineStr"/>
      <c r="P105" s="9" t="inlineStr">
        <is>
          <t>2026-09-30</t>
        </is>
      </c>
      <c r="Q105" s="10" t="inlineStr"/>
    </row>
    <row r="106">
      <c r="A106" s="9" t="inlineStr">
        <is>
          <t>cost_tech</t>
        </is>
      </c>
      <c r="B106" s="10" t="inlineStr">
        <is>
          <t>Tech and cloud cost</t>
        </is>
      </c>
      <c r="C106" s="11" t="n">
        <v>6</v>
      </c>
      <c r="D106" s="11" t="n">
        <v>4</v>
      </c>
      <c r="E106" s="11" t="n">
        <v>2</v>
      </c>
      <c r="F106" s="12">
        <f>CHOOSE(scenario,C106,D106,E106)</f>
        <v/>
      </c>
      <c r="G106" s="11" t="n"/>
      <c r="H106" s="11" t="n"/>
      <c r="I106" s="11" t="n"/>
      <c r="J106" s="12">
        <f>IF(H106="",F106,CHOOSE(scenario,G106,H106,I106))</f>
        <v/>
      </c>
      <c r="K106" s="9" t="inlineStr">
        <is>
          <t>INR per active saver per month</t>
        </is>
      </c>
      <c r="L106" s="10" t="inlineStr">
        <is>
          <t>active savers</t>
        </is>
      </c>
      <c r="M106" s="9" t="inlineStr">
        <is>
          <t>assumption</t>
        </is>
      </c>
      <c r="N106" s="9" t="inlineStr"/>
      <c r="O106" s="9" t="inlineStr"/>
      <c r="P106" s="9" t="inlineStr">
        <is>
          <t>2026-09-30</t>
        </is>
      </c>
      <c r="Q106" s="10" t="inlineStr"/>
    </row>
    <row r="107">
      <c r="A107" s="9" t="inlineStr">
        <is>
          <t>cost_rewards</t>
        </is>
      </c>
      <c r="B107" s="10" t="inlineStr">
        <is>
          <t>Ongoing streak rewards</t>
        </is>
      </c>
      <c r="C107" s="11" t="n">
        <v>3</v>
      </c>
      <c r="D107" s="11" t="n">
        <v>0</v>
      </c>
      <c r="E107" s="11" t="n">
        <v>0</v>
      </c>
      <c r="F107" s="12">
        <f>CHOOSE(scenario,C107,D107,E107)</f>
        <v/>
      </c>
      <c r="G107" s="11" t="n"/>
      <c r="H107" s="11" t="n"/>
      <c r="I107" s="11" t="n"/>
      <c r="J107" s="12">
        <f>IF(H107="",F107,CHOOSE(scenario,G107,H107,I107))</f>
        <v/>
      </c>
      <c r="K107" s="9" t="inlineStr">
        <is>
          <t>INR per active saver per month</t>
        </is>
      </c>
      <c r="L107" s="10" t="inlineStr">
        <is>
          <t>active savers</t>
        </is>
      </c>
      <c r="M107" s="9" t="inlineStr">
        <is>
          <t>regulation</t>
        </is>
      </c>
      <c r="N107" s="9" t="inlineStr"/>
      <c r="O107" s="9" t="inlineStr">
        <is>
          <t>REG-082, REG-083</t>
        </is>
      </c>
      <c r="P107" s="9" t="inlineStr">
        <is>
          <t>2026-09-30</t>
        </is>
      </c>
      <c r="Q107" s="10" t="inlineStr">
        <is>
          <t>Fund distributors may not attract investors with rebates, gifts or cashback, and insurance rebates are banned. So no streak cashback. Bear case: Rs 3/month of non-cash or non-fund engagement rewards (legal opinion needed).</t>
        </is>
      </c>
    </row>
    <row r="108">
      <c r="A108" s="9" t="inlineStr">
        <is>
          <t>cost_fraud</t>
        </is>
      </c>
      <c r="B108" s="10" t="inlineStr">
        <is>
          <t>Fraud and chargeback loss</t>
        </is>
      </c>
      <c r="C108" s="13" t="n">
        <v>0.002</v>
      </c>
      <c r="D108" s="13" t="n">
        <v>0.001</v>
      </c>
      <c r="E108" s="13" t="n">
        <v>0.0005</v>
      </c>
      <c r="F108" s="14">
        <f>CHOOSE(scenario,C108,D108,E108)</f>
        <v/>
      </c>
      <c r="G108" s="13" t="n"/>
      <c r="H108" s="13" t="n"/>
      <c r="I108" s="13" t="n"/>
      <c r="J108" s="14">
        <f>IF(H108="",F108,CHOOSE(scenario,G108,H108,I108))</f>
        <v/>
      </c>
      <c r="K108" s="9" t="inlineStr">
        <is>
          <t>share of money saved</t>
        </is>
      </c>
      <c r="L108" s="10" t="inlineStr">
        <is>
          <t>monthly contributions</t>
        </is>
      </c>
      <c r="M108" s="9" t="inlineStr">
        <is>
          <t>assumption</t>
        </is>
      </c>
      <c r="N108" s="9" t="inlineStr"/>
      <c r="O108" s="9" t="inlineStr"/>
      <c r="P108" s="9" t="inlineStr">
        <is>
          <t>2026-09-30</t>
        </is>
      </c>
      <c r="Q108" s="10" t="inlineStr"/>
    </row>
    <row r="109">
      <c r="B109" s="8" t="inlineStr">
        <is>
          <t>Acquisition</t>
        </is>
      </c>
    </row>
    <row r="110">
      <c r="A110" s="17" t="inlineStr">
        <is>
          <t>cac_mult</t>
        </is>
      </c>
      <c r="B110" s="18" t="inlineStr">
        <is>
          <t>Scenario multiplier on channel CAC</t>
        </is>
      </c>
      <c r="C110" s="23" t="n">
        <v>1.3</v>
      </c>
      <c r="D110" s="23" t="n">
        <v>1</v>
      </c>
      <c r="E110" s="23" t="n">
        <v>0.8</v>
      </c>
      <c r="F110" s="24">
        <f>CHOOSE(scenario,C110,D110,E110)</f>
        <v/>
      </c>
      <c r="G110" s="23" t="n">
        <v>3</v>
      </c>
      <c r="H110" s="23" t="n">
        <v>1.5</v>
      </c>
      <c r="I110" s="23" t="n">
        <v>1</v>
      </c>
      <c r="J110" s="24">
        <f>IF(H110="",F110,CHOOSE(scenario,G110,H110,I110))</f>
        <v/>
      </c>
      <c r="K110" s="17" t="inlineStr">
        <is>
          <t>multiple</t>
        </is>
      </c>
      <c r="L110" s="18" t="inlineStr">
        <is>
          <t>all channels</t>
        </is>
      </c>
      <c r="M110" s="17" t="inlineStr">
        <is>
          <t>assumption</t>
        </is>
      </c>
      <c r="N110" s="17" t="inlineStr">
        <is>
          <t>assumption, UNVERIFIED: no merchant CAC published; Paytm device merchants cost up to ~Rs 5,000 each (with hardware)</t>
        </is>
      </c>
      <c r="O110" s="17" t="inlineStr"/>
      <c r="P110" s="17" t="inlineStr">
        <is>
          <t>2026-09-30</t>
        </is>
      </c>
      <c r="Q110" s="18" t="inlineStr">
        <is>
          <t>Applied to the channel table</t>
        </is>
      </c>
    </row>
    <row r="112">
      <c r="A112" s="6" t="inlineStr">
        <is>
          <t>Lending-first comparison (Bueno-style)</t>
        </is>
      </c>
      <c r="B112" s="7" t="n"/>
      <c r="C112" s="7" t="n"/>
      <c r="D112" s="7" t="n"/>
      <c r="E112" s="7" t="n"/>
      <c r="F112" s="7" t="n"/>
      <c r="G112" s="7" t="n"/>
      <c r="H112" s="7" t="n"/>
      <c r="I112" s="7" t="n"/>
      <c r="J112" s="7" t="n"/>
      <c r="K112" s="7" t="n"/>
      <c r="L112" s="7" t="n"/>
      <c r="M112" s="7" t="n"/>
      <c r="N112" s="7" t="n"/>
      <c r="O112" s="7" t="n"/>
      <c r="P112" s="7" t="n"/>
      <c r="Q112" s="7" t="n"/>
    </row>
    <row r="113">
      <c r="A113" s="9" t="inlineStr">
        <is>
          <t>lf_applicants</t>
        </is>
      </c>
      <c r="B113" s="10" t="inlineStr">
        <is>
          <t>Loan applicants in one cohort</t>
        </is>
      </c>
      <c r="C113" s="11" t="n">
        <v>1000</v>
      </c>
      <c r="D113" s="11" t="n">
        <v>1000</v>
      </c>
      <c r="E113" s="11" t="n">
        <v>1000</v>
      </c>
      <c r="F113" s="12">
        <f>CHOOSE(scenario,C113,D113,E113)</f>
        <v/>
      </c>
      <c r="G113" s="11" t="n"/>
      <c r="H113" s="11" t="n"/>
      <c r="I113" s="11" t="n"/>
      <c r="J113" s="12">
        <f>IF(H113="",F113,CHOOSE(scenario,G113,H113,I113))</f>
        <v/>
      </c>
      <c r="K113" s="9" t="inlineStr">
        <is>
          <t>applicants</t>
        </is>
      </c>
      <c r="L113" s="10" t="inlineStr">
        <is>
          <t>one cohort</t>
        </is>
      </c>
      <c r="M113" s="9" t="inlineStr">
        <is>
          <t>definition</t>
        </is>
      </c>
      <c r="N113" s="9" t="inlineStr"/>
      <c r="O113" s="9" t="inlineStr"/>
      <c r="P113" s="9" t="inlineStr">
        <is>
          <t>2026-09-30</t>
        </is>
      </c>
      <c r="Q113" s="10" t="inlineStr"/>
    </row>
    <row r="114">
      <c r="A114" s="9" t="inlineStr">
        <is>
          <t>lf_cost_per_applicant</t>
        </is>
      </c>
      <c r="B114" s="10" t="inlineStr">
        <is>
          <t>Cost to get one applicant (ads + staff + offers)</t>
        </is>
      </c>
      <c r="C114" s="11" t="n">
        <v>150</v>
      </c>
      <c r="D114" s="11" t="n">
        <v>150</v>
      </c>
      <c r="E114" s="11" t="n">
        <v>100</v>
      </c>
      <c r="F114" s="12">
        <f>CHOOSE(scenario,C114,D114,E114)</f>
        <v/>
      </c>
      <c r="G114" s="11" t="n"/>
      <c r="H114" s="11" t="n"/>
      <c r="I114" s="11" t="n"/>
      <c r="J114" s="12">
        <f>IF(H114="",F114,CHOOSE(scenario,G114,H114,I114))</f>
        <v/>
      </c>
      <c r="K114" s="9" t="inlineStr">
        <is>
          <t>INR per applicant</t>
        </is>
      </c>
      <c r="L114" s="10" t="inlineStr">
        <is>
          <t>Bueno applicants 2019-2022</t>
        </is>
      </c>
      <c r="M114" s="9" t="inlineStr">
        <is>
          <t>founder data (under Rs 150)</t>
        </is>
      </c>
      <c r="N114" s="9" t="inlineStr"/>
      <c r="O114" s="9" t="inlineStr"/>
      <c r="P114" s="9" t="inlineStr">
        <is>
          <t>2026-09-30</t>
        </is>
      </c>
      <c r="Q114" s="10" t="inlineStr"/>
    </row>
    <row r="115">
      <c r="A115" s="9" t="inlineStr">
        <is>
          <t>lf_underwrite_cost</t>
        </is>
      </c>
      <c r="B115" s="10" t="inlineStr">
        <is>
          <t>KYC + bureau pull per applicant</t>
        </is>
      </c>
      <c r="C115" s="11" t="n">
        <v>60</v>
      </c>
      <c r="D115" s="11" t="n">
        <v>40</v>
      </c>
      <c r="E115" s="11" t="n">
        <v>20</v>
      </c>
      <c r="F115" s="12">
        <f>CHOOSE(scenario,C115,D115,E115)</f>
        <v/>
      </c>
      <c r="G115" s="11" t="n"/>
      <c r="H115" s="11" t="n"/>
      <c r="I115" s="11" t="n"/>
      <c r="J115" s="12">
        <f>IF(H115="",F115,CHOOSE(scenario,G115,H115,I115))</f>
        <v/>
      </c>
      <c r="K115" s="9" t="inlineStr">
        <is>
          <t>INR per applicant</t>
        </is>
      </c>
      <c r="L115" s="10" t="inlineStr">
        <is>
          <t>all applicants</t>
        </is>
      </c>
      <c r="M115" s="9" t="inlineStr">
        <is>
          <t>founder data (2026-09-30): KYC + bureau Rs 20-60 per applicant</t>
        </is>
      </c>
      <c r="N115" s="9" t="inlineStr"/>
      <c r="O115" s="9" t="inlineStr"/>
      <c r="P115" s="9" t="inlineStr">
        <is>
          <t>2026-09-30</t>
        </is>
      </c>
      <c r="Q115" s="10" t="inlineStr">
        <is>
          <t>Added so CAC is fully loaded</t>
        </is>
      </c>
    </row>
    <row r="116">
      <c r="A116" s="9" t="inlineStr">
        <is>
          <t>lf_approval</t>
        </is>
      </c>
      <c r="B116" s="10" t="inlineStr">
        <is>
          <t>Share of applicants approved</t>
        </is>
      </c>
      <c r="C116" s="13" t="n">
        <v>0.25</v>
      </c>
      <c r="D116" s="13" t="n">
        <v>0.25</v>
      </c>
      <c r="E116" s="13" t="n">
        <v>0.25</v>
      </c>
      <c r="F116" s="14">
        <f>CHOOSE(scenario,C116,D116,E116)</f>
        <v/>
      </c>
      <c r="G116" s="13" t="n"/>
      <c r="H116" s="13" t="n"/>
      <c r="I116" s="13" t="n"/>
      <c r="J116" s="14">
        <f>IF(H116="",F116,CHOOSE(scenario,G116,H116,I116))</f>
        <v/>
      </c>
      <c r="K116" s="9" t="inlineStr">
        <is>
          <t>share</t>
        </is>
      </c>
      <c r="L116" s="10" t="inlineStr">
        <is>
          <t>Bueno applicants</t>
        </is>
      </c>
      <c r="M116" s="9" t="inlineStr">
        <is>
          <t>founder data</t>
        </is>
      </c>
      <c r="N116" s="9" t="inlineStr"/>
      <c r="O116" s="9" t="inlineStr"/>
      <c r="P116" s="9" t="inlineStr">
        <is>
          <t>2026-09-30</t>
        </is>
      </c>
      <c r="Q116" s="10" t="inlineStr"/>
    </row>
    <row r="117">
      <c r="A117" s="9" t="inlineStr">
        <is>
          <t>lf_ticket</t>
        </is>
      </c>
      <c r="B117" s="10" t="inlineStr">
        <is>
          <t>Loan size</t>
        </is>
      </c>
      <c r="C117" s="11" t="n">
        <v>10000</v>
      </c>
      <c r="D117" s="11" t="n">
        <v>17500</v>
      </c>
      <c r="E117" s="11" t="n">
        <v>25000</v>
      </c>
      <c r="F117" s="12">
        <f>CHOOSE(scenario,C117,D117,E117)</f>
        <v/>
      </c>
      <c r="G117" s="11" t="n"/>
      <c r="H117" s="11" t="n"/>
      <c r="I117" s="11" t="n"/>
      <c r="J117" s="12">
        <f>IF(H117="",F117,CHOOSE(scenario,G117,H117,I117))</f>
        <v/>
      </c>
      <c r="K117" s="9" t="inlineStr">
        <is>
          <t>INR</t>
        </is>
      </c>
      <c r="L117" s="10" t="inlineStr">
        <is>
          <t>Bueno loans</t>
        </is>
      </c>
      <c r="M117" s="9" t="inlineStr">
        <is>
          <t>founder data (Rs 10k-25k)</t>
        </is>
      </c>
      <c r="N117" s="9" t="inlineStr"/>
      <c r="O117" s="9" t="inlineStr"/>
      <c r="P117" s="9" t="inlineStr">
        <is>
          <t>2026-09-30</t>
        </is>
      </c>
      <c r="Q117" s="10" t="inlineStr"/>
    </row>
    <row r="118">
      <c r="A118" s="9" t="inlineStr">
        <is>
          <t>lf_tenor</t>
        </is>
      </c>
      <c r="B118" s="10" t="inlineStr">
        <is>
          <t>Loan length</t>
        </is>
      </c>
      <c r="C118" s="11" t="n">
        <v>3</v>
      </c>
      <c r="D118" s="11" t="n">
        <v>3</v>
      </c>
      <c r="E118" s="11" t="n">
        <v>3</v>
      </c>
      <c r="F118" s="12">
        <f>CHOOSE(scenario,C118,D118,E118)</f>
        <v/>
      </c>
      <c r="G118" s="11" t="n"/>
      <c r="H118" s="11" t="n"/>
      <c r="I118" s="11" t="n"/>
      <c r="J118" s="12">
        <f>IF(H118="",F118,CHOOSE(scenario,G118,H118,I118))</f>
        <v/>
      </c>
      <c r="K118" s="9" t="inlineStr">
        <is>
          <t>months</t>
        </is>
      </c>
      <c r="L118" s="10" t="inlineStr">
        <is>
          <t>Bueno loans</t>
        </is>
      </c>
      <c r="M118" s="9" t="inlineStr">
        <is>
          <t>founder data</t>
        </is>
      </c>
      <c r="N118" s="9" t="inlineStr"/>
      <c r="O118" s="9" t="inlineStr"/>
      <c r="P118" s="9" t="inlineStr">
        <is>
          <t>2026-09-30</t>
        </is>
      </c>
      <c r="Q118" s="10" t="inlineStr"/>
    </row>
    <row r="119">
      <c r="A119" s="9" t="inlineStr">
        <is>
          <t>lf_irr</t>
        </is>
      </c>
      <c r="B119" s="10" t="inlineStr">
        <is>
          <t>Yearly rate paid by borrower incl. fees</t>
        </is>
      </c>
      <c r="C119" s="13" t="n">
        <v>0.5</v>
      </c>
      <c r="D119" s="13" t="n">
        <v>0.5</v>
      </c>
      <c r="E119" s="13" t="n">
        <v>0.5</v>
      </c>
      <c r="F119" s="14">
        <f>CHOOSE(scenario,C119,D119,E119)</f>
        <v/>
      </c>
      <c r="G119" s="13" t="n"/>
      <c r="H119" s="13" t="n"/>
      <c r="I119" s="13" t="n"/>
      <c r="J119" s="14">
        <f>IF(H119="",F119,CHOOSE(scenario,G119,H119,I119))</f>
        <v/>
      </c>
      <c r="K119" s="9" t="inlineStr">
        <is>
          <t>annual IRR</t>
        </is>
      </c>
      <c r="L119" s="10" t="inlineStr">
        <is>
          <t>Bueno loans</t>
        </is>
      </c>
      <c r="M119" s="9" t="inlineStr">
        <is>
          <t>founder data</t>
        </is>
      </c>
      <c r="N119" s="9" t="inlineStr"/>
      <c r="O119" s="9" t="inlineStr"/>
      <c r="P119" s="9" t="inlineStr">
        <is>
          <t>2026-09-30</t>
        </is>
      </c>
      <c r="Q119" s="10" t="inlineStr"/>
    </row>
    <row r="120">
      <c r="A120" s="9" t="inlineStr">
        <is>
          <t>lf_cof</t>
        </is>
      </c>
      <c r="B120" s="10" t="inlineStr">
        <is>
          <t>Yearly rate paid to the partner NBFC</t>
        </is>
      </c>
      <c r="C120" s="13" t="n">
        <v>0.18</v>
      </c>
      <c r="D120" s="13" t="n">
        <v>0.18</v>
      </c>
      <c r="E120" s="13" t="n">
        <v>0.18</v>
      </c>
      <c r="F120" s="14">
        <f>CHOOSE(scenario,C120,D120,E120)</f>
        <v/>
      </c>
      <c r="G120" s="13" t="n"/>
      <c r="H120" s="13" t="n"/>
      <c r="I120" s="13" t="n"/>
      <c r="J120" s="14">
        <f>IF(H120="",F120,CHOOSE(scenario,G120,H120,I120))</f>
        <v/>
      </c>
      <c r="K120" s="9" t="inlineStr">
        <is>
          <t>annual IRR</t>
        </is>
      </c>
      <c r="L120" s="10" t="inlineStr">
        <is>
          <t>Bueno loan book</t>
        </is>
      </c>
      <c r="M120" s="9" t="inlineStr">
        <is>
          <t>founder data</t>
        </is>
      </c>
      <c r="N120" s="9" t="inlineStr"/>
      <c r="O120" s="9" t="inlineStr"/>
      <c r="P120" s="9" t="inlineStr">
        <is>
          <t>2026-09-30</t>
        </is>
      </c>
      <c r="Q120" s="10" t="inlineStr"/>
    </row>
    <row r="121">
      <c r="A121" s="9" t="inlineStr">
        <is>
          <t>lf_risk_share</t>
        </is>
      </c>
      <c r="B121" s="10" t="inlineStr">
        <is>
          <t>Share of losses borne by us</t>
        </is>
      </c>
      <c r="C121" s="13" t="n">
        <v>1</v>
      </c>
      <c r="D121" s="13" t="n">
        <v>1</v>
      </c>
      <c r="E121" s="13" t="n">
        <v>1</v>
      </c>
      <c r="F121" s="14">
        <f>CHOOSE(scenario,C121,D121,E121)</f>
        <v/>
      </c>
      <c r="G121" s="13" t="n"/>
      <c r="H121" s="13" t="n"/>
      <c r="I121" s="13" t="n"/>
      <c r="J121" s="14">
        <f>IF(H121="",F121,CHOOSE(scenario,G121,H121,I121))</f>
        <v/>
      </c>
      <c r="K121" s="9" t="inlineStr">
        <is>
          <t>share</t>
        </is>
      </c>
      <c r="L121" s="10" t="inlineStr">
        <is>
          <t>Bueno loan book</t>
        </is>
      </c>
      <c r="M121" s="9" t="inlineStr">
        <is>
          <t>founder data</t>
        </is>
      </c>
      <c r="N121" s="9" t="inlineStr"/>
      <c r="O121" s="9" t="inlineStr"/>
      <c r="P121" s="9" t="inlineStr">
        <is>
          <t>2026-09-30</t>
        </is>
      </c>
      <c r="Q121" s="10" t="inlineStr">
        <is>
          <t>Today an LSP guarantee is capped at 5% of the portfolio</t>
        </is>
      </c>
    </row>
    <row r="122">
      <c r="A122" s="9" t="inlineStr">
        <is>
          <t>lf_dpd90_first</t>
        </is>
      </c>
      <c r="B122" s="10" t="inlineStr">
        <is>
          <t>Share of first loans that went 90+ days late</t>
        </is>
      </c>
      <c r="C122" s="13" t="n">
        <v>0.07000000000000001</v>
      </c>
      <c r="D122" s="13" t="n">
        <v>0.065</v>
      </c>
      <c r="E122" s="13" t="n">
        <v>0.06</v>
      </c>
      <c r="F122" s="14">
        <f>CHOOSE(scenario,C122,D122,E122)</f>
        <v/>
      </c>
      <c r="G122" s="13" t="n"/>
      <c r="H122" s="13" t="n"/>
      <c r="I122" s="13" t="n"/>
      <c r="J122" s="14">
        <f>IF(H122="",F122,CHOOSE(scenario,G122,H122,I122))</f>
        <v/>
      </c>
      <c r="K122" s="9" t="inlineStr">
        <is>
          <t>share of loans (count)</t>
        </is>
      </c>
      <c r="L122" s="10" t="inlineStr">
        <is>
          <t>Bueno first loans</t>
        </is>
      </c>
      <c r="M122" s="9" t="inlineStr">
        <is>
          <t>founder data (6-7% of loans 90+ days late)</t>
        </is>
      </c>
      <c r="N122" s="9" t="inlineStr"/>
      <c r="O122" s="9" t="inlineStr"/>
      <c r="P122" s="9" t="inlineStr">
        <is>
          <t>2026-09-30</t>
        </is>
      </c>
      <c r="Q122" s="10" t="inlineStr">
        <is>
          <t>Confirmed 2026-09-30: count of loans 90+ late, some money recovered later</t>
        </is>
      </c>
    </row>
    <row r="123">
      <c r="A123" s="9" t="inlineStr">
        <is>
          <t>lf_dpd90_repeat</t>
        </is>
      </c>
      <c r="B123" s="10" t="inlineStr">
        <is>
          <t>Share of repeat loans that went 90+ days late</t>
        </is>
      </c>
      <c r="C123" s="13" t="n">
        <v>0.02</v>
      </c>
      <c r="D123" s="13" t="n">
        <v>0.015</v>
      </c>
      <c r="E123" s="13" t="n">
        <v>0.01</v>
      </c>
      <c r="F123" s="14">
        <f>CHOOSE(scenario,C123,D123,E123)</f>
        <v/>
      </c>
      <c r="G123" s="13" t="n"/>
      <c r="H123" s="13" t="n"/>
      <c r="I123" s="13" t="n"/>
      <c r="J123" s="14">
        <f>IF(H123="",F123,CHOOSE(scenario,G123,H123,I123))</f>
        <v/>
      </c>
      <c r="K123" s="9" t="inlineStr">
        <is>
          <t>share of loans (count)</t>
        </is>
      </c>
      <c r="L123" s="10" t="inlineStr">
        <is>
          <t>Bueno repeat loans</t>
        </is>
      </c>
      <c r="M123" s="9" t="inlineStr">
        <is>
          <t>founder data (2026-09-30): repeat loans 1-2% late</t>
        </is>
      </c>
      <c r="N123" s="9" t="inlineStr"/>
      <c r="O123" s="9" t="inlineStr"/>
      <c r="P123" s="9" t="inlineStr">
        <is>
          <t>2026-09-30</t>
        </is>
      </c>
      <c r="Q123" s="10" t="inlineStr">
        <is>
          <t>Not given by founder</t>
        </is>
      </c>
    </row>
    <row r="124">
      <c r="A124" s="9" t="inlineStr">
        <is>
          <t>lf_ead</t>
        </is>
      </c>
      <c r="B124" s="10" t="inlineStr">
        <is>
          <t>Share of the loan still owed when it goes 90+ late</t>
        </is>
      </c>
      <c r="C124" s="13" t="n">
        <v>0.95</v>
      </c>
      <c r="D124" s="13" t="n">
        <v>0.92</v>
      </c>
      <c r="E124" s="13" t="n">
        <v>0.9</v>
      </c>
      <c r="F124" s="14">
        <f>CHOOSE(scenario,C124,D124,E124)</f>
        <v/>
      </c>
      <c r="G124" s="13" t="n"/>
      <c r="H124" s="13" t="n"/>
      <c r="I124" s="13" t="n"/>
      <c r="J124" s="14">
        <f>IF(H124="",F124,CHOOSE(scenario,G124,H124,I124))</f>
        <v/>
      </c>
      <c r="K124" s="9" t="inlineStr">
        <is>
          <t>share of loan</t>
        </is>
      </c>
      <c r="L124" s="10" t="inlineStr">
        <is>
          <t>loans 90+ late</t>
        </is>
      </c>
      <c r="M124" s="9" t="inlineStr">
        <is>
          <t>founder data (2026-09-30): nearly all still unpaid at 90+ late</t>
        </is>
      </c>
      <c r="N124" s="9" t="inlineStr"/>
      <c r="O124" s="9" t="inlineStr"/>
      <c r="P124" s="9" t="inlineStr">
        <is>
          <t>2026-09-30</t>
        </is>
      </c>
      <c r="Q124" s="10" t="inlineStr">
        <is>
          <t>3-month loan; typically 1 instalment paid before default</t>
        </is>
      </c>
    </row>
    <row r="125">
      <c r="A125" s="9" t="inlineStr">
        <is>
          <t>lf_lgd</t>
        </is>
      </c>
      <c r="B125" s="10" t="inlineStr">
        <is>
          <t>Share of that never recovered</t>
        </is>
      </c>
      <c r="C125" s="13" t="n">
        <v>0.6</v>
      </c>
      <c r="D125" s="13" t="n">
        <v>0.5</v>
      </c>
      <c r="E125" s="13" t="n">
        <v>0.4</v>
      </c>
      <c r="F125" s="14">
        <f>CHOOSE(scenario,C125,D125,E125)</f>
        <v/>
      </c>
      <c r="G125" s="13" t="n"/>
      <c r="H125" s="13" t="n"/>
      <c r="I125" s="13" t="n"/>
      <c r="J125" s="14">
        <f>IF(H125="",F125,CHOOSE(scenario,G125,H125,I125))</f>
        <v/>
      </c>
      <c r="K125" s="9" t="inlineStr">
        <is>
          <t>share</t>
        </is>
      </c>
      <c r="L125" s="10" t="inlineStr">
        <is>
          <t>amount owed at 90+ late</t>
        </is>
      </c>
      <c r="M125" s="9" t="inlineStr">
        <is>
          <t>founder data (2026-09-30): about half recovered</t>
        </is>
      </c>
      <c r="N125" s="9" t="inlineStr"/>
      <c r="O125" s="9" t="inlineStr"/>
      <c r="P125" s="9" t="inlineStr">
        <is>
          <t>2026-09-30</t>
        </is>
      </c>
      <c r="Q125" s="10" t="inlineStr"/>
    </row>
    <row r="126">
      <c r="A126" s="9" t="inlineStr">
        <is>
          <t>lf_repeat</t>
        </is>
      </c>
      <c r="B126" s="10" t="inlineStr">
        <is>
          <t>Share of repaid loans followed by another loan</t>
        </is>
      </c>
      <c r="C126" s="13" t="n">
        <v>0.3</v>
      </c>
      <c r="D126" s="13" t="n">
        <v>0.4</v>
      </c>
      <c r="E126" s="13" t="n">
        <v>0.5</v>
      </c>
      <c r="F126" s="14">
        <f>CHOOSE(scenario,C126,D126,E126)</f>
        <v/>
      </c>
      <c r="G126" s="13" t="n"/>
      <c r="H126" s="13" t="n"/>
      <c r="I126" s="13" t="n"/>
      <c r="J126" s="14">
        <f>IF(H126="",F126,CHOOSE(scenario,G126,H126,I126))</f>
        <v/>
      </c>
      <c r="K126" s="9" t="inlineStr">
        <is>
          <t>share</t>
        </is>
      </c>
      <c r="L126" s="10" t="inlineStr">
        <is>
          <t>repaid loans</t>
        </is>
      </c>
      <c r="M126" s="9" t="inlineStr">
        <is>
          <t>founder data (30-50%)</t>
        </is>
      </c>
      <c r="N126" s="9" t="inlineStr"/>
      <c r="O126" s="9" t="inlineStr"/>
      <c r="P126" s="9" t="inlineStr">
        <is>
          <t>2026-09-30</t>
        </is>
      </c>
      <c r="Q126" s="10" t="inlineStr"/>
    </row>
    <row r="127">
      <c r="A127" s="9" t="inlineStr">
        <is>
          <t>lf_collection</t>
        </is>
      </c>
      <c r="B127" s="10" t="inlineStr">
        <is>
          <t>Collection cost per loan</t>
        </is>
      </c>
      <c r="C127" s="11" t="n">
        <v>300</v>
      </c>
      <c r="D127" s="11" t="n">
        <v>200</v>
      </c>
      <c r="E127" s="11" t="n">
        <v>100</v>
      </c>
      <c r="F127" s="12">
        <f>CHOOSE(scenario,C127,D127,E127)</f>
        <v/>
      </c>
      <c r="G127" s="11" t="n"/>
      <c r="H127" s="11" t="n"/>
      <c r="I127" s="11" t="n"/>
      <c r="J127" s="12">
        <f>IF(H127="",F127,CHOOSE(scenario,G127,H127,I127))</f>
        <v/>
      </c>
      <c r="K127" s="9" t="inlineStr">
        <is>
          <t>INR per loan</t>
        </is>
      </c>
      <c r="L127" s="10" t="inlineStr">
        <is>
          <t>Bueno loans</t>
        </is>
      </c>
      <c r="M127" s="9" t="inlineStr">
        <is>
          <t>founder data (Rs 100-300)</t>
        </is>
      </c>
      <c r="N127" s="9" t="inlineStr"/>
      <c r="O127" s="9" t="inlineStr"/>
      <c r="P127" s="9" t="inlineStr">
        <is>
          <t>2026-09-30</t>
        </is>
      </c>
      <c r="Q127" s="10" t="inlineStr"/>
    </row>
    <row r="128">
      <c r="A128" s="9" t="inlineStr">
        <is>
          <t>lf_platform_share</t>
        </is>
      </c>
      <c r="B128" s="10" t="inlineStr">
        <is>
          <t>Share of loans sourced through a platform</t>
        </is>
      </c>
      <c r="C128" s="13" t="n">
        <v>0.9</v>
      </c>
      <c r="D128" s="13" t="n">
        <v>0.85</v>
      </c>
      <c r="E128" s="13" t="n">
        <v>0.8</v>
      </c>
      <c r="F128" s="14">
        <f>CHOOSE(scenario,C128,D128,E128)</f>
        <v/>
      </c>
      <c r="G128" s="13" t="n"/>
      <c r="H128" s="13" t="n"/>
      <c r="I128" s="13" t="n"/>
      <c r="J128" s="14">
        <f>IF(H128="",F128,CHOOSE(scenario,G128,H128,I128))</f>
        <v/>
      </c>
      <c r="K128" s="9" t="inlineStr">
        <is>
          <t>share</t>
        </is>
      </c>
      <c r="L128" s="10" t="inlineStr">
        <is>
          <t>Bueno loans</t>
        </is>
      </c>
      <c r="M128" s="9" t="inlineStr">
        <is>
          <t>founder data (2026-09-30): over 75% via platforms</t>
        </is>
      </c>
      <c r="N128" s="9" t="inlineStr"/>
      <c r="O128" s="9" t="inlineStr"/>
      <c r="P128" s="9" t="inlineStr">
        <is>
          <t>2026-09-30</t>
        </is>
      </c>
      <c r="Q128" s="10" t="inlineStr">
        <is>
          <t>To confirm with founder</t>
        </is>
      </c>
    </row>
    <row r="129">
      <c r="A129" s="9" t="inlineStr">
        <is>
          <t>lf_platform_fee</t>
        </is>
      </c>
      <c r="B129" s="10" t="inlineStr">
        <is>
          <t>Platform data fee per platform-sourced loan</t>
        </is>
      </c>
      <c r="C129" s="11" t="n">
        <v>200</v>
      </c>
      <c r="D129" s="11" t="n">
        <v>200</v>
      </c>
      <c r="E129" s="11" t="n">
        <v>200</v>
      </c>
      <c r="F129" s="12">
        <f>CHOOSE(scenario,C129,D129,E129)</f>
        <v/>
      </c>
      <c r="G129" s="11" t="n"/>
      <c r="H129" s="11" t="n"/>
      <c r="I129" s="11" t="n"/>
      <c r="J129" s="12">
        <f>IF(H129="",F129,CHOOSE(scenario,G129,H129,I129))</f>
        <v/>
      </c>
      <c r="K129" s="9" t="inlineStr">
        <is>
          <t>INR per loan</t>
        </is>
      </c>
      <c r="L129" s="10" t="inlineStr">
        <is>
          <t>platform-sourced loans</t>
        </is>
      </c>
      <c r="M129" s="9" t="inlineStr">
        <is>
          <t>founder data (Swiggy)</t>
        </is>
      </c>
      <c r="N129" s="9" t="inlineStr"/>
      <c r="O129" s="9" t="inlineStr"/>
      <c r="P129" s="9" t="inlineStr">
        <is>
          <t>2026-09-30</t>
        </is>
      </c>
      <c r="Q129" s="10" t="inlineStr"/>
    </row>
    <row r="130">
      <c r="A130" s="9" t="inlineStr">
        <is>
          <t>lf_ops_cost</t>
        </is>
      </c>
      <c r="B130" s="10" t="inlineStr">
        <is>
          <t>Disbursal + servicing cost per loan</t>
        </is>
      </c>
      <c r="C130" s="11" t="n">
        <v>150</v>
      </c>
      <c r="D130" s="11" t="n">
        <v>100</v>
      </c>
      <c r="E130" s="11" t="n">
        <v>75</v>
      </c>
      <c r="F130" s="12">
        <f>CHOOSE(scenario,C130,D130,E130)</f>
        <v/>
      </c>
      <c r="G130" s="11" t="n"/>
      <c r="H130" s="11" t="n"/>
      <c r="I130" s="11" t="n"/>
      <c r="J130" s="12">
        <f>IF(H130="",F130,CHOOSE(scenario,G130,H130,I130))</f>
        <v/>
      </c>
      <c r="K130" s="9" t="inlineStr">
        <is>
          <t>INR per loan</t>
        </is>
      </c>
      <c r="L130" s="10" t="inlineStr">
        <is>
          <t>Bueno loans</t>
        </is>
      </c>
      <c r="M130" s="9" t="inlineStr">
        <is>
          <t>assumption</t>
        </is>
      </c>
      <c r="N130" s="9" t="inlineStr"/>
      <c r="O130" s="9" t="inlineStr"/>
      <c r="P130" s="9" t="inlineStr">
        <is>
          <t>2026-09-30</t>
        </is>
      </c>
      <c r="Q130" s="10" t="inlineStr"/>
    </row>
    <row r="131">
      <c r="A131" s="9" t="inlineStr">
        <is>
          <t>lf_equity_ratio</t>
        </is>
      </c>
      <c r="B131" s="10" t="inlineStr">
        <is>
          <t>Equity needed per rupee of loan book (own NBFC today)</t>
        </is>
      </c>
      <c r="C131" s="13" t="n">
        <v>0.25</v>
      </c>
      <c r="D131" s="13" t="n">
        <v>0.25</v>
      </c>
      <c r="E131" s="13" t="n">
        <v>0.2</v>
      </c>
      <c r="F131" s="14">
        <f>CHOOSE(scenario,C131,D131,E131)</f>
        <v/>
      </c>
      <c r="G131" s="13" t="n"/>
      <c r="H131" s="13" t="n"/>
      <c r="I131" s="13" t="n"/>
      <c r="J131" s="14">
        <f>IF(H131="",F131,CHOOSE(scenario,G131,H131,I131))</f>
        <v/>
      </c>
      <c r="K131" s="9" t="inlineStr">
        <is>
          <t>share of book</t>
        </is>
      </c>
      <c r="L131" s="10" t="inlineStr">
        <is>
          <t>own-NBFC structure</t>
        </is>
      </c>
      <c r="M131" s="9" t="inlineStr">
        <is>
          <t>assumption</t>
        </is>
      </c>
      <c r="N131" s="9" t="inlineStr"/>
      <c r="O131" s="9" t="inlineStr"/>
      <c r="P131" s="9" t="inlineStr">
        <is>
          <t>2026-09-30</t>
        </is>
      </c>
      <c r="Q131" s="10" t="inlineStr">
        <is>
          <t>About 3-4x leverage</t>
        </is>
      </c>
    </row>
    <row r="133">
      <c r="A133" s="6" t="inlineStr">
        <is>
          <t>Derived from the inputs above (formulas; do not type here)</t>
        </is>
      </c>
      <c r="B133" s="7" t="n"/>
      <c r="C133" s="7" t="n"/>
      <c r="D133" s="7" t="n"/>
      <c r="E133" s="7" t="n"/>
      <c r="F133" s="7" t="n"/>
      <c r="G133" s="7" t="n"/>
      <c r="H133" s="7" t="n"/>
      <c r="I133" s="7" t="n"/>
      <c r="J133" s="7" t="n"/>
      <c r="K133" s="7" t="n"/>
      <c r="L133" s="7" t="n"/>
      <c r="M133" s="7" t="n"/>
      <c r="N133" s="7" t="n"/>
      <c r="O133" s="7" t="n"/>
      <c r="P133" s="7" t="n"/>
      <c r="Q133" s="7" t="n"/>
    </row>
    <row r="134">
      <c r="A134" s="25" t="inlineStr">
        <is>
          <t>loan_lost</t>
        </is>
      </c>
      <c r="B134" s="10" t="inlineStr">
        <is>
          <t>Share of UNSECURED money lent never recovered = 90+ late (ladder) × still owed × not recovered</t>
        </is>
      </c>
      <c r="F134" s="26">
        <f>ladder_dpd90*loan_ead*loan_lgd</f>
        <v/>
      </c>
      <c r="J134" s="26">
        <f>ladder_dpd90_ng*loan_ead_ng*loan_lgd_ng</f>
        <v/>
      </c>
    </row>
    <row r="135">
      <c r="A135" s="25" t="inlineStr">
        <is>
          <t>nbfc_int_r</t>
        </is>
      </c>
      <c r="B135" s="10" t="inlineStr">
        <is>
          <t>Own NBFC: interest on ₹1 lent over the loan's life</t>
        </is>
      </c>
      <c r="F135" s="26">
        <f>PMT(nbfc_apr/12,loan_tenor,-1)*loan_tenor-1</f>
        <v/>
      </c>
      <c r="J135" s="26">
        <f>PMT(nbfc_apr_ng/12,loan_tenor_ng,-1)*loan_tenor_ng-1</f>
        <v/>
      </c>
    </row>
    <row r="136">
      <c r="A136" s="25" t="inlineStr">
        <is>
          <t>nbfc_cof_r</t>
        </is>
      </c>
      <c r="B136" s="10" t="inlineStr">
        <is>
          <t>Own NBFC: borrowing cost on ₹1 lent over the loan's life</t>
        </is>
      </c>
      <c r="F136" s="26">
        <f>PMT(nbfc_cof/12,loan_tenor,-1)*loan_tenor-1</f>
        <v/>
      </c>
      <c r="J136" s="26">
        <f>PMT(nbfc_cof_ng/12,loan_tenor_ng,-1)*loan_tenor_ng-1</f>
        <v/>
      </c>
    </row>
    <row r="137">
      <c r="A137" s="25" t="inlineStr">
        <is>
          <t>nbfc_avg_frac</t>
        </is>
      </c>
      <c r="B137" s="10" t="inlineStr">
        <is>
          <t>Own NBFC: average balance over the loan's life, as a share of the loan</t>
        </is>
      </c>
      <c r="F137" s="26">
        <f>((1+nbfc_apr/12)^loan_tenor-((1+nbfc_apr/12)^loan_tenor-1)/(loan_tenor*nbfc_apr/12))/((1+nbfc_apr/12)^loan_tenor-1)</f>
        <v/>
      </c>
      <c r="J137" s="26">
        <f>((1+nbfc_apr_ng/12)^loan_tenor_ng-((1+nbfc_apr_ng/12)^loan_tenor_ng-1)/(loan_tenor_ng*nbfc_apr_ng/12))/((1+nbfc_apr_ng/12)^loan_tenor_ng-1)</f>
        <v/>
      </c>
    </row>
    <row r="138">
      <c r="A138" s="25" t="inlineStr">
        <is>
          <t>seg_n_gig</t>
        </is>
      </c>
      <c r="B138" s="25" t="inlineStr">
        <is>
          <t>Gig savers in one cohort</t>
        </is>
      </c>
      <c r="F138" s="27">
        <f>cohort_size*mix_gig</f>
        <v/>
      </c>
    </row>
    <row r="139">
      <c r="A139" s="25" t="inlineStr">
        <is>
          <t>seg_n_ng</t>
        </is>
      </c>
      <c r="B139" s="25" t="inlineStr">
        <is>
          <t>Non-gig savers in one cohort</t>
        </is>
      </c>
      <c r="F139" s="27">
        <f>cohort_size*(1-mix_gig)</f>
        <v/>
      </c>
    </row>
    <row r="140">
      <c r="A140" s="25" t="inlineStr">
        <is>
          <t>churn_path</t>
        </is>
      </c>
      <c r="B140" s="25" t="inlineStr">
        <is>
          <t>Late monthly churn, mix-weighted (path after year 5)</t>
        </is>
      </c>
      <c r="F140" s="26">
        <f>mix_gig*churn_late+(1-mix_gig)*churn_late_ng</f>
        <v/>
      </c>
    </row>
  </sheetData>
  <mergeCells count="1">
    <mergeCell ref="A3:L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22" customWidth="1" min="18" max="18"/>
    <col width="50" customWidth="1" min="19" max="19"/>
    <col width="14" customWidth="1" min="20" max="20"/>
  </cols>
  <sheetData>
    <row r="1">
      <c r="A1" s="1" t="inlineStr">
        <is>
          <t>Funnel &amp; CAC: fully loaded cost per ACTIVATED saver (first successful auto-debit), by channel</t>
        </is>
      </c>
    </row>
    <row r="2">
      <c r="A2" s="28" t="inlineStr">
        <is>
          <t>CAC per activated saver = cost per install × scenario multiplier ÷ (install→activated) + KYC cost ÷ (KYC→activated) + mandate cost ÷ (mandate→first debit) + reward + referral bonus + partner fee.</t>
        </is>
      </c>
    </row>
    <row r="4" ht="45" customHeight="1">
      <c r="A4" s="5" t="inlineStr">
        <is>
          <t>Channel</t>
        </is>
      </c>
      <c r="B4" s="5" t="inlineStr">
        <is>
          <t>Share of its segment</t>
        </is>
      </c>
      <c r="C4" s="5" t="inlineStr">
        <is>
          <t>Cost per install (₹)</t>
        </is>
      </c>
      <c r="D4" s="5" t="inlineStr">
        <is>
          <t>Install → KYC</t>
        </is>
      </c>
      <c r="E4" s="5" t="inlineStr">
        <is>
          <t>KYC → mandate</t>
        </is>
      </c>
      <c r="F4" s="5" t="inlineStr">
        <is>
          <t>Mandate → first debit</t>
        </is>
      </c>
      <c r="G4" s="5" t="inlineStr">
        <is>
          <t>KYC cost per KYC (₹)</t>
        </is>
      </c>
      <c r="H4" s="5" t="inlineStr">
        <is>
          <t>Mandate cost per mandate (₹)</t>
        </is>
      </c>
      <c r="I4" s="5" t="inlineStr">
        <is>
          <t>Joining reward (₹)</t>
        </is>
      </c>
      <c r="J4" s="5" t="inlineStr">
        <is>
          <t>Referral bonus (₹)</t>
        </is>
      </c>
      <c r="K4" s="5" t="inlineStr">
        <is>
          <t>Partner fee (₹)</t>
        </is>
      </c>
      <c r="L4" s="5" t="inlineStr">
        <is>
          <t>Install → activated</t>
        </is>
      </c>
      <c r="M4" s="5" t="inlineStr">
        <is>
          <t>Acquisition per activated (₹)</t>
        </is>
      </c>
      <c r="N4" s="5" t="inlineStr">
        <is>
          <t>KYC per activated (₹)</t>
        </is>
      </c>
      <c r="O4" s="5" t="inlineStr">
        <is>
          <t>Mandate per activated (₹)</t>
        </is>
      </c>
      <c r="P4" s="5" t="inlineStr">
        <is>
          <t>Rewards + referral + partner (₹)</t>
        </is>
      </c>
      <c r="Q4" s="5" t="inlineStr">
        <is>
          <t>CAC per activated saver (₹)</t>
        </is>
      </c>
      <c r="R4" s="5" t="inlineStr">
        <is>
          <t>Basis</t>
        </is>
      </c>
      <c r="S4" s="5" t="inlineStr">
        <is>
          <t>Notes</t>
        </is>
      </c>
      <c r="T4" s="5" t="inlineStr">
        <is>
          <t>Install weight (share of all savers ÷ install→activated)</t>
        </is>
      </c>
    </row>
    <row r="5">
      <c r="A5" s="25" t="inlineStr">
        <is>
          <t>Gig · Save at source (platform / fleet payouts)</t>
        </is>
      </c>
      <c r="B5" s="29" t="n">
        <v>0.3</v>
      </c>
      <c r="C5" s="30" t="n">
        <v>60</v>
      </c>
      <c r="D5" s="29" t="n">
        <v>0.7</v>
      </c>
      <c r="E5" s="29" t="n">
        <v>0.85</v>
      </c>
      <c r="F5" s="29" t="n">
        <v>0.9</v>
      </c>
      <c r="G5" s="30" t="n">
        <v>40</v>
      </c>
      <c r="H5" s="30" t="n">
        <v>5</v>
      </c>
      <c r="I5" s="30" t="n">
        <v>0</v>
      </c>
      <c r="J5" s="30" t="n">
        <v>0</v>
      </c>
      <c r="K5" s="30" t="n">
        <v>50</v>
      </c>
      <c r="L5" s="31">
        <f>D5*E5*F5</f>
        <v/>
      </c>
      <c r="M5" s="32">
        <f>C5*cac_mult/L5</f>
        <v/>
      </c>
      <c r="N5" s="32">
        <f>G5/(E5*F5)</f>
        <v/>
      </c>
      <c r="O5" s="32">
        <f>H5/F5</f>
        <v/>
      </c>
      <c r="P5" s="32">
        <f>I5+J5+K5</f>
        <v/>
      </c>
      <c r="Q5" s="27">
        <f>M5+N5+O5+P5</f>
        <v/>
      </c>
      <c r="R5" s="25" t="inlineStr">
        <is>
          <t>assumption: no savings-app CAC found [BM-04, BM-05]; Bueno cost per applicant under Rs 150 is the founder anchor</t>
        </is>
      </c>
      <c r="S5" s="28" t="inlineStr">
        <is>
          <t>Field staff at hubs co-branded with a platform; partner fee assumed | KYC Rs 40 = Aadhaar e-KYC Rs 3 (UIDAI) + vendor + KRA upload Rs 30 + CKYC [REG-068, REG-045, REG-069]; mandate Rs 5 (list Rs 7.5) [REG-050]</t>
        </is>
      </c>
      <c r="T5" s="33">
        <f>B5*mix_gig/L5</f>
        <v/>
      </c>
    </row>
    <row r="6">
      <c r="A6" s="25" t="inlineStr">
        <is>
          <t>Gig · Rider hubs and dark stores (field agents)</t>
        </is>
      </c>
      <c r="B6" s="29" t="n">
        <v>0.3</v>
      </c>
      <c r="C6" s="30" t="n">
        <v>50</v>
      </c>
      <c r="D6" s="29" t="n">
        <v>0.6</v>
      </c>
      <c r="E6" s="29" t="n">
        <v>0.7</v>
      </c>
      <c r="F6" s="29" t="n">
        <v>0.85</v>
      </c>
      <c r="G6" s="30" t="n">
        <v>40</v>
      </c>
      <c r="H6" s="30" t="n">
        <v>5</v>
      </c>
      <c r="I6" s="30" t="n">
        <v>0</v>
      </c>
      <c r="J6" s="30" t="n">
        <v>0</v>
      </c>
      <c r="K6" s="30" t="n">
        <v>0</v>
      </c>
      <c r="L6" s="31">
        <f>D6*E6*F6</f>
        <v/>
      </c>
      <c r="M6" s="32">
        <f>C6*cac_mult/L6</f>
        <v/>
      </c>
      <c r="N6" s="32">
        <f>G6/(E6*F6)</f>
        <v/>
      </c>
      <c r="O6" s="32">
        <f>H6/F6</f>
        <v/>
      </c>
      <c r="P6" s="32">
        <f>I6+J6+K6</f>
        <v/>
      </c>
      <c r="Q6" s="27">
        <f>M6+N6+O6+P6</f>
        <v/>
      </c>
      <c r="R6" s="25" t="inlineStr">
        <is>
          <t>assumption: no savings-app CAC found [BM-04, BM-05]; Bueno cost per applicant under Rs 150 is the founder anchor</t>
        </is>
      </c>
      <c r="S6" s="28" t="inlineStr">
        <is>
          <t>Rs 25k/month agent / 25 days / 20 installs a day = Rs 50 | KYC Rs 40 = Aadhaar e-KYC Rs 3 (UIDAI) + vendor + KRA upload Rs 30 + CKYC [REG-068, REG-045, REG-069]; mandate Rs 5 (list Rs 7.5) [REG-050]</t>
        </is>
      </c>
      <c r="T6" s="33">
        <f>B6*mix_gig/L6</f>
        <v/>
      </c>
    </row>
    <row r="7">
      <c r="A7" s="25" t="inlineStr">
        <is>
          <t>Gig · Savings-buddy referrals</t>
        </is>
      </c>
      <c r="B7" s="29" t="n">
        <v>0.2</v>
      </c>
      <c r="C7" s="30" t="n">
        <v>0</v>
      </c>
      <c r="D7" s="29" t="n">
        <v>0.5</v>
      </c>
      <c r="E7" s="29" t="n">
        <v>0.7</v>
      </c>
      <c r="F7" s="29" t="n">
        <v>0.85</v>
      </c>
      <c r="G7" s="30" t="n">
        <v>40</v>
      </c>
      <c r="H7" s="30" t="n">
        <v>5</v>
      </c>
      <c r="I7" s="30" t="n">
        <v>0</v>
      </c>
      <c r="J7" s="30" t="n">
        <v>0</v>
      </c>
      <c r="K7" s="30" t="n">
        <v>0</v>
      </c>
      <c r="L7" s="31">
        <f>D7*E7*F7</f>
        <v/>
      </c>
      <c r="M7" s="32">
        <f>C7*cac_mult/L7</f>
        <v/>
      </c>
      <c r="N7" s="32">
        <f>G7/(E7*F7)</f>
        <v/>
      </c>
      <c r="O7" s="32">
        <f>H7/F7</f>
        <v/>
      </c>
      <c r="P7" s="32">
        <f>I7+J7+K7</f>
        <v/>
      </c>
      <c r="Q7" s="27">
        <f>M7+N7+O7+P7</f>
        <v/>
      </c>
      <c r="R7" s="25" t="inlineStr">
        <is>
          <t>assumption: no savings-app CAC found [BM-04, BM-05]; Bueno cost per applicant under Rs 150 is the founder anchor</t>
        </is>
      </c>
      <c r="S7" s="28" t="inlineStr">
        <is>
          <t>Non-cash: shared goals and streaks with a friend. No cash bonus, because distributors may not reward fund investment [REG-082]. No pooling, because that would be a chit [REG-080]. | KYC Rs 40 = Aadhaar e-KYC Rs 3 (UIDAI) + vendor + KRA upload Rs 30 + CKYC [REG-068, REG-045, REG-069]; mandate Rs 5 (list Rs 7.5) [REG-050]</t>
        </is>
      </c>
      <c r="T7" s="33">
        <f>B7*mix_gig/L7</f>
        <v/>
      </c>
    </row>
    <row r="8">
      <c r="A8" s="25" t="inlineStr">
        <is>
          <t>Gig · Local-language creators and WhatsApp groups</t>
        </is>
      </c>
      <c r="B8" s="29" t="n">
        <v>0.1</v>
      </c>
      <c r="C8" s="30" t="n">
        <v>40</v>
      </c>
      <c r="D8" s="29" t="n">
        <v>0.4</v>
      </c>
      <c r="E8" s="29" t="n">
        <v>0.6</v>
      </c>
      <c r="F8" s="29" t="n">
        <v>0.8</v>
      </c>
      <c r="G8" s="30" t="n">
        <v>40</v>
      </c>
      <c r="H8" s="30" t="n">
        <v>5</v>
      </c>
      <c r="I8" s="30" t="n">
        <v>0</v>
      </c>
      <c r="J8" s="30" t="n">
        <v>0</v>
      </c>
      <c r="K8" s="30" t="n">
        <v>0</v>
      </c>
      <c r="L8" s="31">
        <f>D8*E8*F8</f>
        <v/>
      </c>
      <c r="M8" s="32">
        <f>C8*cac_mult/L8</f>
        <v/>
      </c>
      <c r="N8" s="32">
        <f>G8/(E8*F8)</f>
        <v/>
      </c>
      <c r="O8" s="32">
        <f>H8/F8</f>
        <v/>
      </c>
      <c r="P8" s="32">
        <f>I8+J8+K8</f>
        <v/>
      </c>
      <c r="Q8" s="27">
        <f>M8+N8+O8+P8</f>
        <v/>
      </c>
      <c r="R8" s="25" t="inlineStr">
        <is>
          <t>assumption: no savings-app CAC found [BM-04, BM-05]; Bueno cost per applicant under Rs 150 is the founder anchor</t>
        </is>
      </c>
      <c r="S8" s="28" t="inlineStr">
        <is>
          <t>KYC Rs 40 = Aadhaar e-KYC Rs 3 (UIDAI) + vendor + KRA upload Rs 30 + CKYC [REG-068, REG-045, REG-069]; mandate Rs 5 (list Rs 7.5) [REG-050]</t>
        </is>
      </c>
      <c r="T8" s="33">
        <f>B8*mix_gig/L8</f>
        <v/>
      </c>
    </row>
    <row r="9">
      <c r="A9" s="25" t="inlineStr">
        <is>
          <t>Gig · Paid ads (benchmark only)</t>
        </is>
      </c>
      <c r="B9" s="29" t="n">
        <v>0.1</v>
      </c>
      <c r="C9" s="30" t="n">
        <v>80</v>
      </c>
      <c r="D9" s="29" t="n">
        <v>0.3</v>
      </c>
      <c r="E9" s="29" t="n">
        <v>0.55</v>
      </c>
      <c r="F9" s="29" t="n">
        <v>0.75</v>
      </c>
      <c r="G9" s="30" t="n">
        <v>40</v>
      </c>
      <c r="H9" s="30" t="n">
        <v>5</v>
      </c>
      <c r="I9" s="30" t="n">
        <v>0</v>
      </c>
      <c r="J9" s="30" t="n">
        <v>0</v>
      </c>
      <c r="K9" s="30" t="n">
        <v>0</v>
      </c>
      <c r="L9" s="31">
        <f>D9*E9*F9</f>
        <v/>
      </c>
      <c r="M9" s="32">
        <f>C9*cac_mult/L9</f>
        <v/>
      </c>
      <c r="N9" s="32">
        <f>G9/(E9*F9)</f>
        <v/>
      </c>
      <c r="O9" s="32">
        <f>H9/F9</f>
        <v/>
      </c>
      <c r="P9" s="32">
        <f>I9+J9+K9</f>
        <v/>
      </c>
      <c r="Q9" s="27">
        <f>M9+N9+O9+P9</f>
        <v/>
      </c>
      <c r="R9" s="25" t="inlineStr">
        <is>
          <t>assumption: no savings-app CAC found [BM-04, BM-05]; Bueno cost per applicant under Rs 150 is the founder anchor</t>
        </is>
      </c>
      <c r="S9" s="28" t="inlineStr">
        <is>
          <t>KYC Rs 40 = Aadhaar e-KYC Rs 3 (UIDAI) + vendor + KRA upload Rs 30 + CKYC [REG-068, REG-045, REG-069]; mandate Rs 5 (list Rs 7.5) [REG-050]</t>
        </is>
      </c>
      <c r="T9" s="33">
        <f>B9*mix_gig/L9</f>
        <v/>
      </c>
    </row>
    <row r="10">
      <c r="A10" s="25" t="inlineStr">
        <is>
          <t>Non-gig · Field agents in markets</t>
        </is>
      </c>
      <c r="B10" s="29" t="n">
        <v>0.35</v>
      </c>
      <c r="C10" s="30" t="n">
        <v>50</v>
      </c>
      <c r="D10" s="29" t="n">
        <v>0.55</v>
      </c>
      <c r="E10" s="29" t="n">
        <v>0.7</v>
      </c>
      <c r="F10" s="29" t="n">
        <v>0.85</v>
      </c>
      <c r="G10" s="30" t="n">
        <v>40</v>
      </c>
      <c r="H10" s="30" t="n">
        <v>5</v>
      </c>
      <c r="I10" s="30" t="n">
        <v>0</v>
      </c>
      <c r="J10" s="30" t="n">
        <v>0</v>
      </c>
      <c r="K10" s="30" t="n">
        <v>0</v>
      </c>
      <c r="L10" s="31">
        <f>D10*E10*F10</f>
        <v/>
      </c>
      <c r="M10" s="32">
        <f>C10*cac_mult_ng/L10</f>
        <v/>
      </c>
      <c r="N10" s="32">
        <f>G10/(E10*F10)</f>
        <v/>
      </c>
      <c r="O10" s="32">
        <f>H10/F10</f>
        <v/>
      </c>
      <c r="P10" s="32">
        <f>I10+J10+K10</f>
        <v/>
      </c>
      <c r="Q10" s="27">
        <f>M10+N10+O10+P10</f>
        <v/>
      </c>
      <c r="R10" s="25" t="inlineStr">
        <is>
          <t>assumption: merchant onboarding cost not disclosed by any payments firm [NG-043]; PhonePe has about 358 merchant devices per field staff (derived) [NG-029]</t>
        </is>
      </c>
      <c r="S10" s="28" t="inlineStr">
        <is>
          <t>Agents walk market streets and sign shops up. Staff who explain funds need NISM certification; no sign-up gifts for fund investing [OWN-05, REG-082]</t>
        </is>
      </c>
      <c r="T10" s="33">
        <f>B10*(1-mix_gig)/L10</f>
        <v/>
      </c>
    </row>
    <row r="11">
      <c r="A11" s="25" t="inlineStr">
        <is>
          <t>Non-gig · Supplier and distributor networks</t>
        </is>
      </c>
      <c r="B11" s="29" t="n">
        <v>0.25</v>
      </c>
      <c r="C11" s="30" t="n">
        <v>30</v>
      </c>
      <c r="D11" s="29" t="n">
        <v>0.5</v>
      </c>
      <c r="E11" s="29" t="n">
        <v>0.7</v>
      </c>
      <c r="F11" s="29" t="n">
        <v>0.85</v>
      </c>
      <c r="G11" s="30" t="n">
        <v>40</v>
      </c>
      <c r="H11" s="30" t="n">
        <v>5</v>
      </c>
      <c r="I11" s="30" t="n">
        <v>0</v>
      </c>
      <c r="J11" s="30" t="n">
        <v>0</v>
      </c>
      <c r="K11" s="30" t="n">
        <v>50</v>
      </c>
      <c r="L11" s="31">
        <f>D11*E11*F11</f>
        <v/>
      </c>
      <c r="M11" s="32">
        <f>C11*cac_mult_ng/L11</f>
        <v/>
      </c>
      <c r="N11" s="32">
        <f>G11/(E11*F11)</f>
        <v/>
      </c>
      <c r="O11" s="32">
        <f>H11/F11</f>
        <v/>
      </c>
      <c r="P11" s="32">
        <f>I11+J11+K11</f>
        <v/>
      </c>
      <c r="Q11" s="27">
        <f>M11+N11+O11+P11</f>
        <v/>
      </c>
      <c r="R11" s="25" t="inlineStr">
        <is>
          <t>assumption: supplier-network finance found so far is trade credit only, with no published referral fee [NG-044]</t>
        </is>
      </c>
      <c r="S11" s="28" t="inlineStr">
        <is>
          <t>FMCG or wholesale distributors who visit shops weekly. LEGAL: they may be paid for fund sign-ups only if they register as ARN sub-distributors (staff NISM-certified); never for insurance leads (Insurance Act s.40). The Rs 50 fee is modelled as a gold-referral fee [OWN-05, OWN-06]</t>
        </is>
      </c>
      <c r="T11" s="33">
        <f>B11*(1-mix_gig)/L11</f>
        <v/>
      </c>
    </row>
    <row r="12">
      <c r="A12" s="25" t="inlineStr">
        <is>
          <t>Non-gig · Trader associations, cooperatives, self-help groups</t>
        </is>
      </c>
      <c r="B12" s="29" t="n">
        <v>0.15</v>
      </c>
      <c r="C12" s="30" t="n">
        <v>20</v>
      </c>
      <c r="D12" s="29" t="n">
        <v>0.45</v>
      </c>
      <c r="E12" s="29" t="n">
        <v>0.7</v>
      </c>
      <c r="F12" s="29" t="n">
        <v>0.85</v>
      </c>
      <c r="G12" s="30" t="n">
        <v>40</v>
      </c>
      <c r="H12" s="30" t="n">
        <v>5</v>
      </c>
      <c r="I12" s="30" t="n">
        <v>0</v>
      </c>
      <c r="J12" s="30" t="n">
        <v>0</v>
      </c>
      <c r="K12" s="30" t="n">
        <v>0</v>
      </c>
      <c r="L12" s="31">
        <f>D12*E12*F12</f>
        <v/>
      </c>
      <c r="M12" s="32">
        <f>C12*cac_mult_ng/L12</f>
        <v/>
      </c>
      <c r="N12" s="32">
        <f>G12/(E12*F12)</f>
        <v/>
      </c>
      <c r="O12" s="32">
        <f>H12/F12</f>
        <v/>
      </c>
      <c r="P12" s="32">
        <f>I12+J12+K12</f>
        <v/>
      </c>
      <c r="Q12" s="27">
        <f>M12+N12+O12+P12</f>
        <v/>
      </c>
      <c r="R12" s="25" t="inlineStr">
        <is>
          <t>assumption: no cost data found; pigmy agents are paid 2.5% of collections [NG-041]</t>
        </is>
      </c>
      <c r="S12" s="28" t="inlineStr">
        <is>
          <t>Group sessions at trader associations, cooperatives and self-help groups; each member saves into their own account (no pooling: chit rules) [REG-080]. No payment to the association for fund or insurance sales [OWN-05, OWN-06]</t>
        </is>
      </c>
      <c r="T12" s="33">
        <f>B12*(1-mix_gig)/L12</f>
        <v/>
      </c>
    </row>
    <row r="13">
      <c r="A13" s="25" t="inlineStr">
        <is>
          <t>Non-gig · Save from daily UPI sales (payment partner)</t>
        </is>
      </c>
      <c r="B13" s="29" t="n">
        <v>0.25</v>
      </c>
      <c r="C13" s="30" t="n">
        <v>40</v>
      </c>
      <c r="D13" s="29" t="n">
        <v>0.55</v>
      </c>
      <c r="E13" s="29" t="n">
        <v>0.8</v>
      </c>
      <c r="F13" s="29" t="n">
        <v>0.9</v>
      </c>
      <c r="G13" s="30" t="n">
        <v>40</v>
      </c>
      <c r="H13" s="30" t="n">
        <v>5</v>
      </c>
      <c r="I13" s="30" t="n">
        <v>0</v>
      </c>
      <c r="J13" s="30" t="n">
        <v>0</v>
      </c>
      <c r="K13" s="30" t="n">
        <v>30</v>
      </c>
      <c r="L13" s="31">
        <f>D13*E13*F13</f>
        <v/>
      </c>
      <c r="M13" s="32">
        <f>C13*cac_mult_ng/L13</f>
        <v/>
      </c>
      <c r="N13" s="32">
        <f>G13/(E13*F13)</f>
        <v/>
      </c>
      <c r="O13" s="32">
        <f>H13/F13</f>
        <v/>
      </c>
      <c r="P13" s="32">
        <f>I13+J13+K13</f>
        <v/>
      </c>
      <c r="Q13" s="27">
        <f>M13+N13+O13+P13</f>
        <v/>
      </c>
      <c r="R13" s="25" t="inlineStr">
        <is>
          <t>assumption: no live product saves from a merchant's daily UPI sales [NG-046]; small merchants' UPI money lands straight in their own account [NG-030], so this is a mandate timed after the day's collections</t>
        </is>
      </c>
      <c r="S13" s="28" t="inlineStr">
        <is>
          <t>A payment partner prompts the shop to save part of each day's UPI collections. For funds, the money must settle into the shop's own bank first, then its own mandate debits [REG-066, OWN-07]. The Rs 30 is a flat service fee to the payment partner, not a commission on fund or insurance sales (legal opinion needed)</t>
        </is>
      </c>
      <c r="T13" s="33">
        <f>B13*(1-mix_gig)/L13</f>
        <v/>
      </c>
    </row>
    <row r="14">
      <c r="A14" s="34" t="inlineStr">
        <is>
          <t>Gig blended (channel mix)</t>
        </is>
      </c>
      <c r="B14" s="35">
        <f>SUM(B5:B9)</f>
        <v/>
      </c>
      <c r="C14" s="36" t="n"/>
      <c r="D14" s="36" t="n"/>
      <c r="E14" s="36" t="n"/>
      <c r="F14" s="36" t="n"/>
      <c r="G14" s="36" t="n"/>
      <c r="H14" s="36" t="n"/>
      <c r="I14" s="36" t="n"/>
      <c r="J14" s="36" t="n"/>
      <c r="K14" s="36" t="n"/>
      <c r="L14" s="35">
        <f>SUMPRODUCT($B$5:$B$9,L5:L9)/$B$14</f>
        <v/>
      </c>
      <c r="M14" s="37">
        <f>SUMPRODUCT($B$5:$B$9,M5:M9)/$B$14</f>
        <v/>
      </c>
      <c r="N14" s="37">
        <f>SUMPRODUCT($B$5:$B$9,N5:N9)/$B$14</f>
        <v/>
      </c>
      <c r="O14" s="37">
        <f>SUMPRODUCT($B$5:$B$9,O5:O9)/$B$14</f>
        <v/>
      </c>
      <c r="P14" s="37">
        <f>SUMPRODUCT($B$5:$B$9,P5:P9)/$B$14</f>
        <v/>
      </c>
      <c r="Q14" s="37">
        <f>SUMPRODUCT($B$5:$B$9,Q5:Q9)/$B$14</f>
        <v/>
      </c>
      <c r="R14" s="36" t="n"/>
      <c r="S14" s="36" t="n"/>
    </row>
    <row r="15">
      <c r="A15" s="34" t="inlineStr">
        <is>
          <t>Non-gig blended (channel mix)</t>
        </is>
      </c>
      <c r="B15" s="35">
        <f>SUM(B10:B13)</f>
        <v/>
      </c>
      <c r="C15" s="36" t="n"/>
      <c r="D15" s="36" t="n"/>
      <c r="E15" s="36" t="n"/>
      <c r="F15" s="36" t="n"/>
      <c r="G15" s="36" t="n"/>
      <c r="H15" s="36" t="n"/>
      <c r="I15" s="36" t="n"/>
      <c r="J15" s="36" t="n"/>
      <c r="K15" s="36" t="n"/>
      <c r="L15" s="35">
        <f>SUMPRODUCT($B$10:$B$13,L10:L13)/$B$15</f>
        <v/>
      </c>
      <c r="M15" s="37">
        <f>SUMPRODUCT($B$10:$B$13,M10:M13)/$B$15</f>
        <v/>
      </c>
      <c r="N15" s="37">
        <f>SUMPRODUCT($B$10:$B$13,N10:N13)/$B$15</f>
        <v/>
      </c>
      <c r="O15" s="37">
        <f>SUMPRODUCT($B$10:$B$13,O10:O13)/$B$15</f>
        <v/>
      </c>
      <c r="P15" s="37">
        <f>SUMPRODUCT($B$10:$B$13,P10:P13)/$B$15</f>
        <v/>
      </c>
      <c r="Q15" s="37">
        <f>SUMPRODUCT($B$10:$B$13,Q10:Q13)/$B$15</f>
        <v/>
      </c>
      <c r="R15" s="36" t="n"/>
      <c r="S15" s="36" t="n"/>
    </row>
    <row r="16">
      <c r="A16" s="2" t="inlineStr">
        <is>
          <t>All savers (segment mix from Inputs)</t>
        </is>
      </c>
      <c r="Q16" s="27">
        <f>mix_gig*cac_gig+(1-mix_gig)*cac_ng</f>
        <v/>
      </c>
    </row>
    <row r="19">
      <c r="A19" s="2" t="inlineStr">
        <is>
          <t>The funnel for 1,000 installs across both segments, and how many are still saving later</t>
        </is>
      </c>
    </row>
    <row r="20">
      <c r="A20" s="5" t="inlineStr">
        <is>
          <t>Stage</t>
        </is>
      </c>
      <c r="B20" s="5" t="inlineStr">
        <is>
          <t>People</t>
        </is>
      </c>
      <c r="C20" s="5" t="inlineStr">
        <is>
          <t>Share of installs</t>
        </is>
      </c>
    </row>
    <row r="21">
      <c r="A21" s="25" t="inlineStr">
        <is>
          <t>Installs</t>
        </is>
      </c>
      <c r="B21" s="38">
        <f>1000</f>
        <v/>
      </c>
      <c r="C21" s="39">
        <f>B21/$B$21</f>
        <v/>
      </c>
    </row>
    <row r="22">
      <c r="A22" s="25" t="inlineStr">
        <is>
          <t>KYC done</t>
        </is>
      </c>
      <c r="B22" s="38">
        <f>1000*SUMPRODUCT($T$5:$T$13,D5:D13)/SUM($T$5:$T$13)</f>
        <v/>
      </c>
      <c r="C22" s="39">
        <f>B22/$B$21</f>
        <v/>
      </c>
    </row>
    <row r="23">
      <c r="A23" s="25" t="inlineStr">
        <is>
          <t>Mandate set up</t>
        </is>
      </c>
      <c r="B23" s="38">
        <f>1000*SUMPRODUCT($T$5:$T$13,D5:D13,E5:E13)/SUM($T$5:$T$13)</f>
        <v/>
      </c>
      <c r="C23" s="39">
        <f>B23/$B$21</f>
        <v/>
      </c>
    </row>
    <row r="24">
      <c r="A24" s="25" t="inlineStr">
        <is>
          <t>First auto-debit (activated saver)</t>
        </is>
      </c>
      <c r="B24" s="38">
        <f>1000*SUMPRODUCT($T$5:$T$13,L5:L13)/SUM($T$5:$T$13)</f>
        <v/>
      </c>
      <c r="C24" s="39">
        <f>B24/$B$21</f>
        <v/>
      </c>
    </row>
    <row r="25">
      <c r="A25" s="25" t="inlineStr">
        <is>
          <t>Still saving, month 1</t>
        </is>
      </c>
      <c r="B25" s="40">
        <f>B24*(mix_gig*ret_m1+(1-mix_gig)*ret_m1_ng)</f>
        <v/>
      </c>
      <c r="C25" s="39">
        <f>B25/$B$21</f>
        <v/>
      </c>
    </row>
    <row r="26">
      <c r="A26" s="25" t="inlineStr">
        <is>
          <t>Still saving, month 3</t>
        </is>
      </c>
      <c r="B26" s="40">
        <f>B24*(mix_gig*ret_m3+(1-mix_gig)*ret_m3_ng)</f>
        <v/>
      </c>
      <c r="C26" s="39">
        <f>B26/$B$21</f>
        <v/>
      </c>
    </row>
    <row r="27">
      <c r="A27" s="25" t="inlineStr">
        <is>
          <t>Still saving, month 6</t>
        </is>
      </c>
      <c r="B27" s="40">
        <f>B24*(mix_gig*ret_m6+(1-mix_gig)*ret_m6_ng)</f>
        <v/>
      </c>
      <c r="C27" s="39">
        <f>B27/$B$21</f>
        <v/>
      </c>
    </row>
    <row r="28">
      <c r="A28" s="25" t="inlineStr">
        <is>
          <t>Still saving, month 12</t>
        </is>
      </c>
      <c r="B28" s="40">
        <f>B24*(mix_gig*ret_m12+(1-mix_gig)*ret_m12_ng)</f>
        <v/>
      </c>
      <c r="C28" s="39">
        <f>B28/$B$21</f>
        <v/>
      </c>
    </row>
    <row r="29">
      <c r="A29" s="25" t="inlineStr">
        <is>
          <t>Still saving, month 24</t>
        </is>
      </c>
      <c r="B29" s="40">
        <f>B24*(mix_gig*ret_m24+(1-mix_gig)*ret_m24_ng)</f>
        <v/>
      </c>
      <c r="C29" s="39">
        <f>B29/$B$21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7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s>
  <sheetData>
    <row r="1">
      <c r="A1" s="1" t="inlineStr">
        <is>
          <t>Cohort: the GIG savers (app delivery and ride) in one monthly cohort, followed for 60 months (scenario from Inputs!C2)</t>
        </is>
      </c>
    </row>
    <row r="2">
      <c r="A2" s="28" t="inlineStr">
        <is>
          <t>Month 0 (column C) holds the starting state. Loan, card and insurance economics are booked in the month the loan, card or policy is issued. Numbers are for the whole cohort unless the row says 'per activated saver'.</t>
        </is>
      </c>
    </row>
    <row r="4">
      <c r="A4" s="2" t="inlineStr">
        <is>
          <t>Month of cohort life</t>
        </is>
      </c>
      <c r="B4" s="2" t="inlineStr">
        <is>
          <t>unit</t>
        </is>
      </c>
      <c r="C4" s="41" t="n">
        <v>0</v>
      </c>
      <c r="D4" s="41" t="n">
        <v>1</v>
      </c>
      <c r="E4" s="41" t="n">
        <v>2</v>
      </c>
      <c r="F4" s="41" t="n">
        <v>3</v>
      </c>
      <c r="G4" s="41" t="n">
        <v>4</v>
      </c>
      <c r="H4" s="41" t="n">
        <v>5</v>
      </c>
      <c r="I4" s="41" t="n">
        <v>6</v>
      </c>
      <c r="J4" s="41" t="n">
        <v>7</v>
      </c>
      <c r="K4" s="41" t="n">
        <v>8</v>
      </c>
      <c r="L4" s="41" t="n">
        <v>9</v>
      </c>
      <c r="M4" s="41" t="n">
        <v>10</v>
      </c>
      <c r="N4" s="41" t="n">
        <v>11</v>
      </c>
      <c r="O4" s="41" t="n">
        <v>12</v>
      </c>
      <c r="P4" s="41" t="n">
        <v>13</v>
      </c>
      <c r="Q4" s="41" t="n">
        <v>14</v>
      </c>
      <c r="R4" s="41" t="n">
        <v>15</v>
      </c>
      <c r="S4" s="41" t="n">
        <v>16</v>
      </c>
      <c r="T4" s="41" t="n">
        <v>17</v>
      </c>
      <c r="U4" s="41" t="n">
        <v>18</v>
      </c>
      <c r="V4" s="41" t="n">
        <v>19</v>
      </c>
      <c r="W4" s="41" t="n">
        <v>20</v>
      </c>
      <c r="X4" s="41" t="n">
        <v>21</v>
      </c>
      <c r="Y4" s="41" t="n">
        <v>22</v>
      </c>
      <c r="Z4" s="41" t="n">
        <v>23</v>
      </c>
      <c r="AA4" s="41" t="n">
        <v>24</v>
      </c>
      <c r="AB4" s="41" t="n">
        <v>25</v>
      </c>
      <c r="AC4" s="41" t="n">
        <v>26</v>
      </c>
      <c r="AD4" s="41" t="n">
        <v>27</v>
      </c>
      <c r="AE4" s="41" t="n">
        <v>28</v>
      </c>
      <c r="AF4" s="41" t="n">
        <v>29</v>
      </c>
      <c r="AG4" s="41" t="n">
        <v>30</v>
      </c>
      <c r="AH4" s="41" t="n">
        <v>31</v>
      </c>
      <c r="AI4" s="41" t="n">
        <v>32</v>
      </c>
      <c r="AJ4" s="41" t="n">
        <v>33</v>
      </c>
      <c r="AK4" s="41" t="n">
        <v>34</v>
      </c>
      <c r="AL4" s="41" t="n">
        <v>35</v>
      </c>
      <c r="AM4" s="41" t="n">
        <v>36</v>
      </c>
      <c r="AN4" s="41" t="n">
        <v>37</v>
      </c>
      <c r="AO4" s="41" t="n">
        <v>38</v>
      </c>
      <c r="AP4" s="41" t="n">
        <v>39</v>
      </c>
      <c r="AQ4" s="41" t="n">
        <v>40</v>
      </c>
      <c r="AR4" s="41" t="n">
        <v>41</v>
      </c>
      <c r="AS4" s="41" t="n">
        <v>42</v>
      </c>
      <c r="AT4" s="41" t="n">
        <v>43</v>
      </c>
      <c r="AU4" s="41" t="n">
        <v>44</v>
      </c>
      <c r="AV4" s="41" t="n">
        <v>45</v>
      </c>
      <c r="AW4" s="41" t="n">
        <v>46</v>
      </c>
      <c r="AX4" s="41" t="n">
        <v>47</v>
      </c>
      <c r="AY4" s="41" t="n">
        <v>48</v>
      </c>
      <c r="AZ4" s="41" t="n">
        <v>49</v>
      </c>
      <c r="BA4" s="41" t="n">
        <v>50</v>
      </c>
      <c r="BB4" s="41" t="n">
        <v>51</v>
      </c>
      <c r="BC4" s="41" t="n">
        <v>52</v>
      </c>
      <c r="BD4" s="41" t="n">
        <v>53</v>
      </c>
      <c r="BE4" s="41" t="n">
        <v>54</v>
      </c>
      <c r="BF4" s="41" t="n">
        <v>55</v>
      </c>
      <c r="BG4" s="41" t="n">
        <v>56</v>
      </c>
      <c r="BH4" s="41" t="n">
        <v>57</v>
      </c>
      <c r="BI4" s="41" t="n">
        <v>58</v>
      </c>
      <c r="BJ4" s="41" t="n">
        <v>59</v>
      </c>
      <c r="BK4" s="41" t="n">
        <v>60</v>
      </c>
    </row>
    <row r="5">
      <c r="A5" s="6" t="inlineStr">
        <is>
          <t>Savers</t>
        </is>
      </c>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row>
    <row r="6">
      <c r="A6" s="25" t="inlineStr">
        <is>
          <t>Share of activated savers still saving</t>
        </is>
      </c>
      <c r="B6" s="28" t="inlineStr">
        <is>
          <t>share</t>
        </is>
      </c>
      <c r="C6" s="29" t="n">
        <v>1</v>
      </c>
      <c r="D6" s="31">
        <f>IF(D$4&lt;=1,ret_m1^D$4,IF(D$4&lt;=3,ret_m1*(ret_m3/ret_m1)^((D$4-1)/2),IF(D$4&lt;=6,ret_m3*(ret_m6/ret_m3)^((D$4-3)/3),IF(D$4&lt;=12,ret_m6*(ret_m12/ret_m6)^((D$4-6)/6),IF(D$4&lt;=24,ret_m12*(ret_m24/ret_m12)^((D$4-12)/12),ret_m24*(1-churn_late)^(D$4-24))))))</f>
        <v/>
      </c>
      <c r="E6" s="31">
        <f>IF(E$4&lt;=1,ret_m1^E$4,IF(E$4&lt;=3,ret_m1*(ret_m3/ret_m1)^((E$4-1)/2),IF(E$4&lt;=6,ret_m3*(ret_m6/ret_m3)^((E$4-3)/3),IF(E$4&lt;=12,ret_m6*(ret_m12/ret_m6)^((E$4-6)/6),IF(E$4&lt;=24,ret_m12*(ret_m24/ret_m12)^((E$4-12)/12),ret_m24*(1-churn_late)^(E$4-24))))))</f>
        <v/>
      </c>
      <c r="F6" s="31">
        <f>IF(F$4&lt;=1,ret_m1^F$4,IF(F$4&lt;=3,ret_m1*(ret_m3/ret_m1)^((F$4-1)/2),IF(F$4&lt;=6,ret_m3*(ret_m6/ret_m3)^((F$4-3)/3),IF(F$4&lt;=12,ret_m6*(ret_m12/ret_m6)^((F$4-6)/6),IF(F$4&lt;=24,ret_m12*(ret_m24/ret_m12)^((F$4-12)/12),ret_m24*(1-churn_late)^(F$4-24))))))</f>
        <v/>
      </c>
      <c r="G6" s="31">
        <f>IF(G$4&lt;=1,ret_m1^G$4,IF(G$4&lt;=3,ret_m1*(ret_m3/ret_m1)^((G$4-1)/2),IF(G$4&lt;=6,ret_m3*(ret_m6/ret_m3)^((G$4-3)/3),IF(G$4&lt;=12,ret_m6*(ret_m12/ret_m6)^((G$4-6)/6),IF(G$4&lt;=24,ret_m12*(ret_m24/ret_m12)^((G$4-12)/12),ret_m24*(1-churn_late)^(G$4-24))))))</f>
        <v/>
      </c>
      <c r="H6" s="31">
        <f>IF(H$4&lt;=1,ret_m1^H$4,IF(H$4&lt;=3,ret_m1*(ret_m3/ret_m1)^((H$4-1)/2),IF(H$4&lt;=6,ret_m3*(ret_m6/ret_m3)^((H$4-3)/3),IF(H$4&lt;=12,ret_m6*(ret_m12/ret_m6)^((H$4-6)/6),IF(H$4&lt;=24,ret_m12*(ret_m24/ret_m12)^((H$4-12)/12),ret_m24*(1-churn_late)^(H$4-24))))))</f>
        <v/>
      </c>
      <c r="I6" s="31">
        <f>IF(I$4&lt;=1,ret_m1^I$4,IF(I$4&lt;=3,ret_m1*(ret_m3/ret_m1)^((I$4-1)/2),IF(I$4&lt;=6,ret_m3*(ret_m6/ret_m3)^((I$4-3)/3),IF(I$4&lt;=12,ret_m6*(ret_m12/ret_m6)^((I$4-6)/6),IF(I$4&lt;=24,ret_m12*(ret_m24/ret_m12)^((I$4-12)/12),ret_m24*(1-churn_late)^(I$4-24))))))</f>
        <v/>
      </c>
      <c r="J6" s="31">
        <f>IF(J$4&lt;=1,ret_m1^J$4,IF(J$4&lt;=3,ret_m1*(ret_m3/ret_m1)^((J$4-1)/2),IF(J$4&lt;=6,ret_m3*(ret_m6/ret_m3)^((J$4-3)/3),IF(J$4&lt;=12,ret_m6*(ret_m12/ret_m6)^((J$4-6)/6),IF(J$4&lt;=24,ret_m12*(ret_m24/ret_m12)^((J$4-12)/12),ret_m24*(1-churn_late)^(J$4-24))))))</f>
        <v/>
      </c>
      <c r="K6" s="31">
        <f>IF(K$4&lt;=1,ret_m1^K$4,IF(K$4&lt;=3,ret_m1*(ret_m3/ret_m1)^((K$4-1)/2),IF(K$4&lt;=6,ret_m3*(ret_m6/ret_m3)^((K$4-3)/3),IF(K$4&lt;=12,ret_m6*(ret_m12/ret_m6)^((K$4-6)/6),IF(K$4&lt;=24,ret_m12*(ret_m24/ret_m12)^((K$4-12)/12),ret_m24*(1-churn_late)^(K$4-24))))))</f>
        <v/>
      </c>
      <c r="L6" s="31">
        <f>IF(L$4&lt;=1,ret_m1^L$4,IF(L$4&lt;=3,ret_m1*(ret_m3/ret_m1)^((L$4-1)/2),IF(L$4&lt;=6,ret_m3*(ret_m6/ret_m3)^((L$4-3)/3),IF(L$4&lt;=12,ret_m6*(ret_m12/ret_m6)^((L$4-6)/6),IF(L$4&lt;=24,ret_m12*(ret_m24/ret_m12)^((L$4-12)/12),ret_m24*(1-churn_late)^(L$4-24))))))</f>
        <v/>
      </c>
      <c r="M6" s="31">
        <f>IF(M$4&lt;=1,ret_m1^M$4,IF(M$4&lt;=3,ret_m1*(ret_m3/ret_m1)^((M$4-1)/2),IF(M$4&lt;=6,ret_m3*(ret_m6/ret_m3)^((M$4-3)/3),IF(M$4&lt;=12,ret_m6*(ret_m12/ret_m6)^((M$4-6)/6),IF(M$4&lt;=24,ret_m12*(ret_m24/ret_m12)^((M$4-12)/12),ret_m24*(1-churn_late)^(M$4-24))))))</f>
        <v/>
      </c>
      <c r="N6" s="31">
        <f>IF(N$4&lt;=1,ret_m1^N$4,IF(N$4&lt;=3,ret_m1*(ret_m3/ret_m1)^((N$4-1)/2),IF(N$4&lt;=6,ret_m3*(ret_m6/ret_m3)^((N$4-3)/3),IF(N$4&lt;=12,ret_m6*(ret_m12/ret_m6)^((N$4-6)/6),IF(N$4&lt;=24,ret_m12*(ret_m24/ret_m12)^((N$4-12)/12),ret_m24*(1-churn_late)^(N$4-24))))))</f>
        <v/>
      </c>
      <c r="O6" s="31">
        <f>IF(O$4&lt;=1,ret_m1^O$4,IF(O$4&lt;=3,ret_m1*(ret_m3/ret_m1)^((O$4-1)/2),IF(O$4&lt;=6,ret_m3*(ret_m6/ret_m3)^((O$4-3)/3),IF(O$4&lt;=12,ret_m6*(ret_m12/ret_m6)^((O$4-6)/6),IF(O$4&lt;=24,ret_m12*(ret_m24/ret_m12)^((O$4-12)/12),ret_m24*(1-churn_late)^(O$4-24))))))</f>
        <v/>
      </c>
      <c r="P6" s="31">
        <f>IF(P$4&lt;=1,ret_m1^P$4,IF(P$4&lt;=3,ret_m1*(ret_m3/ret_m1)^((P$4-1)/2),IF(P$4&lt;=6,ret_m3*(ret_m6/ret_m3)^((P$4-3)/3),IF(P$4&lt;=12,ret_m6*(ret_m12/ret_m6)^((P$4-6)/6),IF(P$4&lt;=24,ret_m12*(ret_m24/ret_m12)^((P$4-12)/12),ret_m24*(1-churn_late)^(P$4-24))))))</f>
        <v/>
      </c>
      <c r="Q6" s="31">
        <f>IF(Q$4&lt;=1,ret_m1^Q$4,IF(Q$4&lt;=3,ret_m1*(ret_m3/ret_m1)^((Q$4-1)/2),IF(Q$4&lt;=6,ret_m3*(ret_m6/ret_m3)^((Q$4-3)/3),IF(Q$4&lt;=12,ret_m6*(ret_m12/ret_m6)^((Q$4-6)/6),IF(Q$4&lt;=24,ret_m12*(ret_m24/ret_m12)^((Q$4-12)/12),ret_m24*(1-churn_late)^(Q$4-24))))))</f>
        <v/>
      </c>
      <c r="R6" s="31">
        <f>IF(R$4&lt;=1,ret_m1^R$4,IF(R$4&lt;=3,ret_m1*(ret_m3/ret_m1)^((R$4-1)/2),IF(R$4&lt;=6,ret_m3*(ret_m6/ret_m3)^((R$4-3)/3),IF(R$4&lt;=12,ret_m6*(ret_m12/ret_m6)^((R$4-6)/6),IF(R$4&lt;=24,ret_m12*(ret_m24/ret_m12)^((R$4-12)/12),ret_m24*(1-churn_late)^(R$4-24))))))</f>
        <v/>
      </c>
      <c r="S6" s="31">
        <f>IF(S$4&lt;=1,ret_m1^S$4,IF(S$4&lt;=3,ret_m1*(ret_m3/ret_m1)^((S$4-1)/2),IF(S$4&lt;=6,ret_m3*(ret_m6/ret_m3)^((S$4-3)/3),IF(S$4&lt;=12,ret_m6*(ret_m12/ret_m6)^((S$4-6)/6),IF(S$4&lt;=24,ret_m12*(ret_m24/ret_m12)^((S$4-12)/12),ret_m24*(1-churn_late)^(S$4-24))))))</f>
        <v/>
      </c>
      <c r="T6" s="31">
        <f>IF(T$4&lt;=1,ret_m1^T$4,IF(T$4&lt;=3,ret_m1*(ret_m3/ret_m1)^((T$4-1)/2),IF(T$4&lt;=6,ret_m3*(ret_m6/ret_m3)^((T$4-3)/3),IF(T$4&lt;=12,ret_m6*(ret_m12/ret_m6)^((T$4-6)/6),IF(T$4&lt;=24,ret_m12*(ret_m24/ret_m12)^((T$4-12)/12),ret_m24*(1-churn_late)^(T$4-24))))))</f>
        <v/>
      </c>
      <c r="U6" s="31">
        <f>IF(U$4&lt;=1,ret_m1^U$4,IF(U$4&lt;=3,ret_m1*(ret_m3/ret_m1)^((U$4-1)/2),IF(U$4&lt;=6,ret_m3*(ret_m6/ret_m3)^((U$4-3)/3),IF(U$4&lt;=12,ret_m6*(ret_m12/ret_m6)^((U$4-6)/6),IF(U$4&lt;=24,ret_m12*(ret_m24/ret_m12)^((U$4-12)/12),ret_m24*(1-churn_late)^(U$4-24))))))</f>
        <v/>
      </c>
      <c r="V6" s="31">
        <f>IF(V$4&lt;=1,ret_m1^V$4,IF(V$4&lt;=3,ret_m1*(ret_m3/ret_m1)^((V$4-1)/2),IF(V$4&lt;=6,ret_m3*(ret_m6/ret_m3)^((V$4-3)/3),IF(V$4&lt;=12,ret_m6*(ret_m12/ret_m6)^((V$4-6)/6),IF(V$4&lt;=24,ret_m12*(ret_m24/ret_m12)^((V$4-12)/12),ret_m24*(1-churn_late)^(V$4-24))))))</f>
        <v/>
      </c>
      <c r="W6" s="31">
        <f>IF(W$4&lt;=1,ret_m1^W$4,IF(W$4&lt;=3,ret_m1*(ret_m3/ret_m1)^((W$4-1)/2),IF(W$4&lt;=6,ret_m3*(ret_m6/ret_m3)^((W$4-3)/3),IF(W$4&lt;=12,ret_m6*(ret_m12/ret_m6)^((W$4-6)/6),IF(W$4&lt;=24,ret_m12*(ret_m24/ret_m12)^((W$4-12)/12),ret_m24*(1-churn_late)^(W$4-24))))))</f>
        <v/>
      </c>
      <c r="X6" s="31">
        <f>IF(X$4&lt;=1,ret_m1^X$4,IF(X$4&lt;=3,ret_m1*(ret_m3/ret_m1)^((X$4-1)/2),IF(X$4&lt;=6,ret_m3*(ret_m6/ret_m3)^((X$4-3)/3),IF(X$4&lt;=12,ret_m6*(ret_m12/ret_m6)^((X$4-6)/6),IF(X$4&lt;=24,ret_m12*(ret_m24/ret_m12)^((X$4-12)/12),ret_m24*(1-churn_late)^(X$4-24))))))</f>
        <v/>
      </c>
      <c r="Y6" s="31">
        <f>IF(Y$4&lt;=1,ret_m1^Y$4,IF(Y$4&lt;=3,ret_m1*(ret_m3/ret_m1)^((Y$4-1)/2),IF(Y$4&lt;=6,ret_m3*(ret_m6/ret_m3)^((Y$4-3)/3),IF(Y$4&lt;=12,ret_m6*(ret_m12/ret_m6)^((Y$4-6)/6),IF(Y$4&lt;=24,ret_m12*(ret_m24/ret_m12)^((Y$4-12)/12),ret_m24*(1-churn_late)^(Y$4-24))))))</f>
        <v/>
      </c>
      <c r="Z6" s="31">
        <f>IF(Z$4&lt;=1,ret_m1^Z$4,IF(Z$4&lt;=3,ret_m1*(ret_m3/ret_m1)^((Z$4-1)/2),IF(Z$4&lt;=6,ret_m3*(ret_m6/ret_m3)^((Z$4-3)/3),IF(Z$4&lt;=12,ret_m6*(ret_m12/ret_m6)^((Z$4-6)/6),IF(Z$4&lt;=24,ret_m12*(ret_m24/ret_m12)^((Z$4-12)/12),ret_m24*(1-churn_late)^(Z$4-24))))))</f>
        <v/>
      </c>
      <c r="AA6" s="31">
        <f>IF(AA$4&lt;=1,ret_m1^AA$4,IF(AA$4&lt;=3,ret_m1*(ret_m3/ret_m1)^((AA$4-1)/2),IF(AA$4&lt;=6,ret_m3*(ret_m6/ret_m3)^((AA$4-3)/3),IF(AA$4&lt;=12,ret_m6*(ret_m12/ret_m6)^((AA$4-6)/6),IF(AA$4&lt;=24,ret_m12*(ret_m24/ret_m12)^((AA$4-12)/12),ret_m24*(1-churn_late)^(AA$4-24))))))</f>
        <v/>
      </c>
      <c r="AB6" s="31">
        <f>IF(AB$4&lt;=1,ret_m1^AB$4,IF(AB$4&lt;=3,ret_m1*(ret_m3/ret_m1)^((AB$4-1)/2),IF(AB$4&lt;=6,ret_m3*(ret_m6/ret_m3)^((AB$4-3)/3),IF(AB$4&lt;=12,ret_m6*(ret_m12/ret_m6)^((AB$4-6)/6),IF(AB$4&lt;=24,ret_m12*(ret_m24/ret_m12)^((AB$4-12)/12),ret_m24*(1-churn_late)^(AB$4-24))))))</f>
        <v/>
      </c>
      <c r="AC6" s="31">
        <f>IF(AC$4&lt;=1,ret_m1^AC$4,IF(AC$4&lt;=3,ret_m1*(ret_m3/ret_m1)^((AC$4-1)/2),IF(AC$4&lt;=6,ret_m3*(ret_m6/ret_m3)^((AC$4-3)/3),IF(AC$4&lt;=12,ret_m6*(ret_m12/ret_m6)^((AC$4-6)/6),IF(AC$4&lt;=24,ret_m12*(ret_m24/ret_m12)^((AC$4-12)/12),ret_m24*(1-churn_late)^(AC$4-24))))))</f>
        <v/>
      </c>
      <c r="AD6" s="31">
        <f>IF(AD$4&lt;=1,ret_m1^AD$4,IF(AD$4&lt;=3,ret_m1*(ret_m3/ret_m1)^((AD$4-1)/2),IF(AD$4&lt;=6,ret_m3*(ret_m6/ret_m3)^((AD$4-3)/3),IF(AD$4&lt;=12,ret_m6*(ret_m12/ret_m6)^((AD$4-6)/6),IF(AD$4&lt;=24,ret_m12*(ret_m24/ret_m12)^((AD$4-12)/12),ret_m24*(1-churn_late)^(AD$4-24))))))</f>
        <v/>
      </c>
      <c r="AE6" s="31">
        <f>IF(AE$4&lt;=1,ret_m1^AE$4,IF(AE$4&lt;=3,ret_m1*(ret_m3/ret_m1)^((AE$4-1)/2),IF(AE$4&lt;=6,ret_m3*(ret_m6/ret_m3)^((AE$4-3)/3),IF(AE$4&lt;=12,ret_m6*(ret_m12/ret_m6)^((AE$4-6)/6),IF(AE$4&lt;=24,ret_m12*(ret_m24/ret_m12)^((AE$4-12)/12),ret_m24*(1-churn_late)^(AE$4-24))))))</f>
        <v/>
      </c>
      <c r="AF6" s="31">
        <f>IF(AF$4&lt;=1,ret_m1^AF$4,IF(AF$4&lt;=3,ret_m1*(ret_m3/ret_m1)^((AF$4-1)/2),IF(AF$4&lt;=6,ret_m3*(ret_m6/ret_m3)^((AF$4-3)/3),IF(AF$4&lt;=12,ret_m6*(ret_m12/ret_m6)^((AF$4-6)/6),IF(AF$4&lt;=24,ret_m12*(ret_m24/ret_m12)^((AF$4-12)/12),ret_m24*(1-churn_late)^(AF$4-24))))))</f>
        <v/>
      </c>
      <c r="AG6" s="31">
        <f>IF(AG$4&lt;=1,ret_m1^AG$4,IF(AG$4&lt;=3,ret_m1*(ret_m3/ret_m1)^((AG$4-1)/2),IF(AG$4&lt;=6,ret_m3*(ret_m6/ret_m3)^((AG$4-3)/3),IF(AG$4&lt;=12,ret_m6*(ret_m12/ret_m6)^((AG$4-6)/6),IF(AG$4&lt;=24,ret_m12*(ret_m24/ret_m12)^((AG$4-12)/12),ret_m24*(1-churn_late)^(AG$4-24))))))</f>
        <v/>
      </c>
      <c r="AH6" s="31">
        <f>IF(AH$4&lt;=1,ret_m1^AH$4,IF(AH$4&lt;=3,ret_m1*(ret_m3/ret_m1)^((AH$4-1)/2),IF(AH$4&lt;=6,ret_m3*(ret_m6/ret_m3)^((AH$4-3)/3),IF(AH$4&lt;=12,ret_m6*(ret_m12/ret_m6)^((AH$4-6)/6),IF(AH$4&lt;=24,ret_m12*(ret_m24/ret_m12)^((AH$4-12)/12),ret_m24*(1-churn_late)^(AH$4-24))))))</f>
        <v/>
      </c>
      <c r="AI6" s="31">
        <f>IF(AI$4&lt;=1,ret_m1^AI$4,IF(AI$4&lt;=3,ret_m1*(ret_m3/ret_m1)^((AI$4-1)/2),IF(AI$4&lt;=6,ret_m3*(ret_m6/ret_m3)^((AI$4-3)/3),IF(AI$4&lt;=12,ret_m6*(ret_m12/ret_m6)^((AI$4-6)/6),IF(AI$4&lt;=24,ret_m12*(ret_m24/ret_m12)^((AI$4-12)/12),ret_m24*(1-churn_late)^(AI$4-24))))))</f>
        <v/>
      </c>
      <c r="AJ6" s="31">
        <f>IF(AJ$4&lt;=1,ret_m1^AJ$4,IF(AJ$4&lt;=3,ret_m1*(ret_m3/ret_m1)^((AJ$4-1)/2),IF(AJ$4&lt;=6,ret_m3*(ret_m6/ret_m3)^((AJ$4-3)/3),IF(AJ$4&lt;=12,ret_m6*(ret_m12/ret_m6)^((AJ$4-6)/6),IF(AJ$4&lt;=24,ret_m12*(ret_m24/ret_m12)^((AJ$4-12)/12),ret_m24*(1-churn_late)^(AJ$4-24))))))</f>
        <v/>
      </c>
      <c r="AK6" s="31">
        <f>IF(AK$4&lt;=1,ret_m1^AK$4,IF(AK$4&lt;=3,ret_m1*(ret_m3/ret_m1)^((AK$4-1)/2),IF(AK$4&lt;=6,ret_m3*(ret_m6/ret_m3)^((AK$4-3)/3),IF(AK$4&lt;=12,ret_m6*(ret_m12/ret_m6)^((AK$4-6)/6),IF(AK$4&lt;=24,ret_m12*(ret_m24/ret_m12)^((AK$4-12)/12),ret_m24*(1-churn_late)^(AK$4-24))))))</f>
        <v/>
      </c>
      <c r="AL6" s="31">
        <f>IF(AL$4&lt;=1,ret_m1^AL$4,IF(AL$4&lt;=3,ret_m1*(ret_m3/ret_m1)^((AL$4-1)/2),IF(AL$4&lt;=6,ret_m3*(ret_m6/ret_m3)^((AL$4-3)/3),IF(AL$4&lt;=12,ret_m6*(ret_m12/ret_m6)^((AL$4-6)/6),IF(AL$4&lt;=24,ret_m12*(ret_m24/ret_m12)^((AL$4-12)/12),ret_m24*(1-churn_late)^(AL$4-24))))))</f>
        <v/>
      </c>
      <c r="AM6" s="31">
        <f>IF(AM$4&lt;=1,ret_m1^AM$4,IF(AM$4&lt;=3,ret_m1*(ret_m3/ret_m1)^((AM$4-1)/2),IF(AM$4&lt;=6,ret_m3*(ret_m6/ret_m3)^((AM$4-3)/3),IF(AM$4&lt;=12,ret_m6*(ret_m12/ret_m6)^((AM$4-6)/6),IF(AM$4&lt;=24,ret_m12*(ret_m24/ret_m12)^((AM$4-12)/12),ret_m24*(1-churn_late)^(AM$4-24))))))</f>
        <v/>
      </c>
      <c r="AN6" s="31">
        <f>IF(AN$4&lt;=1,ret_m1^AN$4,IF(AN$4&lt;=3,ret_m1*(ret_m3/ret_m1)^((AN$4-1)/2),IF(AN$4&lt;=6,ret_m3*(ret_m6/ret_m3)^((AN$4-3)/3),IF(AN$4&lt;=12,ret_m6*(ret_m12/ret_m6)^((AN$4-6)/6),IF(AN$4&lt;=24,ret_m12*(ret_m24/ret_m12)^((AN$4-12)/12),ret_m24*(1-churn_late)^(AN$4-24))))))</f>
        <v/>
      </c>
      <c r="AO6" s="31">
        <f>IF(AO$4&lt;=1,ret_m1^AO$4,IF(AO$4&lt;=3,ret_m1*(ret_m3/ret_m1)^((AO$4-1)/2),IF(AO$4&lt;=6,ret_m3*(ret_m6/ret_m3)^((AO$4-3)/3),IF(AO$4&lt;=12,ret_m6*(ret_m12/ret_m6)^((AO$4-6)/6),IF(AO$4&lt;=24,ret_m12*(ret_m24/ret_m12)^((AO$4-12)/12),ret_m24*(1-churn_late)^(AO$4-24))))))</f>
        <v/>
      </c>
      <c r="AP6" s="31">
        <f>IF(AP$4&lt;=1,ret_m1^AP$4,IF(AP$4&lt;=3,ret_m1*(ret_m3/ret_m1)^((AP$4-1)/2),IF(AP$4&lt;=6,ret_m3*(ret_m6/ret_m3)^((AP$4-3)/3),IF(AP$4&lt;=12,ret_m6*(ret_m12/ret_m6)^((AP$4-6)/6),IF(AP$4&lt;=24,ret_m12*(ret_m24/ret_m12)^((AP$4-12)/12),ret_m24*(1-churn_late)^(AP$4-24))))))</f>
        <v/>
      </c>
      <c r="AQ6" s="31">
        <f>IF(AQ$4&lt;=1,ret_m1^AQ$4,IF(AQ$4&lt;=3,ret_m1*(ret_m3/ret_m1)^((AQ$4-1)/2),IF(AQ$4&lt;=6,ret_m3*(ret_m6/ret_m3)^((AQ$4-3)/3),IF(AQ$4&lt;=12,ret_m6*(ret_m12/ret_m6)^((AQ$4-6)/6),IF(AQ$4&lt;=24,ret_m12*(ret_m24/ret_m12)^((AQ$4-12)/12),ret_m24*(1-churn_late)^(AQ$4-24))))))</f>
        <v/>
      </c>
      <c r="AR6" s="31">
        <f>IF(AR$4&lt;=1,ret_m1^AR$4,IF(AR$4&lt;=3,ret_m1*(ret_m3/ret_m1)^((AR$4-1)/2),IF(AR$4&lt;=6,ret_m3*(ret_m6/ret_m3)^((AR$4-3)/3),IF(AR$4&lt;=12,ret_m6*(ret_m12/ret_m6)^((AR$4-6)/6),IF(AR$4&lt;=24,ret_m12*(ret_m24/ret_m12)^((AR$4-12)/12),ret_m24*(1-churn_late)^(AR$4-24))))))</f>
        <v/>
      </c>
      <c r="AS6" s="31">
        <f>IF(AS$4&lt;=1,ret_m1^AS$4,IF(AS$4&lt;=3,ret_m1*(ret_m3/ret_m1)^((AS$4-1)/2),IF(AS$4&lt;=6,ret_m3*(ret_m6/ret_m3)^((AS$4-3)/3),IF(AS$4&lt;=12,ret_m6*(ret_m12/ret_m6)^((AS$4-6)/6),IF(AS$4&lt;=24,ret_m12*(ret_m24/ret_m12)^((AS$4-12)/12),ret_m24*(1-churn_late)^(AS$4-24))))))</f>
        <v/>
      </c>
      <c r="AT6" s="31">
        <f>IF(AT$4&lt;=1,ret_m1^AT$4,IF(AT$4&lt;=3,ret_m1*(ret_m3/ret_m1)^((AT$4-1)/2),IF(AT$4&lt;=6,ret_m3*(ret_m6/ret_m3)^((AT$4-3)/3),IF(AT$4&lt;=12,ret_m6*(ret_m12/ret_m6)^((AT$4-6)/6),IF(AT$4&lt;=24,ret_m12*(ret_m24/ret_m12)^((AT$4-12)/12),ret_m24*(1-churn_late)^(AT$4-24))))))</f>
        <v/>
      </c>
      <c r="AU6" s="31">
        <f>IF(AU$4&lt;=1,ret_m1^AU$4,IF(AU$4&lt;=3,ret_m1*(ret_m3/ret_m1)^((AU$4-1)/2),IF(AU$4&lt;=6,ret_m3*(ret_m6/ret_m3)^((AU$4-3)/3),IF(AU$4&lt;=12,ret_m6*(ret_m12/ret_m6)^((AU$4-6)/6),IF(AU$4&lt;=24,ret_m12*(ret_m24/ret_m12)^((AU$4-12)/12),ret_m24*(1-churn_late)^(AU$4-24))))))</f>
        <v/>
      </c>
      <c r="AV6" s="31">
        <f>IF(AV$4&lt;=1,ret_m1^AV$4,IF(AV$4&lt;=3,ret_m1*(ret_m3/ret_m1)^((AV$4-1)/2),IF(AV$4&lt;=6,ret_m3*(ret_m6/ret_m3)^((AV$4-3)/3),IF(AV$4&lt;=12,ret_m6*(ret_m12/ret_m6)^((AV$4-6)/6),IF(AV$4&lt;=24,ret_m12*(ret_m24/ret_m12)^((AV$4-12)/12),ret_m24*(1-churn_late)^(AV$4-24))))))</f>
        <v/>
      </c>
      <c r="AW6" s="31">
        <f>IF(AW$4&lt;=1,ret_m1^AW$4,IF(AW$4&lt;=3,ret_m1*(ret_m3/ret_m1)^((AW$4-1)/2),IF(AW$4&lt;=6,ret_m3*(ret_m6/ret_m3)^((AW$4-3)/3),IF(AW$4&lt;=12,ret_m6*(ret_m12/ret_m6)^((AW$4-6)/6),IF(AW$4&lt;=24,ret_m12*(ret_m24/ret_m12)^((AW$4-12)/12),ret_m24*(1-churn_late)^(AW$4-24))))))</f>
        <v/>
      </c>
      <c r="AX6" s="31">
        <f>IF(AX$4&lt;=1,ret_m1^AX$4,IF(AX$4&lt;=3,ret_m1*(ret_m3/ret_m1)^((AX$4-1)/2),IF(AX$4&lt;=6,ret_m3*(ret_m6/ret_m3)^((AX$4-3)/3),IF(AX$4&lt;=12,ret_m6*(ret_m12/ret_m6)^((AX$4-6)/6),IF(AX$4&lt;=24,ret_m12*(ret_m24/ret_m12)^((AX$4-12)/12),ret_m24*(1-churn_late)^(AX$4-24))))))</f>
        <v/>
      </c>
      <c r="AY6" s="31">
        <f>IF(AY$4&lt;=1,ret_m1^AY$4,IF(AY$4&lt;=3,ret_m1*(ret_m3/ret_m1)^((AY$4-1)/2),IF(AY$4&lt;=6,ret_m3*(ret_m6/ret_m3)^((AY$4-3)/3),IF(AY$4&lt;=12,ret_m6*(ret_m12/ret_m6)^((AY$4-6)/6),IF(AY$4&lt;=24,ret_m12*(ret_m24/ret_m12)^((AY$4-12)/12),ret_m24*(1-churn_late)^(AY$4-24))))))</f>
        <v/>
      </c>
      <c r="AZ6" s="31">
        <f>IF(AZ$4&lt;=1,ret_m1^AZ$4,IF(AZ$4&lt;=3,ret_m1*(ret_m3/ret_m1)^((AZ$4-1)/2),IF(AZ$4&lt;=6,ret_m3*(ret_m6/ret_m3)^((AZ$4-3)/3),IF(AZ$4&lt;=12,ret_m6*(ret_m12/ret_m6)^((AZ$4-6)/6),IF(AZ$4&lt;=24,ret_m12*(ret_m24/ret_m12)^((AZ$4-12)/12),ret_m24*(1-churn_late)^(AZ$4-24))))))</f>
        <v/>
      </c>
      <c r="BA6" s="31">
        <f>IF(BA$4&lt;=1,ret_m1^BA$4,IF(BA$4&lt;=3,ret_m1*(ret_m3/ret_m1)^((BA$4-1)/2),IF(BA$4&lt;=6,ret_m3*(ret_m6/ret_m3)^((BA$4-3)/3),IF(BA$4&lt;=12,ret_m6*(ret_m12/ret_m6)^((BA$4-6)/6),IF(BA$4&lt;=24,ret_m12*(ret_m24/ret_m12)^((BA$4-12)/12),ret_m24*(1-churn_late)^(BA$4-24))))))</f>
        <v/>
      </c>
      <c r="BB6" s="31">
        <f>IF(BB$4&lt;=1,ret_m1^BB$4,IF(BB$4&lt;=3,ret_m1*(ret_m3/ret_m1)^((BB$4-1)/2),IF(BB$4&lt;=6,ret_m3*(ret_m6/ret_m3)^((BB$4-3)/3),IF(BB$4&lt;=12,ret_m6*(ret_m12/ret_m6)^((BB$4-6)/6),IF(BB$4&lt;=24,ret_m12*(ret_m24/ret_m12)^((BB$4-12)/12),ret_m24*(1-churn_late)^(BB$4-24))))))</f>
        <v/>
      </c>
      <c r="BC6" s="31">
        <f>IF(BC$4&lt;=1,ret_m1^BC$4,IF(BC$4&lt;=3,ret_m1*(ret_m3/ret_m1)^((BC$4-1)/2),IF(BC$4&lt;=6,ret_m3*(ret_m6/ret_m3)^((BC$4-3)/3),IF(BC$4&lt;=12,ret_m6*(ret_m12/ret_m6)^((BC$4-6)/6),IF(BC$4&lt;=24,ret_m12*(ret_m24/ret_m12)^((BC$4-12)/12),ret_m24*(1-churn_late)^(BC$4-24))))))</f>
        <v/>
      </c>
      <c r="BD6" s="31">
        <f>IF(BD$4&lt;=1,ret_m1^BD$4,IF(BD$4&lt;=3,ret_m1*(ret_m3/ret_m1)^((BD$4-1)/2),IF(BD$4&lt;=6,ret_m3*(ret_m6/ret_m3)^((BD$4-3)/3),IF(BD$4&lt;=12,ret_m6*(ret_m12/ret_m6)^((BD$4-6)/6),IF(BD$4&lt;=24,ret_m12*(ret_m24/ret_m12)^((BD$4-12)/12),ret_m24*(1-churn_late)^(BD$4-24))))))</f>
        <v/>
      </c>
      <c r="BE6" s="31">
        <f>IF(BE$4&lt;=1,ret_m1^BE$4,IF(BE$4&lt;=3,ret_m1*(ret_m3/ret_m1)^((BE$4-1)/2),IF(BE$4&lt;=6,ret_m3*(ret_m6/ret_m3)^((BE$4-3)/3),IF(BE$4&lt;=12,ret_m6*(ret_m12/ret_m6)^((BE$4-6)/6),IF(BE$4&lt;=24,ret_m12*(ret_m24/ret_m12)^((BE$4-12)/12),ret_m24*(1-churn_late)^(BE$4-24))))))</f>
        <v/>
      </c>
      <c r="BF6" s="31">
        <f>IF(BF$4&lt;=1,ret_m1^BF$4,IF(BF$4&lt;=3,ret_m1*(ret_m3/ret_m1)^((BF$4-1)/2),IF(BF$4&lt;=6,ret_m3*(ret_m6/ret_m3)^((BF$4-3)/3),IF(BF$4&lt;=12,ret_m6*(ret_m12/ret_m6)^((BF$4-6)/6),IF(BF$4&lt;=24,ret_m12*(ret_m24/ret_m12)^((BF$4-12)/12),ret_m24*(1-churn_late)^(BF$4-24))))))</f>
        <v/>
      </c>
      <c r="BG6" s="31">
        <f>IF(BG$4&lt;=1,ret_m1^BG$4,IF(BG$4&lt;=3,ret_m1*(ret_m3/ret_m1)^((BG$4-1)/2),IF(BG$4&lt;=6,ret_m3*(ret_m6/ret_m3)^((BG$4-3)/3),IF(BG$4&lt;=12,ret_m6*(ret_m12/ret_m6)^((BG$4-6)/6),IF(BG$4&lt;=24,ret_m12*(ret_m24/ret_m12)^((BG$4-12)/12),ret_m24*(1-churn_late)^(BG$4-24))))))</f>
        <v/>
      </c>
      <c r="BH6" s="31">
        <f>IF(BH$4&lt;=1,ret_m1^BH$4,IF(BH$4&lt;=3,ret_m1*(ret_m3/ret_m1)^((BH$4-1)/2),IF(BH$4&lt;=6,ret_m3*(ret_m6/ret_m3)^((BH$4-3)/3),IF(BH$4&lt;=12,ret_m6*(ret_m12/ret_m6)^((BH$4-6)/6),IF(BH$4&lt;=24,ret_m12*(ret_m24/ret_m12)^((BH$4-12)/12),ret_m24*(1-churn_late)^(BH$4-24))))))</f>
        <v/>
      </c>
      <c r="BI6" s="31">
        <f>IF(BI$4&lt;=1,ret_m1^BI$4,IF(BI$4&lt;=3,ret_m1*(ret_m3/ret_m1)^((BI$4-1)/2),IF(BI$4&lt;=6,ret_m3*(ret_m6/ret_m3)^((BI$4-3)/3),IF(BI$4&lt;=12,ret_m6*(ret_m12/ret_m6)^((BI$4-6)/6),IF(BI$4&lt;=24,ret_m12*(ret_m24/ret_m12)^((BI$4-12)/12),ret_m24*(1-churn_late)^(BI$4-24))))))</f>
        <v/>
      </c>
      <c r="BJ6" s="31">
        <f>IF(BJ$4&lt;=1,ret_m1^BJ$4,IF(BJ$4&lt;=3,ret_m1*(ret_m3/ret_m1)^((BJ$4-1)/2),IF(BJ$4&lt;=6,ret_m3*(ret_m6/ret_m3)^((BJ$4-3)/3),IF(BJ$4&lt;=12,ret_m6*(ret_m12/ret_m6)^((BJ$4-6)/6),IF(BJ$4&lt;=24,ret_m12*(ret_m24/ret_m12)^((BJ$4-12)/12),ret_m24*(1-churn_late)^(BJ$4-24))))))</f>
        <v/>
      </c>
      <c r="BK6" s="31">
        <f>IF(BK$4&lt;=1,ret_m1^BK$4,IF(BK$4&lt;=3,ret_m1*(ret_m3/ret_m1)^((BK$4-1)/2),IF(BK$4&lt;=6,ret_m3*(ret_m6/ret_m3)^((BK$4-3)/3),IF(BK$4&lt;=12,ret_m6*(ret_m12/ret_m6)^((BK$4-6)/6),IF(BK$4&lt;=24,ret_m12*(ret_m24/ret_m12)^((BK$4-12)/12),ret_m24*(1-churn_late)^(BK$4-24))))))</f>
        <v/>
      </c>
    </row>
    <row r="7">
      <c r="A7" s="2" t="inlineStr">
        <is>
          <t>Active savers</t>
        </is>
      </c>
      <c r="B7" s="28" t="inlineStr">
        <is>
          <t>savers</t>
        </is>
      </c>
      <c r="D7" s="32">
        <f>seg_n_gig*D6</f>
        <v/>
      </c>
      <c r="E7" s="32">
        <f>seg_n_gig*E6</f>
        <v/>
      </c>
      <c r="F7" s="32">
        <f>seg_n_gig*F6</f>
        <v/>
      </c>
      <c r="G7" s="32">
        <f>seg_n_gig*G6</f>
        <v/>
      </c>
      <c r="H7" s="32">
        <f>seg_n_gig*H6</f>
        <v/>
      </c>
      <c r="I7" s="32">
        <f>seg_n_gig*I6</f>
        <v/>
      </c>
      <c r="J7" s="32">
        <f>seg_n_gig*J6</f>
        <v/>
      </c>
      <c r="K7" s="32">
        <f>seg_n_gig*K6</f>
        <v/>
      </c>
      <c r="L7" s="32">
        <f>seg_n_gig*L6</f>
        <v/>
      </c>
      <c r="M7" s="32">
        <f>seg_n_gig*M6</f>
        <v/>
      </c>
      <c r="N7" s="32">
        <f>seg_n_gig*N6</f>
        <v/>
      </c>
      <c r="O7" s="32">
        <f>seg_n_gig*O6</f>
        <v/>
      </c>
      <c r="P7" s="32">
        <f>seg_n_gig*P6</f>
        <v/>
      </c>
      <c r="Q7" s="32">
        <f>seg_n_gig*Q6</f>
        <v/>
      </c>
      <c r="R7" s="32">
        <f>seg_n_gig*R6</f>
        <v/>
      </c>
      <c r="S7" s="32">
        <f>seg_n_gig*S6</f>
        <v/>
      </c>
      <c r="T7" s="32">
        <f>seg_n_gig*T6</f>
        <v/>
      </c>
      <c r="U7" s="32">
        <f>seg_n_gig*U6</f>
        <v/>
      </c>
      <c r="V7" s="32">
        <f>seg_n_gig*V6</f>
        <v/>
      </c>
      <c r="W7" s="32">
        <f>seg_n_gig*W6</f>
        <v/>
      </c>
      <c r="X7" s="32">
        <f>seg_n_gig*X6</f>
        <v/>
      </c>
      <c r="Y7" s="32">
        <f>seg_n_gig*Y6</f>
        <v/>
      </c>
      <c r="Z7" s="32">
        <f>seg_n_gig*Z6</f>
        <v/>
      </c>
      <c r="AA7" s="32">
        <f>seg_n_gig*AA6</f>
        <v/>
      </c>
      <c r="AB7" s="32">
        <f>seg_n_gig*AB6</f>
        <v/>
      </c>
      <c r="AC7" s="32">
        <f>seg_n_gig*AC6</f>
        <v/>
      </c>
      <c r="AD7" s="32">
        <f>seg_n_gig*AD6</f>
        <v/>
      </c>
      <c r="AE7" s="32">
        <f>seg_n_gig*AE6</f>
        <v/>
      </c>
      <c r="AF7" s="32">
        <f>seg_n_gig*AF6</f>
        <v/>
      </c>
      <c r="AG7" s="32">
        <f>seg_n_gig*AG6</f>
        <v/>
      </c>
      <c r="AH7" s="32">
        <f>seg_n_gig*AH6</f>
        <v/>
      </c>
      <c r="AI7" s="32">
        <f>seg_n_gig*AI6</f>
        <v/>
      </c>
      <c r="AJ7" s="32">
        <f>seg_n_gig*AJ6</f>
        <v/>
      </c>
      <c r="AK7" s="32">
        <f>seg_n_gig*AK6</f>
        <v/>
      </c>
      <c r="AL7" s="32">
        <f>seg_n_gig*AL6</f>
        <v/>
      </c>
      <c r="AM7" s="32">
        <f>seg_n_gig*AM6</f>
        <v/>
      </c>
      <c r="AN7" s="32">
        <f>seg_n_gig*AN6</f>
        <v/>
      </c>
      <c r="AO7" s="32">
        <f>seg_n_gig*AO6</f>
        <v/>
      </c>
      <c r="AP7" s="32">
        <f>seg_n_gig*AP6</f>
        <v/>
      </c>
      <c r="AQ7" s="32">
        <f>seg_n_gig*AQ6</f>
        <v/>
      </c>
      <c r="AR7" s="32">
        <f>seg_n_gig*AR6</f>
        <v/>
      </c>
      <c r="AS7" s="32">
        <f>seg_n_gig*AS6</f>
        <v/>
      </c>
      <c r="AT7" s="32">
        <f>seg_n_gig*AT6</f>
        <v/>
      </c>
      <c r="AU7" s="32">
        <f>seg_n_gig*AU6</f>
        <v/>
      </c>
      <c r="AV7" s="32">
        <f>seg_n_gig*AV6</f>
        <v/>
      </c>
      <c r="AW7" s="32">
        <f>seg_n_gig*AW6</f>
        <v/>
      </c>
      <c r="AX7" s="32">
        <f>seg_n_gig*AX6</f>
        <v/>
      </c>
      <c r="AY7" s="32">
        <f>seg_n_gig*AY6</f>
        <v/>
      </c>
      <c r="AZ7" s="32">
        <f>seg_n_gig*AZ6</f>
        <v/>
      </c>
      <c r="BA7" s="32">
        <f>seg_n_gig*BA6</f>
        <v/>
      </c>
      <c r="BB7" s="32">
        <f>seg_n_gig*BB6</f>
        <v/>
      </c>
      <c r="BC7" s="32">
        <f>seg_n_gig*BC6</f>
        <v/>
      </c>
      <c r="BD7" s="32">
        <f>seg_n_gig*BD6</f>
        <v/>
      </c>
      <c r="BE7" s="32">
        <f>seg_n_gig*BE6</f>
        <v/>
      </c>
      <c r="BF7" s="32">
        <f>seg_n_gig*BF6</f>
        <v/>
      </c>
      <c r="BG7" s="32">
        <f>seg_n_gig*BG6</f>
        <v/>
      </c>
      <c r="BH7" s="32">
        <f>seg_n_gig*BH6</f>
        <v/>
      </c>
      <c r="BI7" s="32">
        <f>seg_n_gig*BI6</f>
        <v/>
      </c>
      <c r="BJ7" s="32">
        <f>seg_n_gig*BJ6</f>
        <v/>
      </c>
      <c r="BK7" s="32">
        <f>seg_n_gig*BK6</f>
        <v/>
      </c>
    </row>
    <row r="8">
      <c r="A8" s="25" t="inlineStr">
        <is>
          <t>Money saved per active saver</t>
        </is>
      </c>
      <c r="B8" s="28" t="inlineStr">
        <is>
          <t>₹ per month</t>
        </is>
      </c>
      <c r="D8" s="32">
        <f>daily_amount*(1+amount_growth)^INT((D$4-1)/12)*debits_success</f>
        <v/>
      </c>
      <c r="E8" s="32">
        <f>daily_amount*(1+amount_growth)^INT((E$4-1)/12)*debits_success</f>
        <v/>
      </c>
      <c r="F8" s="32">
        <f>daily_amount*(1+amount_growth)^INT((F$4-1)/12)*debits_success</f>
        <v/>
      </c>
      <c r="G8" s="32">
        <f>daily_amount*(1+amount_growth)^INT((G$4-1)/12)*debits_success</f>
        <v/>
      </c>
      <c r="H8" s="32">
        <f>daily_amount*(1+amount_growth)^INT((H$4-1)/12)*debits_success</f>
        <v/>
      </c>
      <c r="I8" s="32">
        <f>daily_amount*(1+amount_growth)^INT((I$4-1)/12)*debits_success</f>
        <v/>
      </c>
      <c r="J8" s="32">
        <f>daily_amount*(1+amount_growth)^INT((J$4-1)/12)*debits_success</f>
        <v/>
      </c>
      <c r="K8" s="32">
        <f>daily_amount*(1+amount_growth)^INT((K$4-1)/12)*debits_success</f>
        <v/>
      </c>
      <c r="L8" s="32">
        <f>daily_amount*(1+amount_growth)^INT((L$4-1)/12)*debits_success</f>
        <v/>
      </c>
      <c r="M8" s="32">
        <f>daily_amount*(1+amount_growth)^INT((M$4-1)/12)*debits_success</f>
        <v/>
      </c>
      <c r="N8" s="32">
        <f>daily_amount*(1+amount_growth)^INT((N$4-1)/12)*debits_success</f>
        <v/>
      </c>
      <c r="O8" s="32">
        <f>daily_amount*(1+amount_growth)^INT((O$4-1)/12)*debits_success</f>
        <v/>
      </c>
      <c r="P8" s="32">
        <f>daily_amount*(1+amount_growth)^INT((P$4-1)/12)*debits_success</f>
        <v/>
      </c>
      <c r="Q8" s="32">
        <f>daily_amount*(1+amount_growth)^INT((Q$4-1)/12)*debits_success</f>
        <v/>
      </c>
      <c r="R8" s="32">
        <f>daily_amount*(1+amount_growth)^INT((R$4-1)/12)*debits_success</f>
        <v/>
      </c>
      <c r="S8" s="32">
        <f>daily_amount*(1+amount_growth)^INT((S$4-1)/12)*debits_success</f>
        <v/>
      </c>
      <c r="T8" s="32">
        <f>daily_amount*(1+amount_growth)^INT((T$4-1)/12)*debits_success</f>
        <v/>
      </c>
      <c r="U8" s="32">
        <f>daily_amount*(1+amount_growth)^INT((U$4-1)/12)*debits_success</f>
        <v/>
      </c>
      <c r="V8" s="32">
        <f>daily_amount*(1+amount_growth)^INT((V$4-1)/12)*debits_success</f>
        <v/>
      </c>
      <c r="W8" s="32">
        <f>daily_amount*(1+amount_growth)^INT((W$4-1)/12)*debits_success</f>
        <v/>
      </c>
      <c r="X8" s="32">
        <f>daily_amount*(1+amount_growth)^INT((X$4-1)/12)*debits_success</f>
        <v/>
      </c>
      <c r="Y8" s="32">
        <f>daily_amount*(1+amount_growth)^INT((Y$4-1)/12)*debits_success</f>
        <v/>
      </c>
      <c r="Z8" s="32">
        <f>daily_amount*(1+amount_growth)^INT((Z$4-1)/12)*debits_success</f>
        <v/>
      </c>
      <c r="AA8" s="32">
        <f>daily_amount*(1+amount_growth)^INT((AA$4-1)/12)*debits_success</f>
        <v/>
      </c>
      <c r="AB8" s="32">
        <f>daily_amount*(1+amount_growth)^INT((AB$4-1)/12)*debits_success</f>
        <v/>
      </c>
      <c r="AC8" s="32">
        <f>daily_amount*(1+amount_growth)^INT((AC$4-1)/12)*debits_success</f>
        <v/>
      </c>
      <c r="AD8" s="32">
        <f>daily_amount*(1+amount_growth)^INT((AD$4-1)/12)*debits_success</f>
        <v/>
      </c>
      <c r="AE8" s="32">
        <f>daily_amount*(1+amount_growth)^INT((AE$4-1)/12)*debits_success</f>
        <v/>
      </c>
      <c r="AF8" s="32">
        <f>daily_amount*(1+amount_growth)^INT((AF$4-1)/12)*debits_success</f>
        <v/>
      </c>
      <c r="AG8" s="32">
        <f>daily_amount*(1+amount_growth)^INT((AG$4-1)/12)*debits_success</f>
        <v/>
      </c>
      <c r="AH8" s="32">
        <f>daily_amount*(1+amount_growth)^INT((AH$4-1)/12)*debits_success</f>
        <v/>
      </c>
      <c r="AI8" s="32">
        <f>daily_amount*(1+amount_growth)^INT((AI$4-1)/12)*debits_success</f>
        <v/>
      </c>
      <c r="AJ8" s="32">
        <f>daily_amount*(1+amount_growth)^INT((AJ$4-1)/12)*debits_success</f>
        <v/>
      </c>
      <c r="AK8" s="32">
        <f>daily_amount*(1+amount_growth)^INT((AK$4-1)/12)*debits_success</f>
        <v/>
      </c>
      <c r="AL8" s="32">
        <f>daily_amount*(1+amount_growth)^INT((AL$4-1)/12)*debits_success</f>
        <v/>
      </c>
      <c r="AM8" s="32">
        <f>daily_amount*(1+amount_growth)^INT((AM$4-1)/12)*debits_success</f>
        <v/>
      </c>
      <c r="AN8" s="32">
        <f>daily_amount*(1+amount_growth)^INT((AN$4-1)/12)*debits_success</f>
        <v/>
      </c>
      <c r="AO8" s="32">
        <f>daily_amount*(1+amount_growth)^INT((AO$4-1)/12)*debits_success</f>
        <v/>
      </c>
      <c r="AP8" s="32">
        <f>daily_amount*(1+amount_growth)^INT((AP$4-1)/12)*debits_success</f>
        <v/>
      </c>
      <c r="AQ8" s="32">
        <f>daily_amount*(1+amount_growth)^INT((AQ$4-1)/12)*debits_success</f>
        <v/>
      </c>
      <c r="AR8" s="32">
        <f>daily_amount*(1+amount_growth)^INT((AR$4-1)/12)*debits_success</f>
        <v/>
      </c>
      <c r="AS8" s="32">
        <f>daily_amount*(1+amount_growth)^INT((AS$4-1)/12)*debits_success</f>
        <v/>
      </c>
      <c r="AT8" s="32">
        <f>daily_amount*(1+amount_growth)^INT((AT$4-1)/12)*debits_success</f>
        <v/>
      </c>
      <c r="AU8" s="32">
        <f>daily_amount*(1+amount_growth)^INT((AU$4-1)/12)*debits_success</f>
        <v/>
      </c>
      <c r="AV8" s="32">
        <f>daily_amount*(1+amount_growth)^INT((AV$4-1)/12)*debits_success</f>
        <v/>
      </c>
      <c r="AW8" s="32">
        <f>daily_amount*(1+amount_growth)^INT((AW$4-1)/12)*debits_success</f>
        <v/>
      </c>
      <c r="AX8" s="32">
        <f>daily_amount*(1+amount_growth)^INT((AX$4-1)/12)*debits_success</f>
        <v/>
      </c>
      <c r="AY8" s="32">
        <f>daily_amount*(1+amount_growth)^INT((AY$4-1)/12)*debits_success</f>
        <v/>
      </c>
      <c r="AZ8" s="32">
        <f>daily_amount*(1+amount_growth)^INT((AZ$4-1)/12)*debits_success</f>
        <v/>
      </c>
      <c r="BA8" s="32">
        <f>daily_amount*(1+amount_growth)^INT((BA$4-1)/12)*debits_success</f>
        <v/>
      </c>
      <c r="BB8" s="32">
        <f>daily_amount*(1+amount_growth)^INT((BB$4-1)/12)*debits_success</f>
        <v/>
      </c>
      <c r="BC8" s="32">
        <f>daily_amount*(1+amount_growth)^INT((BC$4-1)/12)*debits_success</f>
        <v/>
      </c>
      <c r="BD8" s="32">
        <f>daily_amount*(1+amount_growth)^INT((BD$4-1)/12)*debits_success</f>
        <v/>
      </c>
      <c r="BE8" s="32">
        <f>daily_amount*(1+amount_growth)^INT((BE$4-1)/12)*debits_success</f>
        <v/>
      </c>
      <c r="BF8" s="32">
        <f>daily_amount*(1+amount_growth)^INT((BF$4-1)/12)*debits_success</f>
        <v/>
      </c>
      <c r="BG8" s="32">
        <f>daily_amount*(1+amount_growth)^INT((BG$4-1)/12)*debits_success</f>
        <v/>
      </c>
      <c r="BH8" s="32">
        <f>daily_amount*(1+amount_growth)^INT((BH$4-1)/12)*debits_success</f>
        <v/>
      </c>
      <c r="BI8" s="32">
        <f>daily_amount*(1+amount_growth)^INT((BI$4-1)/12)*debits_success</f>
        <v/>
      </c>
      <c r="BJ8" s="32">
        <f>daily_amount*(1+amount_growth)^INT((BJ$4-1)/12)*debits_success</f>
        <v/>
      </c>
      <c r="BK8" s="32">
        <f>daily_amount*(1+amount_growth)^INT((BK$4-1)/12)*debits_success</f>
        <v/>
      </c>
    </row>
    <row r="9">
      <c r="A9" s="25" t="inlineStr">
        <is>
          <t>Money saved (contributions)</t>
        </is>
      </c>
      <c r="B9" s="28" t="inlineStr">
        <is>
          <t>₹</t>
        </is>
      </c>
      <c r="D9" s="32">
        <f>D7*D8</f>
        <v/>
      </c>
      <c r="E9" s="32">
        <f>E7*E8</f>
        <v/>
      </c>
      <c r="F9" s="32">
        <f>F7*F8</f>
        <v/>
      </c>
      <c r="G9" s="32">
        <f>G7*G8</f>
        <v/>
      </c>
      <c r="H9" s="32">
        <f>H7*H8</f>
        <v/>
      </c>
      <c r="I9" s="32">
        <f>I7*I8</f>
        <v/>
      </c>
      <c r="J9" s="32">
        <f>J7*J8</f>
        <v/>
      </c>
      <c r="K9" s="32">
        <f>K7*K8</f>
        <v/>
      </c>
      <c r="L9" s="32">
        <f>L7*L8</f>
        <v/>
      </c>
      <c r="M9" s="32">
        <f>M7*M8</f>
        <v/>
      </c>
      <c r="N9" s="32">
        <f>N7*N8</f>
        <v/>
      </c>
      <c r="O9" s="32">
        <f>O7*O8</f>
        <v/>
      </c>
      <c r="P9" s="32">
        <f>P7*P8</f>
        <v/>
      </c>
      <c r="Q9" s="32">
        <f>Q7*Q8</f>
        <v/>
      </c>
      <c r="R9" s="32">
        <f>R7*R8</f>
        <v/>
      </c>
      <c r="S9" s="32">
        <f>S7*S8</f>
        <v/>
      </c>
      <c r="T9" s="32">
        <f>T7*T8</f>
        <v/>
      </c>
      <c r="U9" s="32">
        <f>U7*U8</f>
        <v/>
      </c>
      <c r="V9" s="32">
        <f>V7*V8</f>
        <v/>
      </c>
      <c r="W9" s="32">
        <f>W7*W8</f>
        <v/>
      </c>
      <c r="X9" s="32">
        <f>X7*X8</f>
        <v/>
      </c>
      <c r="Y9" s="32">
        <f>Y7*Y8</f>
        <v/>
      </c>
      <c r="Z9" s="32">
        <f>Z7*Z8</f>
        <v/>
      </c>
      <c r="AA9" s="32">
        <f>AA7*AA8</f>
        <v/>
      </c>
      <c r="AB9" s="32">
        <f>AB7*AB8</f>
        <v/>
      </c>
      <c r="AC9" s="32">
        <f>AC7*AC8</f>
        <v/>
      </c>
      <c r="AD9" s="32">
        <f>AD7*AD8</f>
        <v/>
      </c>
      <c r="AE9" s="32">
        <f>AE7*AE8</f>
        <v/>
      </c>
      <c r="AF9" s="32">
        <f>AF7*AF8</f>
        <v/>
      </c>
      <c r="AG9" s="32">
        <f>AG7*AG8</f>
        <v/>
      </c>
      <c r="AH9" s="32">
        <f>AH7*AH8</f>
        <v/>
      </c>
      <c r="AI9" s="32">
        <f>AI7*AI8</f>
        <v/>
      </c>
      <c r="AJ9" s="32">
        <f>AJ7*AJ8</f>
        <v/>
      </c>
      <c r="AK9" s="32">
        <f>AK7*AK8</f>
        <v/>
      </c>
      <c r="AL9" s="32">
        <f>AL7*AL8</f>
        <v/>
      </c>
      <c r="AM9" s="32">
        <f>AM7*AM8</f>
        <v/>
      </c>
      <c r="AN9" s="32">
        <f>AN7*AN8</f>
        <v/>
      </c>
      <c r="AO9" s="32">
        <f>AO7*AO8</f>
        <v/>
      </c>
      <c r="AP9" s="32">
        <f>AP7*AP8</f>
        <v/>
      </c>
      <c r="AQ9" s="32">
        <f>AQ7*AQ8</f>
        <v/>
      </c>
      <c r="AR9" s="32">
        <f>AR7*AR8</f>
        <v/>
      </c>
      <c r="AS9" s="32">
        <f>AS7*AS8</f>
        <v/>
      </c>
      <c r="AT9" s="32">
        <f>AT7*AT8</f>
        <v/>
      </c>
      <c r="AU9" s="32">
        <f>AU7*AU8</f>
        <v/>
      </c>
      <c r="AV9" s="32">
        <f>AV7*AV8</f>
        <v/>
      </c>
      <c r="AW9" s="32">
        <f>AW7*AW8</f>
        <v/>
      </c>
      <c r="AX9" s="32">
        <f>AX7*AX8</f>
        <v/>
      </c>
      <c r="AY9" s="32">
        <f>AY7*AY8</f>
        <v/>
      </c>
      <c r="AZ9" s="32">
        <f>AZ7*AZ8</f>
        <v/>
      </c>
      <c r="BA9" s="32">
        <f>BA7*BA8</f>
        <v/>
      </c>
      <c r="BB9" s="32">
        <f>BB7*BB8</f>
        <v/>
      </c>
      <c r="BC9" s="32">
        <f>BC7*BC8</f>
        <v/>
      </c>
      <c r="BD9" s="32">
        <f>BD7*BD8</f>
        <v/>
      </c>
      <c r="BE9" s="32">
        <f>BE7*BE8</f>
        <v/>
      </c>
      <c r="BF9" s="32">
        <f>BF7*BF8</f>
        <v/>
      </c>
      <c r="BG9" s="32">
        <f>BG7*BG8</f>
        <v/>
      </c>
      <c r="BH9" s="32">
        <f>BH7*BH8</f>
        <v/>
      </c>
      <c r="BI9" s="32">
        <f>BI7*BI8</f>
        <v/>
      </c>
      <c r="BJ9" s="32">
        <f>BJ7*BJ8</f>
        <v/>
      </c>
      <c r="BK9" s="32">
        <f>BK7*BK8</f>
        <v/>
      </c>
    </row>
    <row r="10">
      <c r="A10" s="6" t="inlineStr">
        <is>
          <t>Balances (money sits with the fund house or bank, never with us)</t>
        </is>
      </c>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7" t="n"/>
    </row>
    <row r="11">
      <c r="A11" s="25" t="inlineStr">
        <is>
          <t>Share of last month's savers still saving</t>
        </is>
      </c>
      <c r="B11" s="28" t="inlineStr">
        <is>
          <t>share</t>
        </is>
      </c>
      <c r="D11" s="31">
        <f>D6/C6</f>
        <v/>
      </c>
      <c r="E11" s="31">
        <f>E6/D6</f>
        <v/>
      </c>
      <c r="F11" s="31">
        <f>F6/E6</f>
        <v/>
      </c>
      <c r="G11" s="31">
        <f>G6/F6</f>
        <v/>
      </c>
      <c r="H11" s="31">
        <f>H6/G6</f>
        <v/>
      </c>
      <c r="I11" s="31">
        <f>I6/H6</f>
        <v/>
      </c>
      <c r="J11" s="31">
        <f>J6/I6</f>
        <v/>
      </c>
      <c r="K11" s="31">
        <f>K6/J6</f>
        <v/>
      </c>
      <c r="L11" s="31">
        <f>L6/K6</f>
        <v/>
      </c>
      <c r="M11" s="31">
        <f>M6/L6</f>
        <v/>
      </c>
      <c r="N11" s="31">
        <f>N6/M6</f>
        <v/>
      </c>
      <c r="O11" s="31">
        <f>O6/N6</f>
        <v/>
      </c>
      <c r="P11" s="31">
        <f>P6/O6</f>
        <v/>
      </c>
      <c r="Q11" s="31">
        <f>Q6/P6</f>
        <v/>
      </c>
      <c r="R11" s="31">
        <f>R6/Q6</f>
        <v/>
      </c>
      <c r="S11" s="31">
        <f>S6/R6</f>
        <v/>
      </c>
      <c r="T11" s="31">
        <f>T6/S6</f>
        <v/>
      </c>
      <c r="U11" s="31">
        <f>U6/T6</f>
        <v/>
      </c>
      <c r="V11" s="31">
        <f>V6/U6</f>
        <v/>
      </c>
      <c r="W11" s="31">
        <f>W6/V6</f>
        <v/>
      </c>
      <c r="X11" s="31">
        <f>X6/W6</f>
        <v/>
      </c>
      <c r="Y11" s="31">
        <f>Y6/X6</f>
        <v/>
      </c>
      <c r="Z11" s="31">
        <f>Z6/Y6</f>
        <v/>
      </c>
      <c r="AA11" s="31">
        <f>AA6/Z6</f>
        <v/>
      </c>
      <c r="AB11" s="31">
        <f>AB6/AA6</f>
        <v/>
      </c>
      <c r="AC11" s="31">
        <f>AC6/AB6</f>
        <v/>
      </c>
      <c r="AD11" s="31">
        <f>AD6/AC6</f>
        <v/>
      </c>
      <c r="AE11" s="31">
        <f>AE6/AD6</f>
        <v/>
      </c>
      <c r="AF11" s="31">
        <f>AF6/AE6</f>
        <v/>
      </c>
      <c r="AG11" s="31">
        <f>AG6/AF6</f>
        <v/>
      </c>
      <c r="AH11" s="31">
        <f>AH6/AG6</f>
        <v/>
      </c>
      <c r="AI11" s="31">
        <f>AI6/AH6</f>
        <v/>
      </c>
      <c r="AJ11" s="31">
        <f>AJ6/AI6</f>
        <v/>
      </c>
      <c r="AK11" s="31">
        <f>AK6/AJ6</f>
        <v/>
      </c>
      <c r="AL11" s="31">
        <f>AL6/AK6</f>
        <v/>
      </c>
      <c r="AM11" s="31">
        <f>AM6/AL6</f>
        <v/>
      </c>
      <c r="AN11" s="31">
        <f>AN6/AM6</f>
        <v/>
      </c>
      <c r="AO11" s="31">
        <f>AO6/AN6</f>
        <v/>
      </c>
      <c r="AP11" s="31">
        <f>AP6/AO6</f>
        <v/>
      </c>
      <c r="AQ11" s="31">
        <f>AQ6/AP6</f>
        <v/>
      </c>
      <c r="AR11" s="31">
        <f>AR6/AQ6</f>
        <v/>
      </c>
      <c r="AS11" s="31">
        <f>AS6/AR6</f>
        <v/>
      </c>
      <c r="AT11" s="31">
        <f>AT6/AS6</f>
        <v/>
      </c>
      <c r="AU11" s="31">
        <f>AU6/AT6</f>
        <v/>
      </c>
      <c r="AV11" s="31">
        <f>AV6/AU6</f>
        <v/>
      </c>
      <c r="AW11" s="31">
        <f>AW6/AV6</f>
        <v/>
      </c>
      <c r="AX11" s="31">
        <f>AX6/AW6</f>
        <v/>
      </c>
      <c r="AY11" s="31">
        <f>AY6/AX6</f>
        <v/>
      </c>
      <c r="AZ11" s="31">
        <f>AZ6/AY6</f>
        <v/>
      </c>
      <c r="BA11" s="31">
        <f>BA6/AZ6</f>
        <v/>
      </c>
      <c r="BB11" s="31">
        <f>BB6/BA6</f>
        <v/>
      </c>
      <c r="BC11" s="31">
        <f>BC6/BB6</f>
        <v/>
      </c>
      <c r="BD11" s="31">
        <f>BD6/BC6</f>
        <v/>
      </c>
      <c r="BE11" s="31">
        <f>BE6/BD6</f>
        <v/>
      </c>
      <c r="BF11" s="31">
        <f>BF6/BE6</f>
        <v/>
      </c>
      <c r="BG11" s="31">
        <f>BG6/BF6</f>
        <v/>
      </c>
      <c r="BH11" s="31">
        <f>BH6/BG6</f>
        <v/>
      </c>
      <c r="BI11" s="31">
        <f>BI6/BH6</f>
        <v/>
      </c>
      <c r="BJ11" s="31">
        <f>BJ6/BI6</f>
        <v/>
      </c>
      <c r="BK11" s="31">
        <f>BK6/BJ6</f>
        <v/>
      </c>
    </row>
    <row r="12">
      <c r="A12" s="25" t="inlineStr">
        <is>
          <t>Last month's active balance after returns</t>
        </is>
      </c>
      <c r="B12" s="28" t="inlineStr">
        <is>
          <t>₹</t>
        </is>
      </c>
      <c r="D12" s="32">
        <f>C15*(1+fund_yield/12)</f>
        <v/>
      </c>
      <c r="E12" s="32">
        <f>D15*(1+fund_yield/12)</f>
        <v/>
      </c>
      <c r="F12" s="32">
        <f>E15*(1+fund_yield/12)</f>
        <v/>
      </c>
      <c r="G12" s="32">
        <f>F15*(1+fund_yield/12)</f>
        <v/>
      </c>
      <c r="H12" s="32">
        <f>G15*(1+fund_yield/12)</f>
        <v/>
      </c>
      <c r="I12" s="32">
        <f>H15*(1+fund_yield/12)</f>
        <v/>
      </c>
      <c r="J12" s="32">
        <f>I15*(1+fund_yield/12)</f>
        <v/>
      </c>
      <c r="K12" s="32">
        <f>J15*(1+fund_yield/12)</f>
        <v/>
      </c>
      <c r="L12" s="32">
        <f>K15*(1+fund_yield/12)</f>
        <v/>
      </c>
      <c r="M12" s="32">
        <f>L15*(1+fund_yield/12)</f>
        <v/>
      </c>
      <c r="N12" s="32">
        <f>M15*(1+fund_yield/12)</f>
        <v/>
      </c>
      <c r="O12" s="32">
        <f>N15*(1+fund_yield/12)</f>
        <v/>
      </c>
      <c r="P12" s="32">
        <f>O15*(1+fund_yield/12)</f>
        <v/>
      </c>
      <c r="Q12" s="32">
        <f>P15*(1+fund_yield/12)</f>
        <v/>
      </c>
      <c r="R12" s="32">
        <f>Q15*(1+fund_yield/12)</f>
        <v/>
      </c>
      <c r="S12" s="32">
        <f>R15*(1+fund_yield/12)</f>
        <v/>
      </c>
      <c r="T12" s="32">
        <f>S15*(1+fund_yield/12)</f>
        <v/>
      </c>
      <c r="U12" s="32">
        <f>T15*(1+fund_yield/12)</f>
        <v/>
      </c>
      <c r="V12" s="32">
        <f>U15*(1+fund_yield/12)</f>
        <v/>
      </c>
      <c r="W12" s="32">
        <f>V15*(1+fund_yield/12)</f>
        <v/>
      </c>
      <c r="X12" s="32">
        <f>W15*(1+fund_yield/12)</f>
        <v/>
      </c>
      <c r="Y12" s="32">
        <f>X15*(1+fund_yield/12)</f>
        <v/>
      </c>
      <c r="Z12" s="32">
        <f>Y15*(1+fund_yield/12)</f>
        <v/>
      </c>
      <c r="AA12" s="32">
        <f>Z15*(1+fund_yield/12)</f>
        <v/>
      </c>
      <c r="AB12" s="32">
        <f>AA15*(1+fund_yield/12)</f>
        <v/>
      </c>
      <c r="AC12" s="32">
        <f>AB15*(1+fund_yield/12)</f>
        <v/>
      </c>
      <c r="AD12" s="32">
        <f>AC15*(1+fund_yield/12)</f>
        <v/>
      </c>
      <c r="AE12" s="32">
        <f>AD15*(1+fund_yield/12)</f>
        <v/>
      </c>
      <c r="AF12" s="32">
        <f>AE15*(1+fund_yield/12)</f>
        <v/>
      </c>
      <c r="AG12" s="32">
        <f>AF15*(1+fund_yield/12)</f>
        <v/>
      </c>
      <c r="AH12" s="32">
        <f>AG15*(1+fund_yield/12)</f>
        <v/>
      </c>
      <c r="AI12" s="32">
        <f>AH15*(1+fund_yield/12)</f>
        <v/>
      </c>
      <c r="AJ12" s="32">
        <f>AI15*(1+fund_yield/12)</f>
        <v/>
      </c>
      <c r="AK12" s="32">
        <f>AJ15*(1+fund_yield/12)</f>
        <v/>
      </c>
      <c r="AL12" s="32">
        <f>AK15*(1+fund_yield/12)</f>
        <v/>
      </c>
      <c r="AM12" s="32">
        <f>AL15*(1+fund_yield/12)</f>
        <v/>
      </c>
      <c r="AN12" s="32">
        <f>AM15*(1+fund_yield/12)</f>
        <v/>
      </c>
      <c r="AO12" s="32">
        <f>AN15*(1+fund_yield/12)</f>
        <v/>
      </c>
      <c r="AP12" s="32">
        <f>AO15*(1+fund_yield/12)</f>
        <v/>
      </c>
      <c r="AQ12" s="32">
        <f>AP15*(1+fund_yield/12)</f>
        <v/>
      </c>
      <c r="AR12" s="32">
        <f>AQ15*(1+fund_yield/12)</f>
        <v/>
      </c>
      <c r="AS12" s="32">
        <f>AR15*(1+fund_yield/12)</f>
        <v/>
      </c>
      <c r="AT12" s="32">
        <f>AS15*(1+fund_yield/12)</f>
        <v/>
      </c>
      <c r="AU12" s="32">
        <f>AT15*(1+fund_yield/12)</f>
        <v/>
      </c>
      <c r="AV12" s="32">
        <f>AU15*(1+fund_yield/12)</f>
        <v/>
      </c>
      <c r="AW12" s="32">
        <f>AV15*(1+fund_yield/12)</f>
        <v/>
      </c>
      <c r="AX12" s="32">
        <f>AW15*(1+fund_yield/12)</f>
        <v/>
      </c>
      <c r="AY12" s="32">
        <f>AX15*(1+fund_yield/12)</f>
        <v/>
      </c>
      <c r="AZ12" s="32">
        <f>AY15*(1+fund_yield/12)</f>
        <v/>
      </c>
      <c r="BA12" s="32">
        <f>AZ15*(1+fund_yield/12)</f>
        <v/>
      </c>
      <c r="BB12" s="32">
        <f>BA15*(1+fund_yield/12)</f>
        <v/>
      </c>
      <c r="BC12" s="32">
        <f>BB15*(1+fund_yield/12)</f>
        <v/>
      </c>
      <c r="BD12" s="32">
        <f>BC15*(1+fund_yield/12)</f>
        <v/>
      </c>
      <c r="BE12" s="32">
        <f>BD15*(1+fund_yield/12)</f>
        <v/>
      </c>
      <c r="BF12" s="32">
        <f>BE15*(1+fund_yield/12)</f>
        <v/>
      </c>
      <c r="BG12" s="32">
        <f>BF15*(1+fund_yield/12)</f>
        <v/>
      </c>
      <c r="BH12" s="32">
        <f>BG15*(1+fund_yield/12)</f>
        <v/>
      </c>
      <c r="BI12" s="32">
        <f>BH15*(1+fund_yield/12)</f>
        <v/>
      </c>
      <c r="BJ12" s="32">
        <f>BI15*(1+fund_yield/12)</f>
        <v/>
      </c>
      <c r="BK12" s="32">
        <f>BJ15*(1+fund_yield/12)</f>
        <v/>
      </c>
    </row>
    <row r="13">
      <c r="A13" s="25" t="inlineStr">
        <is>
          <t>…belonging to savers who stay</t>
        </is>
      </c>
      <c r="B13" s="28" t="inlineStr">
        <is>
          <t>₹</t>
        </is>
      </c>
      <c r="D13" s="32">
        <f>D12*D11</f>
        <v/>
      </c>
      <c r="E13" s="32">
        <f>E12*E11</f>
        <v/>
      </c>
      <c r="F13" s="32">
        <f>F12*F11</f>
        <v/>
      </c>
      <c r="G13" s="32">
        <f>G12*G11</f>
        <v/>
      </c>
      <c r="H13" s="32">
        <f>H12*H11</f>
        <v/>
      </c>
      <c r="I13" s="32">
        <f>I12*I11</f>
        <v/>
      </c>
      <c r="J13" s="32">
        <f>J12*J11</f>
        <v/>
      </c>
      <c r="K13" s="32">
        <f>K12*K11</f>
        <v/>
      </c>
      <c r="L13" s="32">
        <f>L12*L11</f>
        <v/>
      </c>
      <c r="M13" s="32">
        <f>M12*M11</f>
        <v/>
      </c>
      <c r="N13" s="32">
        <f>N12*N11</f>
        <v/>
      </c>
      <c r="O13" s="32">
        <f>O12*O11</f>
        <v/>
      </c>
      <c r="P13" s="32">
        <f>P12*P11</f>
        <v/>
      </c>
      <c r="Q13" s="32">
        <f>Q12*Q11</f>
        <v/>
      </c>
      <c r="R13" s="32">
        <f>R12*R11</f>
        <v/>
      </c>
      <c r="S13" s="32">
        <f>S12*S11</f>
        <v/>
      </c>
      <c r="T13" s="32">
        <f>T12*T11</f>
        <v/>
      </c>
      <c r="U13" s="32">
        <f>U12*U11</f>
        <v/>
      </c>
      <c r="V13" s="32">
        <f>V12*V11</f>
        <v/>
      </c>
      <c r="W13" s="32">
        <f>W12*W11</f>
        <v/>
      </c>
      <c r="X13" s="32">
        <f>X12*X11</f>
        <v/>
      </c>
      <c r="Y13" s="32">
        <f>Y12*Y11</f>
        <v/>
      </c>
      <c r="Z13" s="32">
        <f>Z12*Z11</f>
        <v/>
      </c>
      <c r="AA13" s="32">
        <f>AA12*AA11</f>
        <v/>
      </c>
      <c r="AB13" s="32">
        <f>AB12*AB11</f>
        <v/>
      </c>
      <c r="AC13" s="32">
        <f>AC12*AC11</f>
        <v/>
      </c>
      <c r="AD13" s="32">
        <f>AD12*AD11</f>
        <v/>
      </c>
      <c r="AE13" s="32">
        <f>AE12*AE11</f>
        <v/>
      </c>
      <c r="AF13" s="32">
        <f>AF12*AF11</f>
        <v/>
      </c>
      <c r="AG13" s="32">
        <f>AG12*AG11</f>
        <v/>
      </c>
      <c r="AH13" s="32">
        <f>AH12*AH11</f>
        <v/>
      </c>
      <c r="AI13" s="32">
        <f>AI12*AI11</f>
        <v/>
      </c>
      <c r="AJ13" s="32">
        <f>AJ12*AJ11</f>
        <v/>
      </c>
      <c r="AK13" s="32">
        <f>AK12*AK11</f>
        <v/>
      </c>
      <c r="AL13" s="32">
        <f>AL12*AL11</f>
        <v/>
      </c>
      <c r="AM13" s="32">
        <f>AM12*AM11</f>
        <v/>
      </c>
      <c r="AN13" s="32">
        <f>AN12*AN11</f>
        <v/>
      </c>
      <c r="AO13" s="32">
        <f>AO12*AO11</f>
        <v/>
      </c>
      <c r="AP13" s="32">
        <f>AP12*AP11</f>
        <v/>
      </c>
      <c r="AQ13" s="32">
        <f>AQ12*AQ11</f>
        <v/>
      </c>
      <c r="AR13" s="32">
        <f>AR12*AR11</f>
        <v/>
      </c>
      <c r="AS13" s="32">
        <f>AS12*AS11</f>
        <v/>
      </c>
      <c r="AT13" s="32">
        <f>AT12*AT11</f>
        <v/>
      </c>
      <c r="AU13" s="32">
        <f>AU12*AU11</f>
        <v/>
      </c>
      <c r="AV13" s="32">
        <f>AV12*AV11</f>
        <v/>
      </c>
      <c r="AW13" s="32">
        <f>AW12*AW11</f>
        <v/>
      </c>
      <c r="AX13" s="32">
        <f>AX12*AX11</f>
        <v/>
      </c>
      <c r="AY13" s="32">
        <f>AY12*AY11</f>
        <v/>
      </c>
      <c r="AZ13" s="32">
        <f>AZ12*AZ11</f>
        <v/>
      </c>
      <c r="BA13" s="32">
        <f>BA12*BA11</f>
        <v/>
      </c>
      <c r="BB13" s="32">
        <f>BB12*BB11</f>
        <v/>
      </c>
      <c r="BC13" s="32">
        <f>BC12*BC11</f>
        <v/>
      </c>
      <c r="BD13" s="32">
        <f>BD12*BD11</f>
        <v/>
      </c>
      <c r="BE13" s="32">
        <f>BE12*BE11</f>
        <v/>
      </c>
      <c r="BF13" s="32">
        <f>BF12*BF11</f>
        <v/>
      </c>
      <c r="BG13" s="32">
        <f>BG12*BG11</f>
        <v/>
      </c>
      <c r="BH13" s="32">
        <f>BH12*BH11</f>
        <v/>
      </c>
      <c r="BI13" s="32">
        <f>BI12*BI11</f>
        <v/>
      </c>
      <c r="BJ13" s="32">
        <f>BJ12*BJ11</f>
        <v/>
      </c>
      <c r="BK13" s="32">
        <f>BK12*BK11</f>
        <v/>
      </c>
    </row>
    <row r="14">
      <c r="A14" s="25" t="inlineStr">
        <is>
          <t>…belonging to savers who stop this month</t>
        </is>
      </c>
      <c r="B14" s="28" t="inlineStr">
        <is>
          <t>₹</t>
        </is>
      </c>
      <c r="D14" s="32">
        <f>D12*(1-D11)</f>
        <v/>
      </c>
      <c r="E14" s="32">
        <f>E12*(1-E11)</f>
        <v/>
      </c>
      <c r="F14" s="32">
        <f>F12*(1-F11)</f>
        <v/>
      </c>
      <c r="G14" s="32">
        <f>G12*(1-G11)</f>
        <v/>
      </c>
      <c r="H14" s="32">
        <f>H12*(1-H11)</f>
        <v/>
      </c>
      <c r="I14" s="32">
        <f>I12*(1-I11)</f>
        <v/>
      </c>
      <c r="J14" s="32">
        <f>J12*(1-J11)</f>
        <v/>
      </c>
      <c r="K14" s="32">
        <f>K12*(1-K11)</f>
        <v/>
      </c>
      <c r="L14" s="32">
        <f>L12*(1-L11)</f>
        <v/>
      </c>
      <c r="M14" s="32">
        <f>M12*(1-M11)</f>
        <v/>
      </c>
      <c r="N14" s="32">
        <f>N12*(1-N11)</f>
        <v/>
      </c>
      <c r="O14" s="32">
        <f>O12*(1-O11)</f>
        <v/>
      </c>
      <c r="P14" s="32">
        <f>P12*(1-P11)</f>
        <v/>
      </c>
      <c r="Q14" s="32">
        <f>Q12*(1-Q11)</f>
        <v/>
      </c>
      <c r="R14" s="32">
        <f>R12*(1-R11)</f>
        <v/>
      </c>
      <c r="S14" s="32">
        <f>S12*(1-S11)</f>
        <v/>
      </c>
      <c r="T14" s="32">
        <f>T12*(1-T11)</f>
        <v/>
      </c>
      <c r="U14" s="32">
        <f>U12*(1-U11)</f>
        <v/>
      </c>
      <c r="V14" s="32">
        <f>V12*(1-V11)</f>
        <v/>
      </c>
      <c r="W14" s="32">
        <f>W12*(1-W11)</f>
        <v/>
      </c>
      <c r="X14" s="32">
        <f>X12*(1-X11)</f>
        <v/>
      </c>
      <c r="Y14" s="32">
        <f>Y12*(1-Y11)</f>
        <v/>
      </c>
      <c r="Z14" s="32">
        <f>Z12*(1-Z11)</f>
        <v/>
      </c>
      <c r="AA14" s="32">
        <f>AA12*(1-AA11)</f>
        <v/>
      </c>
      <c r="AB14" s="32">
        <f>AB12*(1-AB11)</f>
        <v/>
      </c>
      <c r="AC14" s="32">
        <f>AC12*(1-AC11)</f>
        <v/>
      </c>
      <c r="AD14" s="32">
        <f>AD12*(1-AD11)</f>
        <v/>
      </c>
      <c r="AE14" s="32">
        <f>AE12*(1-AE11)</f>
        <v/>
      </c>
      <c r="AF14" s="32">
        <f>AF12*(1-AF11)</f>
        <v/>
      </c>
      <c r="AG14" s="32">
        <f>AG12*(1-AG11)</f>
        <v/>
      </c>
      <c r="AH14" s="32">
        <f>AH12*(1-AH11)</f>
        <v/>
      </c>
      <c r="AI14" s="32">
        <f>AI12*(1-AI11)</f>
        <v/>
      </c>
      <c r="AJ14" s="32">
        <f>AJ12*(1-AJ11)</f>
        <v/>
      </c>
      <c r="AK14" s="32">
        <f>AK12*(1-AK11)</f>
        <v/>
      </c>
      <c r="AL14" s="32">
        <f>AL12*(1-AL11)</f>
        <v/>
      </c>
      <c r="AM14" s="32">
        <f>AM12*(1-AM11)</f>
        <v/>
      </c>
      <c r="AN14" s="32">
        <f>AN12*(1-AN11)</f>
        <v/>
      </c>
      <c r="AO14" s="32">
        <f>AO12*(1-AO11)</f>
        <v/>
      </c>
      <c r="AP14" s="32">
        <f>AP12*(1-AP11)</f>
        <v/>
      </c>
      <c r="AQ14" s="32">
        <f>AQ12*(1-AQ11)</f>
        <v/>
      </c>
      <c r="AR14" s="32">
        <f>AR12*(1-AR11)</f>
        <v/>
      </c>
      <c r="AS14" s="32">
        <f>AS12*(1-AS11)</f>
        <v/>
      </c>
      <c r="AT14" s="32">
        <f>AT12*(1-AT11)</f>
        <v/>
      </c>
      <c r="AU14" s="32">
        <f>AU12*(1-AU11)</f>
        <v/>
      </c>
      <c r="AV14" s="32">
        <f>AV12*(1-AV11)</f>
        <v/>
      </c>
      <c r="AW14" s="32">
        <f>AW12*(1-AW11)</f>
        <v/>
      </c>
      <c r="AX14" s="32">
        <f>AX12*(1-AX11)</f>
        <v/>
      </c>
      <c r="AY14" s="32">
        <f>AY12*(1-AY11)</f>
        <v/>
      </c>
      <c r="AZ14" s="32">
        <f>AZ12*(1-AZ11)</f>
        <v/>
      </c>
      <c r="BA14" s="32">
        <f>BA12*(1-BA11)</f>
        <v/>
      </c>
      <c r="BB14" s="32">
        <f>BB12*(1-BB11)</f>
        <v/>
      </c>
      <c r="BC14" s="32">
        <f>BC12*(1-BC11)</f>
        <v/>
      </c>
      <c r="BD14" s="32">
        <f>BD12*(1-BD11)</f>
        <v/>
      </c>
      <c r="BE14" s="32">
        <f>BE12*(1-BE11)</f>
        <v/>
      </c>
      <c r="BF14" s="32">
        <f>BF12*(1-BF11)</f>
        <v/>
      </c>
      <c r="BG14" s="32">
        <f>BG12*(1-BG11)</f>
        <v/>
      </c>
      <c r="BH14" s="32">
        <f>BH12*(1-BH11)</f>
        <v/>
      </c>
      <c r="BI14" s="32">
        <f>BI12*(1-BI11)</f>
        <v/>
      </c>
      <c r="BJ14" s="32">
        <f>BJ12*(1-BJ11)</f>
        <v/>
      </c>
      <c r="BK14" s="32">
        <f>BK12*(1-BK11)</f>
        <v/>
      </c>
    </row>
    <row r="15">
      <c r="A15" s="25" t="inlineStr">
        <is>
          <t>Balance of active savers</t>
        </is>
      </c>
      <c r="B15" s="28" t="inlineStr">
        <is>
          <t>₹</t>
        </is>
      </c>
      <c r="C15" s="30" t="n">
        <v>0</v>
      </c>
      <c r="D15" s="32">
        <f>D13*(1-withdraw_rate)+D9</f>
        <v/>
      </c>
      <c r="E15" s="32">
        <f>E13*(1-withdraw_rate)+E9</f>
        <v/>
      </c>
      <c r="F15" s="32">
        <f>F13*(1-withdraw_rate)+F9</f>
        <v/>
      </c>
      <c r="G15" s="32">
        <f>G13*(1-withdraw_rate)+G9</f>
        <v/>
      </c>
      <c r="H15" s="32">
        <f>H13*(1-withdraw_rate)+H9</f>
        <v/>
      </c>
      <c r="I15" s="32">
        <f>I13*(1-withdraw_rate)+I9</f>
        <v/>
      </c>
      <c r="J15" s="32">
        <f>J13*(1-withdraw_rate)+J9</f>
        <v/>
      </c>
      <c r="K15" s="32">
        <f>K13*(1-withdraw_rate)+K9</f>
        <v/>
      </c>
      <c r="L15" s="32">
        <f>L13*(1-withdraw_rate)+L9</f>
        <v/>
      </c>
      <c r="M15" s="32">
        <f>M13*(1-withdraw_rate)+M9</f>
        <v/>
      </c>
      <c r="N15" s="32">
        <f>N13*(1-withdraw_rate)+N9</f>
        <v/>
      </c>
      <c r="O15" s="32">
        <f>O13*(1-withdraw_rate)+O9</f>
        <v/>
      </c>
      <c r="P15" s="32">
        <f>P13*(1-withdraw_rate)+P9</f>
        <v/>
      </c>
      <c r="Q15" s="32">
        <f>Q13*(1-withdraw_rate)+Q9</f>
        <v/>
      </c>
      <c r="R15" s="32">
        <f>R13*(1-withdraw_rate)+R9</f>
        <v/>
      </c>
      <c r="S15" s="32">
        <f>S13*(1-withdraw_rate)+S9</f>
        <v/>
      </c>
      <c r="T15" s="32">
        <f>T13*(1-withdraw_rate)+T9</f>
        <v/>
      </c>
      <c r="U15" s="32">
        <f>U13*(1-withdraw_rate)+U9</f>
        <v/>
      </c>
      <c r="V15" s="32">
        <f>V13*(1-withdraw_rate)+V9</f>
        <v/>
      </c>
      <c r="W15" s="32">
        <f>W13*(1-withdraw_rate)+W9</f>
        <v/>
      </c>
      <c r="X15" s="32">
        <f>X13*(1-withdraw_rate)+X9</f>
        <v/>
      </c>
      <c r="Y15" s="32">
        <f>Y13*(1-withdraw_rate)+Y9</f>
        <v/>
      </c>
      <c r="Z15" s="32">
        <f>Z13*(1-withdraw_rate)+Z9</f>
        <v/>
      </c>
      <c r="AA15" s="32">
        <f>AA13*(1-withdraw_rate)+AA9</f>
        <v/>
      </c>
      <c r="AB15" s="32">
        <f>AB13*(1-withdraw_rate)+AB9</f>
        <v/>
      </c>
      <c r="AC15" s="32">
        <f>AC13*(1-withdraw_rate)+AC9</f>
        <v/>
      </c>
      <c r="AD15" s="32">
        <f>AD13*(1-withdraw_rate)+AD9</f>
        <v/>
      </c>
      <c r="AE15" s="32">
        <f>AE13*(1-withdraw_rate)+AE9</f>
        <v/>
      </c>
      <c r="AF15" s="32">
        <f>AF13*(1-withdraw_rate)+AF9</f>
        <v/>
      </c>
      <c r="AG15" s="32">
        <f>AG13*(1-withdraw_rate)+AG9</f>
        <v/>
      </c>
      <c r="AH15" s="32">
        <f>AH13*(1-withdraw_rate)+AH9</f>
        <v/>
      </c>
      <c r="AI15" s="32">
        <f>AI13*(1-withdraw_rate)+AI9</f>
        <v/>
      </c>
      <c r="AJ15" s="32">
        <f>AJ13*(1-withdraw_rate)+AJ9</f>
        <v/>
      </c>
      <c r="AK15" s="32">
        <f>AK13*(1-withdraw_rate)+AK9</f>
        <v/>
      </c>
      <c r="AL15" s="32">
        <f>AL13*(1-withdraw_rate)+AL9</f>
        <v/>
      </c>
      <c r="AM15" s="32">
        <f>AM13*(1-withdraw_rate)+AM9</f>
        <v/>
      </c>
      <c r="AN15" s="32">
        <f>AN13*(1-withdraw_rate)+AN9</f>
        <v/>
      </c>
      <c r="AO15" s="32">
        <f>AO13*(1-withdraw_rate)+AO9</f>
        <v/>
      </c>
      <c r="AP15" s="32">
        <f>AP13*(1-withdraw_rate)+AP9</f>
        <v/>
      </c>
      <c r="AQ15" s="32">
        <f>AQ13*(1-withdraw_rate)+AQ9</f>
        <v/>
      </c>
      <c r="AR15" s="32">
        <f>AR13*(1-withdraw_rate)+AR9</f>
        <v/>
      </c>
      <c r="AS15" s="32">
        <f>AS13*(1-withdraw_rate)+AS9</f>
        <v/>
      </c>
      <c r="AT15" s="32">
        <f>AT13*(1-withdraw_rate)+AT9</f>
        <v/>
      </c>
      <c r="AU15" s="32">
        <f>AU13*(1-withdraw_rate)+AU9</f>
        <v/>
      </c>
      <c r="AV15" s="32">
        <f>AV13*(1-withdraw_rate)+AV9</f>
        <v/>
      </c>
      <c r="AW15" s="32">
        <f>AW13*(1-withdraw_rate)+AW9</f>
        <v/>
      </c>
      <c r="AX15" s="32">
        <f>AX13*(1-withdraw_rate)+AX9</f>
        <v/>
      </c>
      <c r="AY15" s="32">
        <f>AY13*(1-withdraw_rate)+AY9</f>
        <v/>
      </c>
      <c r="AZ15" s="32">
        <f>AZ13*(1-withdraw_rate)+AZ9</f>
        <v/>
      </c>
      <c r="BA15" s="32">
        <f>BA13*(1-withdraw_rate)+BA9</f>
        <v/>
      </c>
      <c r="BB15" s="32">
        <f>BB13*(1-withdraw_rate)+BB9</f>
        <v/>
      </c>
      <c r="BC15" s="32">
        <f>BC13*(1-withdraw_rate)+BC9</f>
        <v/>
      </c>
      <c r="BD15" s="32">
        <f>BD13*(1-withdraw_rate)+BD9</f>
        <v/>
      </c>
      <c r="BE15" s="32">
        <f>BE13*(1-withdraw_rate)+BE9</f>
        <v/>
      </c>
      <c r="BF15" s="32">
        <f>BF13*(1-withdraw_rate)+BF9</f>
        <v/>
      </c>
      <c r="BG15" s="32">
        <f>BG13*(1-withdraw_rate)+BG9</f>
        <v/>
      </c>
      <c r="BH15" s="32">
        <f>BH13*(1-withdraw_rate)+BH9</f>
        <v/>
      </c>
      <c r="BI15" s="32">
        <f>BI13*(1-withdraw_rate)+BI9</f>
        <v/>
      </c>
      <c r="BJ15" s="32">
        <f>BJ13*(1-withdraw_rate)+BJ9</f>
        <v/>
      </c>
      <c r="BK15" s="32">
        <f>BK13*(1-withdraw_rate)+BK9</f>
        <v/>
      </c>
    </row>
    <row r="16">
      <c r="A16" s="25" t="inlineStr">
        <is>
          <t>Balance left behind by savers who stopped</t>
        </is>
      </c>
      <c r="B16" s="28" t="inlineStr">
        <is>
          <t>₹</t>
        </is>
      </c>
      <c r="C16" s="30" t="n">
        <v>0</v>
      </c>
      <c r="D16" s="32">
        <f>C16*(1+fund_yield/12)*(1-dormant_withdraw)+D14*(1-leaver_withdraw)</f>
        <v/>
      </c>
      <c r="E16" s="32">
        <f>D16*(1+fund_yield/12)*(1-dormant_withdraw)+E14*(1-leaver_withdraw)</f>
        <v/>
      </c>
      <c r="F16" s="32">
        <f>E16*(1+fund_yield/12)*(1-dormant_withdraw)+F14*(1-leaver_withdraw)</f>
        <v/>
      </c>
      <c r="G16" s="32">
        <f>F16*(1+fund_yield/12)*(1-dormant_withdraw)+G14*(1-leaver_withdraw)</f>
        <v/>
      </c>
      <c r="H16" s="32">
        <f>G16*(1+fund_yield/12)*(1-dormant_withdraw)+H14*(1-leaver_withdraw)</f>
        <v/>
      </c>
      <c r="I16" s="32">
        <f>H16*(1+fund_yield/12)*(1-dormant_withdraw)+I14*(1-leaver_withdraw)</f>
        <v/>
      </c>
      <c r="J16" s="32">
        <f>I16*(1+fund_yield/12)*(1-dormant_withdraw)+J14*(1-leaver_withdraw)</f>
        <v/>
      </c>
      <c r="K16" s="32">
        <f>J16*(1+fund_yield/12)*(1-dormant_withdraw)+K14*(1-leaver_withdraw)</f>
        <v/>
      </c>
      <c r="L16" s="32">
        <f>K16*(1+fund_yield/12)*(1-dormant_withdraw)+L14*(1-leaver_withdraw)</f>
        <v/>
      </c>
      <c r="M16" s="32">
        <f>L16*(1+fund_yield/12)*(1-dormant_withdraw)+M14*(1-leaver_withdraw)</f>
        <v/>
      </c>
      <c r="N16" s="32">
        <f>M16*(1+fund_yield/12)*(1-dormant_withdraw)+N14*(1-leaver_withdraw)</f>
        <v/>
      </c>
      <c r="O16" s="32">
        <f>N16*(1+fund_yield/12)*(1-dormant_withdraw)+O14*(1-leaver_withdraw)</f>
        <v/>
      </c>
      <c r="P16" s="32">
        <f>O16*(1+fund_yield/12)*(1-dormant_withdraw)+P14*(1-leaver_withdraw)</f>
        <v/>
      </c>
      <c r="Q16" s="32">
        <f>P16*(1+fund_yield/12)*(1-dormant_withdraw)+Q14*(1-leaver_withdraw)</f>
        <v/>
      </c>
      <c r="R16" s="32">
        <f>Q16*(1+fund_yield/12)*(1-dormant_withdraw)+R14*(1-leaver_withdraw)</f>
        <v/>
      </c>
      <c r="S16" s="32">
        <f>R16*(1+fund_yield/12)*(1-dormant_withdraw)+S14*(1-leaver_withdraw)</f>
        <v/>
      </c>
      <c r="T16" s="32">
        <f>S16*(1+fund_yield/12)*(1-dormant_withdraw)+T14*(1-leaver_withdraw)</f>
        <v/>
      </c>
      <c r="U16" s="32">
        <f>T16*(1+fund_yield/12)*(1-dormant_withdraw)+U14*(1-leaver_withdraw)</f>
        <v/>
      </c>
      <c r="V16" s="32">
        <f>U16*(1+fund_yield/12)*(1-dormant_withdraw)+V14*(1-leaver_withdraw)</f>
        <v/>
      </c>
      <c r="W16" s="32">
        <f>V16*(1+fund_yield/12)*(1-dormant_withdraw)+W14*(1-leaver_withdraw)</f>
        <v/>
      </c>
      <c r="X16" s="32">
        <f>W16*(1+fund_yield/12)*(1-dormant_withdraw)+X14*(1-leaver_withdraw)</f>
        <v/>
      </c>
      <c r="Y16" s="32">
        <f>X16*(1+fund_yield/12)*(1-dormant_withdraw)+Y14*(1-leaver_withdraw)</f>
        <v/>
      </c>
      <c r="Z16" s="32">
        <f>Y16*(1+fund_yield/12)*(1-dormant_withdraw)+Z14*(1-leaver_withdraw)</f>
        <v/>
      </c>
      <c r="AA16" s="32">
        <f>Z16*(1+fund_yield/12)*(1-dormant_withdraw)+AA14*(1-leaver_withdraw)</f>
        <v/>
      </c>
      <c r="AB16" s="32">
        <f>AA16*(1+fund_yield/12)*(1-dormant_withdraw)+AB14*(1-leaver_withdraw)</f>
        <v/>
      </c>
      <c r="AC16" s="32">
        <f>AB16*(1+fund_yield/12)*(1-dormant_withdraw)+AC14*(1-leaver_withdraw)</f>
        <v/>
      </c>
      <c r="AD16" s="32">
        <f>AC16*(1+fund_yield/12)*(1-dormant_withdraw)+AD14*(1-leaver_withdraw)</f>
        <v/>
      </c>
      <c r="AE16" s="32">
        <f>AD16*(1+fund_yield/12)*(1-dormant_withdraw)+AE14*(1-leaver_withdraw)</f>
        <v/>
      </c>
      <c r="AF16" s="32">
        <f>AE16*(1+fund_yield/12)*(1-dormant_withdraw)+AF14*(1-leaver_withdraw)</f>
        <v/>
      </c>
      <c r="AG16" s="32">
        <f>AF16*(1+fund_yield/12)*(1-dormant_withdraw)+AG14*(1-leaver_withdraw)</f>
        <v/>
      </c>
      <c r="AH16" s="32">
        <f>AG16*(1+fund_yield/12)*(1-dormant_withdraw)+AH14*(1-leaver_withdraw)</f>
        <v/>
      </c>
      <c r="AI16" s="32">
        <f>AH16*(1+fund_yield/12)*(1-dormant_withdraw)+AI14*(1-leaver_withdraw)</f>
        <v/>
      </c>
      <c r="AJ16" s="32">
        <f>AI16*(1+fund_yield/12)*(1-dormant_withdraw)+AJ14*(1-leaver_withdraw)</f>
        <v/>
      </c>
      <c r="AK16" s="32">
        <f>AJ16*(1+fund_yield/12)*(1-dormant_withdraw)+AK14*(1-leaver_withdraw)</f>
        <v/>
      </c>
      <c r="AL16" s="32">
        <f>AK16*(1+fund_yield/12)*(1-dormant_withdraw)+AL14*(1-leaver_withdraw)</f>
        <v/>
      </c>
      <c r="AM16" s="32">
        <f>AL16*(1+fund_yield/12)*(1-dormant_withdraw)+AM14*(1-leaver_withdraw)</f>
        <v/>
      </c>
      <c r="AN16" s="32">
        <f>AM16*(1+fund_yield/12)*(1-dormant_withdraw)+AN14*(1-leaver_withdraw)</f>
        <v/>
      </c>
      <c r="AO16" s="32">
        <f>AN16*(1+fund_yield/12)*(1-dormant_withdraw)+AO14*(1-leaver_withdraw)</f>
        <v/>
      </c>
      <c r="AP16" s="32">
        <f>AO16*(1+fund_yield/12)*(1-dormant_withdraw)+AP14*(1-leaver_withdraw)</f>
        <v/>
      </c>
      <c r="AQ16" s="32">
        <f>AP16*(1+fund_yield/12)*(1-dormant_withdraw)+AQ14*(1-leaver_withdraw)</f>
        <v/>
      </c>
      <c r="AR16" s="32">
        <f>AQ16*(1+fund_yield/12)*(1-dormant_withdraw)+AR14*(1-leaver_withdraw)</f>
        <v/>
      </c>
      <c r="AS16" s="32">
        <f>AR16*(1+fund_yield/12)*(1-dormant_withdraw)+AS14*(1-leaver_withdraw)</f>
        <v/>
      </c>
      <c r="AT16" s="32">
        <f>AS16*(1+fund_yield/12)*(1-dormant_withdraw)+AT14*(1-leaver_withdraw)</f>
        <v/>
      </c>
      <c r="AU16" s="32">
        <f>AT16*(1+fund_yield/12)*(1-dormant_withdraw)+AU14*(1-leaver_withdraw)</f>
        <v/>
      </c>
      <c r="AV16" s="32">
        <f>AU16*(1+fund_yield/12)*(1-dormant_withdraw)+AV14*(1-leaver_withdraw)</f>
        <v/>
      </c>
      <c r="AW16" s="32">
        <f>AV16*(1+fund_yield/12)*(1-dormant_withdraw)+AW14*(1-leaver_withdraw)</f>
        <v/>
      </c>
      <c r="AX16" s="32">
        <f>AW16*(1+fund_yield/12)*(1-dormant_withdraw)+AX14*(1-leaver_withdraw)</f>
        <v/>
      </c>
      <c r="AY16" s="32">
        <f>AX16*(1+fund_yield/12)*(1-dormant_withdraw)+AY14*(1-leaver_withdraw)</f>
        <v/>
      </c>
      <c r="AZ16" s="32">
        <f>AY16*(1+fund_yield/12)*(1-dormant_withdraw)+AZ14*(1-leaver_withdraw)</f>
        <v/>
      </c>
      <c r="BA16" s="32">
        <f>AZ16*(1+fund_yield/12)*(1-dormant_withdraw)+BA14*(1-leaver_withdraw)</f>
        <v/>
      </c>
      <c r="BB16" s="32">
        <f>BA16*(1+fund_yield/12)*(1-dormant_withdraw)+BB14*(1-leaver_withdraw)</f>
        <v/>
      </c>
      <c r="BC16" s="32">
        <f>BB16*(1+fund_yield/12)*(1-dormant_withdraw)+BC14*(1-leaver_withdraw)</f>
        <v/>
      </c>
      <c r="BD16" s="32">
        <f>BC16*(1+fund_yield/12)*(1-dormant_withdraw)+BD14*(1-leaver_withdraw)</f>
        <v/>
      </c>
      <c r="BE16" s="32">
        <f>BD16*(1+fund_yield/12)*(1-dormant_withdraw)+BE14*(1-leaver_withdraw)</f>
        <v/>
      </c>
      <c r="BF16" s="32">
        <f>BE16*(1+fund_yield/12)*(1-dormant_withdraw)+BF14*(1-leaver_withdraw)</f>
        <v/>
      </c>
      <c r="BG16" s="32">
        <f>BF16*(1+fund_yield/12)*(1-dormant_withdraw)+BG14*(1-leaver_withdraw)</f>
        <v/>
      </c>
      <c r="BH16" s="32">
        <f>BG16*(1+fund_yield/12)*(1-dormant_withdraw)+BH14*(1-leaver_withdraw)</f>
        <v/>
      </c>
      <c r="BI16" s="32">
        <f>BH16*(1+fund_yield/12)*(1-dormant_withdraw)+BI14*(1-leaver_withdraw)</f>
        <v/>
      </c>
      <c r="BJ16" s="32">
        <f>BI16*(1+fund_yield/12)*(1-dormant_withdraw)+BJ14*(1-leaver_withdraw)</f>
        <v/>
      </c>
      <c r="BK16" s="32">
        <f>BJ16*(1+fund_yield/12)*(1-dormant_withdraw)+BK14*(1-leaver_withdraw)</f>
        <v/>
      </c>
    </row>
    <row r="17">
      <c r="A17" s="25" t="inlineStr">
        <is>
          <t>Withdrawals</t>
        </is>
      </c>
      <c r="B17" s="28" t="inlineStr">
        <is>
          <t>₹</t>
        </is>
      </c>
      <c r="D17" s="32">
        <f>D13*withdraw_rate+D14*leaver_withdraw+C16*(1+fund_yield/12)*dormant_withdraw</f>
        <v/>
      </c>
      <c r="E17" s="32">
        <f>E13*withdraw_rate+E14*leaver_withdraw+D16*(1+fund_yield/12)*dormant_withdraw</f>
        <v/>
      </c>
      <c r="F17" s="32">
        <f>F13*withdraw_rate+F14*leaver_withdraw+E16*(1+fund_yield/12)*dormant_withdraw</f>
        <v/>
      </c>
      <c r="G17" s="32">
        <f>G13*withdraw_rate+G14*leaver_withdraw+F16*(1+fund_yield/12)*dormant_withdraw</f>
        <v/>
      </c>
      <c r="H17" s="32">
        <f>H13*withdraw_rate+H14*leaver_withdraw+G16*(1+fund_yield/12)*dormant_withdraw</f>
        <v/>
      </c>
      <c r="I17" s="32">
        <f>I13*withdraw_rate+I14*leaver_withdraw+H16*(1+fund_yield/12)*dormant_withdraw</f>
        <v/>
      </c>
      <c r="J17" s="32">
        <f>J13*withdraw_rate+J14*leaver_withdraw+I16*(1+fund_yield/12)*dormant_withdraw</f>
        <v/>
      </c>
      <c r="K17" s="32">
        <f>K13*withdraw_rate+K14*leaver_withdraw+J16*(1+fund_yield/12)*dormant_withdraw</f>
        <v/>
      </c>
      <c r="L17" s="32">
        <f>L13*withdraw_rate+L14*leaver_withdraw+K16*(1+fund_yield/12)*dormant_withdraw</f>
        <v/>
      </c>
      <c r="M17" s="32">
        <f>M13*withdraw_rate+M14*leaver_withdraw+L16*(1+fund_yield/12)*dormant_withdraw</f>
        <v/>
      </c>
      <c r="N17" s="32">
        <f>N13*withdraw_rate+N14*leaver_withdraw+M16*(1+fund_yield/12)*dormant_withdraw</f>
        <v/>
      </c>
      <c r="O17" s="32">
        <f>O13*withdraw_rate+O14*leaver_withdraw+N16*(1+fund_yield/12)*dormant_withdraw</f>
        <v/>
      </c>
      <c r="P17" s="32">
        <f>P13*withdraw_rate+P14*leaver_withdraw+O16*(1+fund_yield/12)*dormant_withdraw</f>
        <v/>
      </c>
      <c r="Q17" s="32">
        <f>Q13*withdraw_rate+Q14*leaver_withdraw+P16*(1+fund_yield/12)*dormant_withdraw</f>
        <v/>
      </c>
      <c r="R17" s="32">
        <f>R13*withdraw_rate+R14*leaver_withdraw+Q16*(1+fund_yield/12)*dormant_withdraw</f>
        <v/>
      </c>
      <c r="S17" s="32">
        <f>S13*withdraw_rate+S14*leaver_withdraw+R16*(1+fund_yield/12)*dormant_withdraw</f>
        <v/>
      </c>
      <c r="T17" s="32">
        <f>T13*withdraw_rate+T14*leaver_withdraw+S16*(1+fund_yield/12)*dormant_withdraw</f>
        <v/>
      </c>
      <c r="U17" s="32">
        <f>U13*withdraw_rate+U14*leaver_withdraw+T16*(1+fund_yield/12)*dormant_withdraw</f>
        <v/>
      </c>
      <c r="V17" s="32">
        <f>V13*withdraw_rate+V14*leaver_withdraw+U16*(1+fund_yield/12)*dormant_withdraw</f>
        <v/>
      </c>
      <c r="W17" s="32">
        <f>W13*withdraw_rate+W14*leaver_withdraw+V16*(1+fund_yield/12)*dormant_withdraw</f>
        <v/>
      </c>
      <c r="X17" s="32">
        <f>X13*withdraw_rate+X14*leaver_withdraw+W16*(1+fund_yield/12)*dormant_withdraw</f>
        <v/>
      </c>
      <c r="Y17" s="32">
        <f>Y13*withdraw_rate+Y14*leaver_withdraw+X16*(1+fund_yield/12)*dormant_withdraw</f>
        <v/>
      </c>
      <c r="Z17" s="32">
        <f>Z13*withdraw_rate+Z14*leaver_withdraw+Y16*(1+fund_yield/12)*dormant_withdraw</f>
        <v/>
      </c>
      <c r="AA17" s="32">
        <f>AA13*withdraw_rate+AA14*leaver_withdraw+Z16*(1+fund_yield/12)*dormant_withdraw</f>
        <v/>
      </c>
      <c r="AB17" s="32">
        <f>AB13*withdraw_rate+AB14*leaver_withdraw+AA16*(1+fund_yield/12)*dormant_withdraw</f>
        <v/>
      </c>
      <c r="AC17" s="32">
        <f>AC13*withdraw_rate+AC14*leaver_withdraw+AB16*(1+fund_yield/12)*dormant_withdraw</f>
        <v/>
      </c>
      <c r="AD17" s="32">
        <f>AD13*withdraw_rate+AD14*leaver_withdraw+AC16*(1+fund_yield/12)*dormant_withdraw</f>
        <v/>
      </c>
      <c r="AE17" s="32">
        <f>AE13*withdraw_rate+AE14*leaver_withdraw+AD16*(1+fund_yield/12)*dormant_withdraw</f>
        <v/>
      </c>
      <c r="AF17" s="32">
        <f>AF13*withdraw_rate+AF14*leaver_withdraw+AE16*(1+fund_yield/12)*dormant_withdraw</f>
        <v/>
      </c>
      <c r="AG17" s="32">
        <f>AG13*withdraw_rate+AG14*leaver_withdraw+AF16*(1+fund_yield/12)*dormant_withdraw</f>
        <v/>
      </c>
      <c r="AH17" s="32">
        <f>AH13*withdraw_rate+AH14*leaver_withdraw+AG16*(1+fund_yield/12)*dormant_withdraw</f>
        <v/>
      </c>
      <c r="AI17" s="32">
        <f>AI13*withdraw_rate+AI14*leaver_withdraw+AH16*(1+fund_yield/12)*dormant_withdraw</f>
        <v/>
      </c>
      <c r="AJ17" s="32">
        <f>AJ13*withdraw_rate+AJ14*leaver_withdraw+AI16*(1+fund_yield/12)*dormant_withdraw</f>
        <v/>
      </c>
      <c r="AK17" s="32">
        <f>AK13*withdraw_rate+AK14*leaver_withdraw+AJ16*(1+fund_yield/12)*dormant_withdraw</f>
        <v/>
      </c>
      <c r="AL17" s="32">
        <f>AL13*withdraw_rate+AL14*leaver_withdraw+AK16*(1+fund_yield/12)*dormant_withdraw</f>
        <v/>
      </c>
      <c r="AM17" s="32">
        <f>AM13*withdraw_rate+AM14*leaver_withdraw+AL16*(1+fund_yield/12)*dormant_withdraw</f>
        <v/>
      </c>
      <c r="AN17" s="32">
        <f>AN13*withdraw_rate+AN14*leaver_withdraw+AM16*(1+fund_yield/12)*dormant_withdraw</f>
        <v/>
      </c>
      <c r="AO17" s="32">
        <f>AO13*withdraw_rate+AO14*leaver_withdraw+AN16*(1+fund_yield/12)*dormant_withdraw</f>
        <v/>
      </c>
      <c r="AP17" s="32">
        <f>AP13*withdraw_rate+AP14*leaver_withdraw+AO16*(1+fund_yield/12)*dormant_withdraw</f>
        <v/>
      </c>
      <c r="AQ17" s="32">
        <f>AQ13*withdraw_rate+AQ14*leaver_withdraw+AP16*(1+fund_yield/12)*dormant_withdraw</f>
        <v/>
      </c>
      <c r="AR17" s="32">
        <f>AR13*withdraw_rate+AR14*leaver_withdraw+AQ16*(1+fund_yield/12)*dormant_withdraw</f>
        <v/>
      </c>
      <c r="AS17" s="32">
        <f>AS13*withdraw_rate+AS14*leaver_withdraw+AR16*(1+fund_yield/12)*dormant_withdraw</f>
        <v/>
      </c>
      <c r="AT17" s="32">
        <f>AT13*withdraw_rate+AT14*leaver_withdraw+AS16*(1+fund_yield/12)*dormant_withdraw</f>
        <v/>
      </c>
      <c r="AU17" s="32">
        <f>AU13*withdraw_rate+AU14*leaver_withdraw+AT16*(1+fund_yield/12)*dormant_withdraw</f>
        <v/>
      </c>
      <c r="AV17" s="32">
        <f>AV13*withdraw_rate+AV14*leaver_withdraw+AU16*(1+fund_yield/12)*dormant_withdraw</f>
        <v/>
      </c>
      <c r="AW17" s="32">
        <f>AW13*withdraw_rate+AW14*leaver_withdraw+AV16*(1+fund_yield/12)*dormant_withdraw</f>
        <v/>
      </c>
      <c r="AX17" s="32">
        <f>AX13*withdraw_rate+AX14*leaver_withdraw+AW16*(1+fund_yield/12)*dormant_withdraw</f>
        <v/>
      </c>
      <c r="AY17" s="32">
        <f>AY13*withdraw_rate+AY14*leaver_withdraw+AX16*(1+fund_yield/12)*dormant_withdraw</f>
        <v/>
      </c>
      <c r="AZ17" s="32">
        <f>AZ13*withdraw_rate+AZ14*leaver_withdraw+AY16*(1+fund_yield/12)*dormant_withdraw</f>
        <v/>
      </c>
      <c r="BA17" s="32">
        <f>BA13*withdraw_rate+BA14*leaver_withdraw+AZ16*(1+fund_yield/12)*dormant_withdraw</f>
        <v/>
      </c>
      <c r="BB17" s="32">
        <f>BB13*withdraw_rate+BB14*leaver_withdraw+BA16*(1+fund_yield/12)*dormant_withdraw</f>
        <v/>
      </c>
      <c r="BC17" s="32">
        <f>BC13*withdraw_rate+BC14*leaver_withdraw+BB16*(1+fund_yield/12)*dormant_withdraw</f>
        <v/>
      </c>
      <c r="BD17" s="32">
        <f>BD13*withdraw_rate+BD14*leaver_withdraw+BC16*(1+fund_yield/12)*dormant_withdraw</f>
        <v/>
      </c>
      <c r="BE17" s="32">
        <f>BE13*withdraw_rate+BE14*leaver_withdraw+BD16*(1+fund_yield/12)*dormant_withdraw</f>
        <v/>
      </c>
      <c r="BF17" s="32">
        <f>BF13*withdraw_rate+BF14*leaver_withdraw+BE16*(1+fund_yield/12)*dormant_withdraw</f>
        <v/>
      </c>
      <c r="BG17" s="32">
        <f>BG13*withdraw_rate+BG14*leaver_withdraw+BF16*(1+fund_yield/12)*dormant_withdraw</f>
        <v/>
      </c>
      <c r="BH17" s="32">
        <f>BH13*withdraw_rate+BH14*leaver_withdraw+BG16*(1+fund_yield/12)*dormant_withdraw</f>
        <v/>
      </c>
      <c r="BI17" s="32">
        <f>BI13*withdraw_rate+BI14*leaver_withdraw+BH16*(1+fund_yield/12)*dormant_withdraw</f>
        <v/>
      </c>
      <c r="BJ17" s="32">
        <f>BJ13*withdraw_rate+BJ14*leaver_withdraw+BI16*(1+fund_yield/12)*dormant_withdraw</f>
        <v/>
      </c>
      <c r="BK17" s="32">
        <f>BK13*withdraw_rate+BK14*leaver_withdraw+BJ16*(1+fund_yield/12)*dormant_withdraw</f>
        <v/>
      </c>
    </row>
    <row r="18">
      <c r="A18" s="25" t="inlineStr">
        <is>
          <t>Total savings balance</t>
        </is>
      </c>
      <c r="B18" s="28" t="inlineStr">
        <is>
          <t>₹</t>
        </is>
      </c>
      <c r="C18" s="30" t="n">
        <v>0</v>
      </c>
      <c r="D18" s="32">
        <f>D15+D16</f>
        <v/>
      </c>
      <c r="E18" s="32">
        <f>E15+E16</f>
        <v/>
      </c>
      <c r="F18" s="32">
        <f>F15+F16</f>
        <v/>
      </c>
      <c r="G18" s="32">
        <f>G15+G16</f>
        <v/>
      </c>
      <c r="H18" s="32">
        <f>H15+H16</f>
        <v/>
      </c>
      <c r="I18" s="32">
        <f>I15+I16</f>
        <v/>
      </c>
      <c r="J18" s="32">
        <f>J15+J16</f>
        <v/>
      </c>
      <c r="K18" s="32">
        <f>K15+K16</f>
        <v/>
      </c>
      <c r="L18" s="32">
        <f>L15+L16</f>
        <v/>
      </c>
      <c r="M18" s="32">
        <f>M15+M16</f>
        <v/>
      </c>
      <c r="N18" s="32">
        <f>N15+N16</f>
        <v/>
      </c>
      <c r="O18" s="32">
        <f>O15+O16</f>
        <v/>
      </c>
      <c r="P18" s="32">
        <f>P15+P16</f>
        <v/>
      </c>
      <c r="Q18" s="32">
        <f>Q15+Q16</f>
        <v/>
      </c>
      <c r="R18" s="32">
        <f>R15+R16</f>
        <v/>
      </c>
      <c r="S18" s="32">
        <f>S15+S16</f>
        <v/>
      </c>
      <c r="T18" s="32">
        <f>T15+T16</f>
        <v/>
      </c>
      <c r="U18" s="32">
        <f>U15+U16</f>
        <v/>
      </c>
      <c r="V18" s="32">
        <f>V15+V16</f>
        <v/>
      </c>
      <c r="W18" s="32">
        <f>W15+W16</f>
        <v/>
      </c>
      <c r="X18" s="32">
        <f>X15+X16</f>
        <v/>
      </c>
      <c r="Y18" s="32">
        <f>Y15+Y16</f>
        <v/>
      </c>
      <c r="Z18" s="32">
        <f>Z15+Z16</f>
        <v/>
      </c>
      <c r="AA18" s="32">
        <f>AA15+AA16</f>
        <v/>
      </c>
      <c r="AB18" s="32">
        <f>AB15+AB16</f>
        <v/>
      </c>
      <c r="AC18" s="32">
        <f>AC15+AC16</f>
        <v/>
      </c>
      <c r="AD18" s="32">
        <f>AD15+AD16</f>
        <v/>
      </c>
      <c r="AE18" s="32">
        <f>AE15+AE16</f>
        <v/>
      </c>
      <c r="AF18" s="32">
        <f>AF15+AF16</f>
        <v/>
      </c>
      <c r="AG18" s="32">
        <f>AG15+AG16</f>
        <v/>
      </c>
      <c r="AH18" s="32">
        <f>AH15+AH16</f>
        <v/>
      </c>
      <c r="AI18" s="32">
        <f>AI15+AI16</f>
        <v/>
      </c>
      <c r="AJ18" s="32">
        <f>AJ15+AJ16</f>
        <v/>
      </c>
      <c r="AK18" s="32">
        <f>AK15+AK16</f>
        <v/>
      </c>
      <c r="AL18" s="32">
        <f>AL15+AL16</f>
        <v/>
      </c>
      <c r="AM18" s="32">
        <f>AM15+AM16</f>
        <v/>
      </c>
      <c r="AN18" s="32">
        <f>AN15+AN16</f>
        <v/>
      </c>
      <c r="AO18" s="32">
        <f>AO15+AO16</f>
        <v/>
      </c>
      <c r="AP18" s="32">
        <f>AP15+AP16</f>
        <v/>
      </c>
      <c r="AQ18" s="32">
        <f>AQ15+AQ16</f>
        <v/>
      </c>
      <c r="AR18" s="32">
        <f>AR15+AR16</f>
        <v/>
      </c>
      <c r="AS18" s="32">
        <f>AS15+AS16</f>
        <v/>
      </c>
      <c r="AT18" s="32">
        <f>AT15+AT16</f>
        <v/>
      </c>
      <c r="AU18" s="32">
        <f>AU15+AU16</f>
        <v/>
      </c>
      <c r="AV18" s="32">
        <f>AV15+AV16</f>
        <v/>
      </c>
      <c r="AW18" s="32">
        <f>AW15+AW16</f>
        <v/>
      </c>
      <c r="AX18" s="32">
        <f>AX15+AX16</f>
        <v/>
      </c>
      <c r="AY18" s="32">
        <f>AY15+AY16</f>
        <v/>
      </c>
      <c r="AZ18" s="32">
        <f>AZ15+AZ16</f>
        <v/>
      </c>
      <c r="BA18" s="32">
        <f>BA15+BA16</f>
        <v/>
      </c>
      <c r="BB18" s="32">
        <f>BB15+BB16</f>
        <v/>
      </c>
      <c r="BC18" s="32">
        <f>BC15+BC16</f>
        <v/>
      </c>
      <c r="BD18" s="32">
        <f>BD15+BD16</f>
        <v/>
      </c>
      <c r="BE18" s="32">
        <f>BE15+BE16</f>
        <v/>
      </c>
      <c r="BF18" s="32">
        <f>BF15+BF16</f>
        <v/>
      </c>
      <c r="BG18" s="32">
        <f>BG15+BG16</f>
        <v/>
      </c>
      <c r="BH18" s="32">
        <f>BH15+BH16</f>
        <v/>
      </c>
      <c r="BI18" s="32">
        <f>BI15+BI16</f>
        <v/>
      </c>
      <c r="BJ18" s="32">
        <f>BJ15+BJ16</f>
        <v/>
      </c>
      <c r="BK18" s="32">
        <f>BK15+BK16</f>
        <v/>
      </c>
    </row>
    <row r="19">
      <c r="A19" s="25" t="inlineStr">
        <is>
          <t>…held in digital gold (lever)</t>
        </is>
      </c>
      <c r="B19" s="28" t="inlineStr">
        <is>
          <t>₹</t>
        </is>
      </c>
      <c r="C19" s="30" t="n">
        <v>0</v>
      </c>
      <c r="D19" s="32">
        <f>D18*gold_on*gold_share</f>
        <v/>
      </c>
      <c r="E19" s="32">
        <f>E18*gold_on*gold_share</f>
        <v/>
      </c>
      <c r="F19" s="32">
        <f>F18*gold_on*gold_share</f>
        <v/>
      </c>
      <c r="G19" s="32">
        <f>G18*gold_on*gold_share</f>
        <v/>
      </c>
      <c r="H19" s="32">
        <f>H18*gold_on*gold_share</f>
        <v/>
      </c>
      <c r="I19" s="32">
        <f>I18*gold_on*gold_share</f>
        <v/>
      </c>
      <c r="J19" s="32">
        <f>J18*gold_on*gold_share</f>
        <v/>
      </c>
      <c r="K19" s="32">
        <f>K18*gold_on*gold_share</f>
        <v/>
      </c>
      <c r="L19" s="32">
        <f>L18*gold_on*gold_share</f>
        <v/>
      </c>
      <c r="M19" s="32">
        <f>M18*gold_on*gold_share</f>
        <v/>
      </c>
      <c r="N19" s="32">
        <f>N18*gold_on*gold_share</f>
        <v/>
      </c>
      <c r="O19" s="32">
        <f>O18*gold_on*gold_share</f>
        <v/>
      </c>
      <c r="P19" s="32">
        <f>P18*gold_on*gold_share</f>
        <v/>
      </c>
      <c r="Q19" s="32">
        <f>Q18*gold_on*gold_share</f>
        <v/>
      </c>
      <c r="R19" s="32">
        <f>R18*gold_on*gold_share</f>
        <v/>
      </c>
      <c r="S19" s="32">
        <f>S18*gold_on*gold_share</f>
        <v/>
      </c>
      <c r="T19" s="32">
        <f>T18*gold_on*gold_share</f>
        <v/>
      </c>
      <c r="U19" s="32">
        <f>U18*gold_on*gold_share</f>
        <v/>
      </c>
      <c r="V19" s="32">
        <f>V18*gold_on*gold_share</f>
        <v/>
      </c>
      <c r="W19" s="32">
        <f>W18*gold_on*gold_share</f>
        <v/>
      </c>
      <c r="X19" s="32">
        <f>X18*gold_on*gold_share</f>
        <v/>
      </c>
      <c r="Y19" s="32">
        <f>Y18*gold_on*gold_share</f>
        <v/>
      </c>
      <c r="Z19" s="32">
        <f>Z18*gold_on*gold_share</f>
        <v/>
      </c>
      <c r="AA19" s="32">
        <f>AA18*gold_on*gold_share</f>
        <v/>
      </c>
      <c r="AB19" s="32">
        <f>AB18*gold_on*gold_share</f>
        <v/>
      </c>
      <c r="AC19" s="32">
        <f>AC18*gold_on*gold_share</f>
        <v/>
      </c>
      <c r="AD19" s="32">
        <f>AD18*gold_on*gold_share</f>
        <v/>
      </c>
      <c r="AE19" s="32">
        <f>AE18*gold_on*gold_share</f>
        <v/>
      </c>
      <c r="AF19" s="32">
        <f>AF18*gold_on*gold_share</f>
        <v/>
      </c>
      <c r="AG19" s="32">
        <f>AG18*gold_on*gold_share</f>
        <v/>
      </c>
      <c r="AH19" s="32">
        <f>AH18*gold_on*gold_share</f>
        <v/>
      </c>
      <c r="AI19" s="32">
        <f>AI18*gold_on*gold_share</f>
        <v/>
      </c>
      <c r="AJ19" s="32">
        <f>AJ18*gold_on*gold_share</f>
        <v/>
      </c>
      <c r="AK19" s="32">
        <f>AK18*gold_on*gold_share</f>
        <v/>
      </c>
      <c r="AL19" s="32">
        <f>AL18*gold_on*gold_share</f>
        <v/>
      </c>
      <c r="AM19" s="32">
        <f>AM18*gold_on*gold_share</f>
        <v/>
      </c>
      <c r="AN19" s="32">
        <f>AN18*gold_on*gold_share</f>
        <v/>
      </c>
      <c r="AO19" s="32">
        <f>AO18*gold_on*gold_share</f>
        <v/>
      </c>
      <c r="AP19" s="32">
        <f>AP18*gold_on*gold_share</f>
        <v/>
      </c>
      <c r="AQ19" s="32">
        <f>AQ18*gold_on*gold_share</f>
        <v/>
      </c>
      <c r="AR19" s="32">
        <f>AR18*gold_on*gold_share</f>
        <v/>
      </c>
      <c r="AS19" s="32">
        <f>AS18*gold_on*gold_share</f>
        <v/>
      </c>
      <c r="AT19" s="32">
        <f>AT18*gold_on*gold_share</f>
        <v/>
      </c>
      <c r="AU19" s="32">
        <f>AU18*gold_on*gold_share</f>
        <v/>
      </c>
      <c r="AV19" s="32">
        <f>AV18*gold_on*gold_share</f>
        <v/>
      </c>
      <c r="AW19" s="32">
        <f>AW18*gold_on*gold_share</f>
        <v/>
      </c>
      <c r="AX19" s="32">
        <f>AX18*gold_on*gold_share</f>
        <v/>
      </c>
      <c r="AY19" s="32">
        <f>AY18*gold_on*gold_share</f>
        <v/>
      </c>
      <c r="AZ19" s="32">
        <f>AZ18*gold_on*gold_share</f>
        <v/>
      </c>
      <c r="BA19" s="32">
        <f>BA18*gold_on*gold_share</f>
        <v/>
      </c>
      <c r="BB19" s="32">
        <f>BB18*gold_on*gold_share</f>
        <v/>
      </c>
      <c r="BC19" s="32">
        <f>BC18*gold_on*gold_share</f>
        <v/>
      </c>
      <c r="BD19" s="32">
        <f>BD18*gold_on*gold_share</f>
        <v/>
      </c>
      <c r="BE19" s="32">
        <f>BE18*gold_on*gold_share</f>
        <v/>
      </c>
      <c r="BF19" s="32">
        <f>BF18*gold_on*gold_share</f>
        <v/>
      </c>
      <c r="BG19" s="32">
        <f>BG18*gold_on*gold_share</f>
        <v/>
      </c>
      <c r="BH19" s="32">
        <f>BH18*gold_on*gold_share</f>
        <v/>
      </c>
      <c r="BI19" s="32">
        <f>BI18*gold_on*gold_share</f>
        <v/>
      </c>
      <c r="BJ19" s="32">
        <f>BJ18*gold_on*gold_share</f>
        <v/>
      </c>
      <c r="BK19" s="32">
        <f>BK18*gold_on*gold_share</f>
        <v/>
      </c>
    </row>
    <row r="20">
      <c r="A20" s="25" t="inlineStr">
        <is>
          <t>…held in bank FDs</t>
        </is>
      </c>
      <c r="B20" s="28" t="inlineStr">
        <is>
          <t>₹</t>
        </is>
      </c>
      <c r="C20" s="30" t="n">
        <v>0</v>
      </c>
      <c r="D20" s="32">
        <f>IF(D$4&gt;=fd_start,(D18-D19)*fd_share,0)</f>
        <v/>
      </c>
      <c r="E20" s="32">
        <f>IF(E$4&gt;=fd_start,(E18-E19)*fd_share,0)</f>
        <v/>
      </c>
      <c r="F20" s="32">
        <f>IF(F$4&gt;=fd_start,(F18-F19)*fd_share,0)</f>
        <v/>
      </c>
      <c r="G20" s="32">
        <f>IF(G$4&gt;=fd_start,(G18-G19)*fd_share,0)</f>
        <v/>
      </c>
      <c r="H20" s="32">
        <f>IF(H$4&gt;=fd_start,(H18-H19)*fd_share,0)</f>
        <v/>
      </c>
      <c r="I20" s="32">
        <f>IF(I$4&gt;=fd_start,(I18-I19)*fd_share,0)</f>
        <v/>
      </c>
      <c r="J20" s="32">
        <f>IF(J$4&gt;=fd_start,(J18-J19)*fd_share,0)</f>
        <v/>
      </c>
      <c r="K20" s="32">
        <f>IF(K$4&gt;=fd_start,(K18-K19)*fd_share,0)</f>
        <v/>
      </c>
      <c r="L20" s="32">
        <f>IF(L$4&gt;=fd_start,(L18-L19)*fd_share,0)</f>
        <v/>
      </c>
      <c r="M20" s="32">
        <f>IF(M$4&gt;=fd_start,(M18-M19)*fd_share,0)</f>
        <v/>
      </c>
      <c r="N20" s="32">
        <f>IF(N$4&gt;=fd_start,(N18-N19)*fd_share,0)</f>
        <v/>
      </c>
      <c r="O20" s="32">
        <f>IF(O$4&gt;=fd_start,(O18-O19)*fd_share,0)</f>
        <v/>
      </c>
      <c r="P20" s="32">
        <f>IF(P$4&gt;=fd_start,(P18-P19)*fd_share,0)</f>
        <v/>
      </c>
      <c r="Q20" s="32">
        <f>IF(Q$4&gt;=fd_start,(Q18-Q19)*fd_share,0)</f>
        <v/>
      </c>
      <c r="R20" s="32">
        <f>IF(R$4&gt;=fd_start,(R18-R19)*fd_share,0)</f>
        <v/>
      </c>
      <c r="S20" s="32">
        <f>IF(S$4&gt;=fd_start,(S18-S19)*fd_share,0)</f>
        <v/>
      </c>
      <c r="T20" s="32">
        <f>IF(T$4&gt;=fd_start,(T18-T19)*fd_share,0)</f>
        <v/>
      </c>
      <c r="U20" s="32">
        <f>IF(U$4&gt;=fd_start,(U18-U19)*fd_share,0)</f>
        <v/>
      </c>
      <c r="V20" s="32">
        <f>IF(V$4&gt;=fd_start,(V18-V19)*fd_share,0)</f>
        <v/>
      </c>
      <c r="W20" s="32">
        <f>IF(W$4&gt;=fd_start,(W18-W19)*fd_share,0)</f>
        <v/>
      </c>
      <c r="X20" s="32">
        <f>IF(X$4&gt;=fd_start,(X18-X19)*fd_share,0)</f>
        <v/>
      </c>
      <c r="Y20" s="32">
        <f>IF(Y$4&gt;=fd_start,(Y18-Y19)*fd_share,0)</f>
        <v/>
      </c>
      <c r="Z20" s="32">
        <f>IF(Z$4&gt;=fd_start,(Z18-Z19)*fd_share,0)</f>
        <v/>
      </c>
      <c r="AA20" s="32">
        <f>IF(AA$4&gt;=fd_start,(AA18-AA19)*fd_share,0)</f>
        <v/>
      </c>
      <c r="AB20" s="32">
        <f>IF(AB$4&gt;=fd_start,(AB18-AB19)*fd_share,0)</f>
        <v/>
      </c>
      <c r="AC20" s="32">
        <f>IF(AC$4&gt;=fd_start,(AC18-AC19)*fd_share,0)</f>
        <v/>
      </c>
      <c r="AD20" s="32">
        <f>IF(AD$4&gt;=fd_start,(AD18-AD19)*fd_share,0)</f>
        <v/>
      </c>
      <c r="AE20" s="32">
        <f>IF(AE$4&gt;=fd_start,(AE18-AE19)*fd_share,0)</f>
        <v/>
      </c>
      <c r="AF20" s="32">
        <f>IF(AF$4&gt;=fd_start,(AF18-AF19)*fd_share,0)</f>
        <v/>
      </c>
      <c r="AG20" s="32">
        <f>IF(AG$4&gt;=fd_start,(AG18-AG19)*fd_share,0)</f>
        <v/>
      </c>
      <c r="AH20" s="32">
        <f>IF(AH$4&gt;=fd_start,(AH18-AH19)*fd_share,0)</f>
        <v/>
      </c>
      <c r="AI20" s="32">
        <f>IF(AI$4&gt;=fd_start,(AI18-AI19)*fd_share,0)</f>
        <v/>
      </c>
      <c r="AJ20" s="32">
        <f>IF(AJ$4&gt;=fd_start,(AJ18-AJ19)*fd_share,0)</f>
        <v/>
      </c>
      <c r="AK20" s="32">
        <f>IF(AK$4&gt;=fd_start,(AK18-AK19)*fd_share,0)</f>
        <v/>
      </c>
      <c r="AL20" s="32">
        <f>IF(AL$4&gt;=fd_start,(AL18-AL19)*fd_share,0)</f>
        <v/>
      </c>
      <c r="AM20" s="32">
        <f>IF(AM$4&gt;=fd_start,(AM18-AM19)*fd_share,0)</f>
        <v/>
      </c>
      <c r="AN20" s="32">
        <f>IF(AN$4&gt;=fd_start,(AN18-AN19)*fd_share,0)</f>
        <v/>
      </c>
      <c r="AO20" s="32">
        <f>IF(AO$4&gt;=fd_start,(AO18-AO19)*fd_share,0)</f>
        <v/>
      </c>
      <c r="AP20" s="32">
        <f>IF(AP$4&gt;=fd_start,(AP18-AP19)*fd_share,0)</f>
        <v/>
      </c>
      <c r="AQ20" s="32">
        <f>IF(AQ$4&gt;=fd_start,(AQ18-AQ19)*fd_share,0)</f>
        <v/>
      </c>
      <c r="AR20" s="32">
        <f>IF(AR$4&gt;=fd_start,(AR18-AR19)*fd_share,0)</f>
        <v/>
      </c>
      <c r="AS20" s="32">
        <f>IF(AS$4&gt;=fd_start,(AS18-AS19)*fd_share,0)</f>
        <v/>
      </c>
      <c r="AT20" s="32">
        <f>IF(AT$4&gt;=fd_start,(AT18-AT19)*fd_share,0)</f>
        <v/>
      </c>
      <c r="AU20" s="32">
        <f>IF(AU$4&gt;=fd_start,(AU18-AU19)*fd_share,0)</f>
        <v/>
      </c>
      <c r="AV20" s="32">
        <f>IF(AV$4&gt;=fd_start,(AV18-AV19)*fd_share,0)</f>
        <v/>
      </c>
      <c r="AW20" s="32">
        <f>IF(AW$4&gt;=fd_start,(AW18-AW19)*fd_share,0)</f>
        <v/>
      </c>
      <c r="AX20" s="32">
        <f>IF(AX$4&gt;=fd_start,(AX18-AX19)*fd_share,0)</f>
        <v/>
      </c>
      <c r="AY20" s="32">
        <f>IF(AY$4&gt;=fd_start,(AY18-AY19)*fd_share,0)</f>
        <v/>
      </c>
      <c r="AZ20" s="32">
        <f>IF(AZ$4&gt;=fd_start,(AZ18-AZ19)*fd_share,0)</f>
        <v/>
      </c>
      <c r="BA20" s="32">
        <f>IF(BA$4&gt;=fd_start,(BA18-BA19)*fd_share,0)</f>
        <v/>
      </c>
      <c r="BB20" s="32">
        <f>IF(BB$4&gt;=fd_start,(BB18-BB19)*fd_share,0)</f>
        <v/>
      </c>
      <c r="BC20" s="32">
        <f>IF(BC$4&gt;=fd_start,(BC18-BC19)*fd_share,0)</f>
        <v/>
      </c>
      <c r="BD20" s="32">
        <f>IF(BD$4&gt;=fd_start,(BD18-BD19)*fd_share,0)</f>
        <v/>
      </c>
      <c r="BE20" s="32">
        <f>IF(BE$4&gt;=fd_start,(BE18-BE19)*fd_share,0)</f>
        <v/>
      </c>
      <c r="BF20" s="32">
        <f>IF(BF$4&gt;=fd_start,(BF18-BF19)*fd_share,0)</f>
        <v/>
      </c>
      <c r="BG20" s="32">
        <f>IF(BG$4&gt;=fd_start,(BG18-BG19)*fd_share,0)</f>
        <v/>
      </c>
      <c r="BH20" s="32">
        <f>IF(BH$4&gt;=fd_start,(BH18-BH19)*fd_share,0)</f>
        <v/>
      </c>
      <c r="BI20" s="32">
        <f>IF(BI$4&gt;=fd_start,(BI18-BI19)*fd_share,0)</f>
        <v/>
      </c>
      <c r="BJ20" s="32">
        <f>IF(BJ$4&gt;=fd_start,(BJ18-BJ19)*fd_share,0)</f>
        <v/>
      </c>
      <c r="BK20" s="32">
        <f>IF(BK$4&gt;=fd_start,(BK18-BK19)*fd_share,0)</f>
        <v/>
      </c>
    </row>
    <row r="21">
      <c r="A21" s="25" t="inlineStr">
        <is>
          <t>…held in the liquid fund</t>
        </is>
      </c>
      <c r="B21" s="28" t="inlineStr">
        <is>
          <t>₹</t>
        </is>
      </c>
      <c r="C21" s="30" t="n">
        <v>0</v>
      </c>
      <c r="D21" s="32">
        <f>D18-D19-D20</f>
        <v/>
      </c>
      <c r="E21" s="32">
        <f>E18-E19-E20</f>
        <v/>
      </c>
      <c r="F21" s="32">
        <f>F18-F19-F20</f>
        <v/>
      </c>
      <c r="G21" s="32">
        <f>G18-G19-G20</f>
        <v/>
      </c>
      <c r="H21" s="32">
        <f>H18-H19-H20</f>
        <v/>
      </c>
      <c r="I21" s="32">
        <f>I18-I19-I20</f>
        <v/>
      </c>
      <c r="J21" s="32">
        <f>J18-J19-J20</f>
        <v/>
      </c>
      <c r="K21" s="32">
        <f>K18-K19-K20</f>
        <v/>
      </c>
      <c r="L21" s="32">
        <f>L18-L19-L20</f>
        <v/>
      </c>
      <c r="M21" s="32">
        <f>M18-M19-M20</f>
        <v/>
      </c>
      <c r="N21" s="32">
        <f>N18-N19-N20</f>
        <v/>
      </c>
      <c r="O21" s="32">
        <f>O18-O19-O20</f>
        <v/>
      </c>
      <c r="P21" s="32">
        <f>P18-P19-P20</f>
        <v/>
      </c>
      <c r="Q21" s="32">
        <f>Q18-Q19-Q20</f>
        <v/>
      </c>
      <c r="R21" s="32">
        <f>R18-R19-R20</f>
        <v/>
      </c>
      <c r="S21" s="32">
        <f>S18-S19-S20</f>
        <v/>
      </c>
      <c r="T21" s="32">
        <f>T18-T19-T20</f>
        <v/>
      </c>
      <c r="U21" s="32">
        <f>U18-U19-U20</f>
        <v/>
      </c>
      <c r="V21" s="32">
        <f>V18-V19-V20</f>
        <v/>
      </c>
      <c r="W21" s="32">
        <f>W18-W19-W20</f>
        <v/>
      </c>
      <c r="X21" s="32">
        <f>X18-X19-X20</f>
        <v/>
      </c>
      <c r="Y21" s="32">
        <f>Y18-Y19-Y20</f>
        <v/>
      </c>
      <c r="Z21" s="32">
        <f>Z18-Z19-Z20</f>
        <v/>
      </c>
      <c r="AA21" s="32">
        <f>AA18-AA19-AA20</f>
        <v/>
      </c>
      <c r="AB21" s="32">
        <f>AB18-AB19-AB20</f>
        <v/>
      </c>
      <c r="AC21" s="32">
        <f>AC18-AC19-AC20</f>
        <v/>
      </c>
      <c r="AD21" s="32">
        <f>AD18-AD19-AD20</f>
        <v/>
      </c>
      <c r="AE21" s="32">
        <f>AE18-AE19-AE20</f>
        <v/>
      </c>
      <c r="AF21" s="32">
        <f>AF18-AF19-AF20</f>
        <v/>
      </c>
      <c r="AG21" s="32">
        <f>AG18-AG19-AG20</f>
        <v/>
      </c>
      <c r="AH21" s="32">
        <f>AH18-AH19-AH20</f>
        <v/>
      </c>
      <c r="AI21" s="32">
        <f>AI18-AI19-AI20</f>
        <v/>
      </c>
      <c r="AJ21" s="32">
        <f>AJ18-AJ19-AJ20</f>
        <v/>
      </c>
      <c r="AK21" s="32">
        <f>AK18-AK19-AK20</f>
        <v/>
      </c>
      <c r="AL21" s="32">
        <f>AL18-AL19-AL20</f>
        <v/>
      </c>
      <c r="AM21" s="32">
        <f>AM18-AM19-AM20</f>
        <v/>
      </c>
      <c r="AN21" s="32">
        <f>AN18-AN19-AN20</f>
        <v/>
      </c>
      <c r="AO21" s="32">
        <f>AO18-AO19-AO20</f>
        <v/>
      </c>
      <c r="AP21" s="32">
        <f>AP18-AP19-AP20</f>
        <v/>
      </c>
      <c r="AQ21" s="32">
        <f>AQ18-AQ19-AQ20</f>
        <v/>
      </c>
      <c r="AR21" s="32">
        <f>AR18-AR19-AR20</f>
        <v/>
      </c>
      <c r="AS21" s="32">
        <f>AS18-AS19-AS20</f>
        <v/>
      </c>
      <c r="AT21" s="32">
        <f>AT18-AT19-AT20</f>
        <v/>
      </c>
      <c r="AU21" s="32">
        <f>AU18-AU19-AU20</f>
        <v/>
      </c>
      <c r="AV21" s="32">
        <f>AV18-AV19-AV20</f>
        <v/>
      </c>
      <c r="AW21" s="32">
        <f>AW18-AW19-AW20</f>
        <v/>
      </c>
      <c r="AX21" s="32">
        <f>AX18-AX19-AX20</f>
        <v/>
      </c>
      <c r="AY21" s="32">
        <f>AY18-AY19-AY20</f>
        <v/>
      </c>
      <c r="AZ21" s="32">
        <f>AZ18-AZ19-AZ20</f>
        <v/>
      </c>
      <c r="BA21" s="32">
        <f>BA18-BA19-BA20</f>
        <v/>
      </c>
      <c r="BB21" s="32">
        <f>BB18-BB19-BB20</f>
        <v/>
      </c>
      <c r="BC21" s="32">
        <f>BC18-BC19-BC20</f>
        <v/>
      </c>
      <c r="BD21" s="32">
        <f>BD18-BD19-BD20</f>
        <v/>
      </c>
      <c r="BE21" s="32">
        <f>BE18-BE19-BE20</f>
        <v/>
      </c>
      <c r="BF21" s="32">
        <f>BF18-BF19-BF20</f>
        <v/>
      </c>
      <c r="BG21" s="32">
        <f>BG18-BG19-BG20</f>
        <v/>
      </c>
      <c r="BH21" s="32">
        <f>BH18-BH19-BH20</f>
        <v/>
      </c>
      <c r="BI21" s="32">
        <f>BI18-BI19-BI20</f>
        <v/>
      </c>
      <c r="BJ21" s="32">
        <f>BJ18-BJ19-BJ20</f>
        <v/>
      </c>
      <c r="BK21" s="32">
        <f>BK18-BK19-BK20</f>
        <v/>
      </c>
    </row>
    <row r="22">
      <c r="A22" s="6" t="inlineStr">
        <is>
          <t>Loans through partner lenders (we are the loan service provider; the lender's money)</t>
        </is>
      </c>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c r="AR22" s="7" t="n"/>
      <c r="AS22" s="7" t="n"/>
      <c r="AT22" s="7" t="n"/>
      <c r="AU22" s="7" t="n"/>
      <c r="AV22" s="7" t="n"/>
      <c r="AW22" s="7" t="n"/>
      <c r="AX22" s="7" t="n"/>
      <c r="AY22" s="7" t="n"/>
      <c r="AZ22" s="7" t="n"/>
      <c r="BA22" s="7" t="n"/>
      <c r="BB22" s="7" t="n"/>
      <c r="BC22" s="7" t="n"/>
      <c r="BD22" s="7" t="n"/>
      <c r="BE22" s="7" t="n"/>
      <c r="BF22" s="7" t="n"/>
      <c r="BG22" s="7" t="n"/>
      <c r="BH22" s="7" t="n"/>
      <c r="BI22" s="7" t="n"/>
      <c r="BJ22" s="7" t="n"/>
      <c r="BK22" s="7" t="n"/>
    </row>
    <row r="23">
      <c r="A23" s="25" t="inlineStr">
        <is>
          <t>Share of active savers who have borrowed</t>
        </is>
      </c>
      <c r="B23" s="28" t="inlineStr">
        <is>
          <t>share</t>
        </is>
      </c>
      <c r="C23" s="29" t="n">
        <v>0</v>
      </c>
      <c r="D23" s="31">
        <f>IF(D$4&gt;=loan_start,C23+(loan_eligible-C23)*loan_apply*loan_approval,0)</f>
        <v/>
      </c>
      <c r="E23" s="31">
        <f>IF(E$4&gt;=loan_start,D23+(loan_eligible-D23)*loan_apply*loan_approval,0)</f>
        <v/>
      </c>
      <c r="F23" s="31">
        <f>IF(F$4&gt;=loan_start,E23+(loan_eligible-E23)*loan_apply*loan_approval,0)</f>
        <v/>
      </c>
      <c r="G23" s="31">
        <f>IF(G$4&gt;=loan_start,F23+(loan_eligible-F23)*loan_apply*loan_approval,0)</f>
        <v/>
      </c>
      <c r="H23" s="31">
        <f>IF(H$4&gt;=loan_start,G23+(loan_eligible-G23)*loan_apply*loan_approval,0)</f>
        <v/>
      </c>
      <c r="I23" s="31">
        <f>IF(I$4&gt;=loan_start,H23+(loan_eligible-H23)*loan_apply*loan_approval,0)</f>
        <v/>
      </c>
      <c r="J23" s="31">
        <f>IF(J$4&gt;=loan_start,I23+(loan_eligible-I23)*loan_apply*loan_approval,0)</f>
        <v/>
      </c>
      <c r="K23" s="31">
        <f>IF(K$4&gt;=loan_start,J23+(loan_eligible-J23)*loan_apply*loan_approval,0)</f>
        <v/>
      </c>
      <c r="L23" s="31">
        <f>IF(L$4&gt;=loan_start,K23+(loan_eligible-K23)*loan_apply*loan_approval,0)</f>
        <v/>
      </c>
      <c r="M23" s="31">
        <f>IF(M$4&gt;=loan_start,L23+(loan_eligible-L23)*loan_apply*loan_approval,0)</f>
        <v/>
      </c>
      <c r="N23" s="31">
        <f>IF(N$4&gt;=loan_start,M23+(loan_eligible-M23)*loan_apply*loan_approval,0)</f>
        <v/>
      </c>
      <c r="O23" s="31">
        <f>IF(O$4&gt;=loan_start,N23+(loan_eligible-N23)*loan_apply*loan_approval,0)</f>
        <v/>
      </c>
      <c r="P23" s="31">
        <f>IF(P$4&gt;=loan_start,O23+(loan_eligible-O23)*loan_apply*loan_approval,0)</f>
        <v/>
      </c>
      <c r="Q23" s="31">
        <f>IF(Q$4&gt;=loan_start,P23+(loan_eligible-P23)*loan_apply*loan_approval,0)</f>
        <v/>
      </c>
      <c r="R23" s="31">
        <f>IF(R$4&gt;=loan_start,Q23+(loan_eligible-Q23)*loan_apply*loan_approval,0)</f>
        <v/>
      </c>
      <c r="S23" s="31">
        <f>IF(S$4&gt;=loan_start,R23+(loan_eligible-R23)*loan_apply*loan_approval,0)</f>
        <v/>
      </c>
      <c r="T23" s="31">
        <f>IF(T$4&gt;=loan_start,S23+(loan_eligible-S23)*loan_apply*loan_approval,0)</f>
        <v/>
      </c>
      <c r="U23" s="31">
        <f>IF(U$4&gt;=loan_start,T23+(loan_eligible-T23)*loan_apply*loan_approval,0)</f>
        <v/>
      </c>
      <c r="V23" s="31">
        <f>IF(V$4&gt;=loan_start,U23+(loan_eligible-U23)*loan_apply*loan_approval,0)</f>
        <v/>
      </c>
      <c r="W23" s="31">
        <f>IF(W$4&gt;=loan_start,V23+(loan_eligible-V23)*loan_apply*loan_approval,0)</f>
        <v/>
      </c>
      <c r="X23" s="31">
        <f>IF(X$4&gt;=loan_start,W23+(loan_eligible-W23)*loan_apply*loan_approval,0)</f>
        <v/>
      </c>
      <c r="Y23" s="31">
        <f>IF(Y$4&gt;=loan_start,X23+(loan_eligible-X23)*loan_apply*loan_approval,0)</f>
        <v/>
      </c>
      <c r="Z23" s="31">
        <f>IF(Z$4&gt;=loan_start,Y23+(loan_eligible-Y23)*loan_apply*loan_approval,0)</f>
        <v/>
      </c>
      <c r="AA23" s="31">
        <f>IF(AA$4&gt;=loan_start,Z23+(loan_eligible-Z23)*loan_apply*loan_approval,0)</f>
        <v/>
      </c>
      <c r="AB23" s="31">
        <f>IF(AB$4&gt;=loan_start,AA23+(loan_eligible-AA23)*loan_apply*loan_approval,0)</f>
        <v/>
      </c>
      <c r="AC23" s="31">
        <f>IF(AC$4&gt;=loan_start,AB23+(loan_eligible-AB23)*loan_apply*loan_approval,0)</f>
        <v/>
      </c>
      <c r="AD23" s="31">
        <f>IF(AD$4&gt;=loan_start,AC23+(loan_eligible-AC23)*loan_apply*loan_approval,0)</f>
        <v/>
      </c>
      <c r="AE23" s="31">
        <f>IF(AE$4&gt;=loan_start,AD23+(loan_eligible-AD23)*loan_apply*loan_approval,0)</f>
        <v/>
      </c>
      <c r="AF23" s="31">
        <f>IF(AF$4&gt;=loan_start,AE23+(loan_eligible-AE23)*loan_apply*loan_approval,0)</f>
        <v/>
      </c>
      <c r="AG23" s="31">
        <f>IF(AG$4&gt;=loan_start,AF23+(loan_eligible-AF23)*loan_apply*loan_approval,0)</f>
        <v/>
      </c>
      <c r="AH23" s="31">
        <f>IF(AH$4&gt;=loan_start,AG23+(loan_eligible-AG23)*loan_apply*loan_approval,0)</f>
        <v/>
      </c>
      <c r="AI23" s="31">
        <f>IF(AI$4&gt;=loan_start,AH23+(loan_eligible-AH23)*loan_apply*loan_approval,0)</f>
        <v/>
      </c>
      <c r="AJ23" s="31">
        <f>IF(AJ$4&gt;=loan_start,AI23+(loan_eligible-AI23)*loan_apply*loan_approval,0)</f>
        <v/>
      </c>
      <c r="AK23" s="31">
        <f>IF(AK$4&gt;=loan_start,AJ23+(loan_eligible-AJ23)*loan_apply*loan_approval,0)</f>
        <v/>
      </c>
      <c r="AL23" s="31">
        <f>IF(AL$4&gt;=loan_start,AK23+(loan_eligible-AK23)*loan_apply*loan_approval,0)</f>
        <v/>
      </c>
      <c r="AM23" s="31">
        <f>IF(AM$4&gt;=loan_start,AL23+(loan_eligible-AL23)*loan_apply*loan_approval,0)</f>
        <v/>
      </c>
      <c r="AN23" s="31">
        <f>IF(AN$4&gt;=loan_start,AM23+(loan_eligible-AM23)*loan_apply*loan_approval,0)</f>
        <v/>
      </c>
      <c r="AO23" s="31">
        <f>IF(AO$4&gt;=loan_start,AN23+(loan_eligible-AN23)*loan_apply*loan_approval,0)</f>
        <v/>
      </c>
      <c r="AP23" s="31">
        <f>IF(AP$4&gt;=loan_start,AO23+(loan_eligible-AO23)*loan_apply*loan_approval,0)</f>
        <v/>
      </c>
      <c r="AQ23" s="31">
        <f>IF(AQ$4&gt;=loan_start,AP23+(loan_eligible-AP23)*loan_apply*loan_approval,0)</f>
        <v/>
      </c>
      <c r="AR23" s="31">
        <f>IF(AR$4&gt;=loan_start,AQ23+(loan_eligible-AQ23)*loan_apply*loan_approval,0)</f>
        <v/>
      </c>
      <c r="AS23" s="31">
        <f>IF(AS$4&gt;=loan_start,AR23+(loan_eligible-AR23)*loan_apply*loan_approval,0)</f>
        <v/>
      </c>
      <c r="AT23" s="31">
        <f>IF(AT$4&gt;=loan_start,AS23+(loan_eligible-AS23)*loan_apply*loan_approval,0)</f>
        <v/>
      </c>
      <c r="AU23" s="31">
        <f>IF(AU$4&gt;=loan_start,AT23+(loan_eligible-AT23)*loan_apply*loan_approval,0)</f>
        <v/>
      </c>
      <c r="AV23" s="31">
        <f>IF(AV$4&gt;=loan_start,AU23+(loan_eligible-AU23)*loan_apply*loan_approval,0)</f>
        <v/>
      </c>
      <c r="AW23" s="31">
        <f>IF(AW$4&gt;=loan_start,AV23+(loan_eligible-AV23)*loan_apply*loan_approval,0)</f>
        <v/>
      </c>
      <c r="AX23" s="31">
        <f>IF(AX$4&gt;=loan_start,AW23+(loan_eligible-AW23)*loan_apply*loan_approval,0)</f>
        <v/>
      </c>
      <c r="AY23" s="31">
        <f>IF(AY$4&gt;=loan_start,AX23+(loan_eligible-AX23)*loan_apply*loan_approval,0)</f>
        <v/>
      </c>
      <c r="AZ23" s="31">
        <f>IF(AZ$4&gt;=loan_start,AY23+(loan_eligible-AY23)*loan_apply*loan_approval,0)</f>
        <v/>
      </c>
      <c r="BA23" s="31">
        <f>IF(BA$4&gt;=loan_start,AZ23+(loan_eligible-AZ23)*loan_apply*loan_approval,0)</f>
        <v/>
      </c>
      <c r="BB23" s="31">
        <f>IF(BB$4&gt;=loan_start,BA23+(loan_eligible-BA23)*loan_apply*loan_approval,0)</f>
        <v/>
      </c>
      <c r="BC23" s="31">
        <f>IF(BC$4&gt;=loan_start,BB23+(loan_eligible-BB23)*loan_apply*loan_approval,0)</f>
        <v/>
      </c>
      <c r="BD23" s="31">
        <f>IF(BD$4&gt;=loan_start,BC23+(loan_eligible-BC23)*loan_apply*loan_approval,0)</f>
        <v/>
      </c>
      <c r="BE23" s="31">
        <f>IF(BE$4&gt;=loan_start,BD23+(loan_eligible-BD23)*loan_apply*loan_approval,0)</f>
        <v/>
      </c>
      <c r="BF23" s="31">
        <f>IF(BF$4&gt;=loan_start,BE23+(loan_eligible-BE23)*loan_apply*loan_approval,0)</f>
        <v/>
      </c>
      <c r="BG23" s="31">
        <f>IF(BG$4&gt;=loan_start,BF23+(loan_eligible-BF23)*loan_apply*loan_approval,0)</f>
        <v/>
      </c>
      <c r="BH23" s="31">
        <f>IF(BH$4&gt;=loan_start,BG23+(loan_eligible-BG23)*loan_apply*loan_approval,0)</f>
        <v/>
      </c>
      <c r="BI23" s="31">
        <f>IF(BI$4&gt;=loan_start,BH23+(loan_eligible-BH23)*loan_apply*loan_approval,0)</f>
        <v/>
      </c>
      <c r="BJ23" s="31">
        <f>IF(BJ$4&gt;=loan_start,BI23+(loan_eligible-BI23)*loan_apply*loan_approval,0)</f>
        <v/>
      </c>
      <c r="BK23" s="31">
        <f>IF(BK$4&gt;=loan_start,BJ23+(loan_eligible-BJ23)*loan_apply*loan_approval,0)</f>
        <v/>
      </c>
    </row>
    <row r="24">
      <c r="A24" s="25" t="inlineStr">
        <is>
          <t>Loan 1 (secured against savings): first loans</t>
        </is>
      </c>
      <c r="B24" s="28" t="inlineStr">
        <is>
          <t>loans</t>
        </is>
      </c>
      <c r="C24" s="42" t="n">
        <v>0</v>
      </c>
      <c r="D24" s="43">
        <f>IF(D$4&gt;=loan_start,D7*(loan_eligible-C23)*loan_apply*loan_approval,0)</f>
        <v/>
      </c>
      <c r="E24" s="43">
        <f>IF(E$4&gt;=loan_start,E7*(loan_eligible-D23)*loan_apply*loan_approval,0)</f>
        <v/>
      </c>
      <c r="F24" s="43">
        <f>IF(F$4&gt;=loan_start,F7*(loan_eligible-E23)*loan_apply*loan_approval,0)</f>
        <v/>
      </c>
      <c r="G24" s="43">
        <f>IF(G$4&gt;=loan_start,G7*(loan_eligible-F23)*loan_apply*loan_approval,0)</f>
        <v/>
      </c>
      <c r="H24" s="43">
        <f>IF(H$4&gt;=loan_start,H7*(loan_eligible-G23)*loan_apply*loan_approval,0)</f>
        <v/>
      </c>
      <c r="I24" s="43">
        <f>IF(I$4&gt;=loan_start,I7*(loan_eligible-H23)*loan_apply*loan_approval,0)</f>
        <v/>
      </c>
      <c r="J24" s="43">
        <f>IF(J$4&gt;=loan_start,J7*(loan_eligible-I23)*loan_apply*loan_approval,0)</f>
        <v/>
      </c>
      <c r="K24" s="43">
        <f>IF(K$4&gt;=loan_start,K7*(loan_eligible-J23)*loan_apply*loan_approval,0)</f>
        <v/>
      </c>
      <c r="L24" s="43">
        <f>IF(L$4&gt;=loan_start,L7*(loan_eligible-K23)*loan_apply*loan_approval,0)</f>
        <v/>
      </c>
      <c r="M24" s="43">
        <f>IF(M$4&gt;=loan_start,M7*(loan_eligible-L23)*loan_apply*loan_approval,0)</f>
        <v/>
      </c>
      <c r="N24" s="43">
        <f>IF(N$4&gt;=loan_start,N7*(loan_eligible-M23)*loan_apply*loan_approval,0)</f>
        <v/>
      </c>
      <c r="O24" s="43">
        <f>IF(O$4&gt;=loan_start,O7*(loan_eligible-N23)*loan_apply*loan_approval,0)</f>
        <v/>
      </c>
      <c r="P24" s="43">
        <f>IF(P$4&gt;=loan_start,P7*(loan_eligible-O23)*loan_apply*loan_approval,0)</f>
        <v/>
      </c>
      <c r="Q24" s="43">
        <f>IF(Q$4&gt;=loan_start,Q7*(loan_eligible-P23)*loan_apply*loan_approval,0)</f>
        <v/>
      </c>
      <c r="R24" s="43">
        <f>IF(R$4&gt;=loan_start,R7*(loan_eligible-Q23)*loan_apply*loan_approval,0)</f>
        <v/>
      </c>
      <c r="S24" s="43">
        <f>IF(S$4&gt;=loan_start,S7*(loan_eligible-R23)*loan_apply*loan_approval,0)</f>
        <v/>
      </c>
      <c r="T24" s="43">
        <f>IF(T$4&gt;=loan_start,T7*(loan_eligible-S23)*loan_apply*loan_approval,0)</f>
        <v/>
      </c>
      <c r="U24" s="43">
        <f>IF(U$4&gt;=loan_start,U7*(loan_eligible-T23)*loan_apply*loan_approval,0)</f>
        <v/>
      </c>
      <c r="V24" s="43">
        <f>IF(V$4&gt;=loan_start,V7*(loan_eligible-U23)*loan_apply*loan_approval,0)</f>
        <v/>
      </c>
      <c r="W24" s="43">
        <f>IF(W$4&gt;=loan_start,W7*(loan_eligible-V23)*loan_apply*loan_approval,0)</f>
        <v/>
      </c>
      <c r="X24" s="43">
        <f>IF(X$4&gt;=loan_start,X7*(loan_eligible-W23)*loan_apply*loan_approval,0)</f>
        <v/>
      </c>
      <c r="Y24" s="43">
        <f>IF(Y$4&gt;=loan_start,Y7*(loan_eligible-X23)*loan_apply*loan_approval,0)</f>
        <v/>
      </c>
      <c r="Z24" s="43">
        <f>IF(Z$4&gt;=loan_start,Z7*(loan_eligible-Y23)*loan_apply*loan_approval,0)</f>
        <v/>
      </c>
      <c r="AA24" s="43">
        <f>IF(AA$4&gt;=loan_start,AA7*(loan_eligible-Z23)*loan_apply*loan_approval,0)</f>
        <v/>
      </c>
      <c r="AB24" s="43">
        <f>IF(AB$4&gt;=loan_start,AB7*(loan_eligible-AA23)*loan_apply*loan_approval,0)</f>
        <v/>
      </c>
      <c r="AC24" s="43">
        <f>IF(AC$4&gt;=loan_start,AC7*(loan_eligible-AB23)*loan_apply*loan_approval,0)</f>
        <v/>
      </c>
      <c r="AD24" s="43">
        <f>IF(AD$4&gt;=loan_start,AD7*(loan_eligible-AC23)*loan_apply*loan_approval,0)</f>
        <v/>
      </c>
      <c r="AE24" s="43">
        <f>IF(AE$4&gt;=loan_start,AE7*(loan_eligible-AD23)*loan_apply*loan_approval,0)</f>
        <v/>
      </c>
      <c r="AF24" s="43">
        <f>IF(AF$4&gt;=loan_start,AF7*(loan_eligible-AE23)*loan_apply*loan_approval,0)</f>
        <v/>
      </c>
      <c r="AG24" s="43">
        <f>IF(AG$4&gt;=loan_start,AG7*(loan_eligible-AF23)*loan_apply*loan_approval,0)</f>
        <v/>
      </c>
      <c r="AH24" s="43">
        <f>IF(AH$4&gt;=loan_start,AH7*(loan_eligible-AG23)*loan_apply*loan_approval,0)</f>
        <v/>
      </c>
      <c r="AI24" s="43">
        <f>IF(AI$4&gt;=loan_start,AI7*(loan_eligible-AH23)*loan_apply*loan_approval,0)</f>
        <v/>
      </c>
      <c r="AJ24" s="43">
        <f>IF(AJ$4&gt;=loan_start,AJ7*(loan_eligible-AI23)*loan_apply*loan_approval,0)</f>
        <v/>
      </c>
      <c r="AK24" s="43">
        <f>IF(AK$4&gt;=loan_start,AK7*(loan_eligible-AJ23)*loan_apply*loan_approval,0)</f>
        <v/>
      </c>
      <c r="AL24" s="43">
        <f>IF(AL$4&gt;=loan_start,AL7*(loan_eligible-AK23)*loan_apply*loan_approval,0)</f>
        <v/>
      </c>
      <c r="AM24" s="43">
        <f>IF(AM$4&gt;=loan_start,AM7*(loan_eligible-AL23)*loan_apply*loan_approval,0)</f>
        <v/>
      </c>
      <c r="AN24" s="43">
        <f>IF(AN$4&gt;=loan_start,AN7*(loan_eligible-AM23)*loan_apply*loan_approval,0)</f>
        <v/>
      </c>
      <c r="AO24" s="43">
        <f>IF(AO$4&gt;=loan_start,AO7*(loan_eligible-AN23)*loan_apply*loan_approval,0)</f>
        <v/>
      </c>
      <c r="AP24" s="43">
        <f>IF(AP$4&gt;=loan_start,AP7*(loan_eligible-AO23)*loan_apply*loan_approval,0)</f>
        <v/>
      </c>
      <c r="AQ24" s="43">
        <f>IF(AQ$4&gt;=loan_start,AQ7*(loan_eligible-AP23)*loan_apply*loan_approval,0)</f>
        <v/>
      </c>
      <c r="AR24" s="43">
        <f>IF(AR$4&gt;=loan_start,AR7*(loan_eligible-AQ23)*loan_apply*loan_approval,0)</f>
        <v/>
      </c>
      <c r="AS24" s="43">
        <f>IF(AS$4&gt;=loan_start,AS7*(loan_eligible-AR23)*loan_apply*loan_approval,0)</f>
        <v/>
      </c>
      <c r="AT24" s="43">
        <f>IF(AT$4&gt;=loan_start,AT7*(loan_eligible-AS23)*loan_apply*loan_approval,0)</f>
        <v/>
      </c>
      <c r="AU24" s="43">
        <f>IF(AU$4&gt;=loan_start,AU7*(loan_eligible-AT23)*loan_apply*loan_approval,0)</f>
        <v/>
      </c>
      <c r="AV24" s="43">
        <f>IF(AV$4&gt;=loan_start,AV7*(loan_eligible-AU23)*loan_apply*loan_approval,0)</f>
        <v/>
      </c>
      <c r="AW24" s="43">
        <f>IF(AW$4&gt;=loan_start,AW7*(loan_eligible-AV23)*loan_apply*loan_approval,0)</f>
        <v/>
      </c>
      <c r="AX24" s="43">
        <f>IF(AX$4&gt;=loan_start,AX7*(loan_eligible-AW23)*loan_apply*loan_approval,0)</f>
        <v/>
      </c>
      <c r="AY24" s="43">
        <f>IF(AY$4&gt;=loan_start,AY7*(loan_eligible-AX23)*loan_apply*loan_approval,0)</f>
        <v/>
      </c>
      <c r="AZ24" s="43">
        <f>IF(AZ$4&gt;=loan_start,AZ7*(loan_eligible-AY23)*loan_apply*loan_approval,0)</f>
        <v/>
      </c>
      <c r="BA24" s="43">
        <f>IF(BA$4&gt;=loan_start,BA7*(loan_eligible-AZ23)*loan_apply*loan_approval,0)</f>
        <v/>
      </c>
      <c r="BB24" s="43">
        <f>IF(BB$4&gt;=loan_start,BB7*(loan_eligible-BA23)*loan_apply*loan_approval,0)</f>
        <v/>
      </c>
      <c r="BC24" s="43">
        <f>IF(BC$4&gt;=loan_start,BC7*(loan_eligible-BB23)*loan_apply*loan_approval,0)</f>
        <v/>
      </c>
      <c r="BD24" s="43">
        <f>IF(BD$4&gt;=loan_start,BD7*(loan_eligible-BC23)*loan_apply*loan_approval,0)</f>
        <v/>
      </c>
      <c r="BE24" s="43">
        <f>IF(BE$4&gt;=loan_start,BE7*(loan_eligible-BD23)*loan_apply*loan_approval,0)</f>
        <v/>
      </c>
      <c r="BF24" s="43">
        <f>IF(BF$4&gt;=loan_start,BF7*(loan_eligible-BE23)*loan_apply*loan_approval,0)</f>
        <v/>
      </c>
      <c r="BG24" s="43">
        <f>IF(BG$4&gt;=loan_start,BG7*(loan_eligible-BF23)*loan_apply*loan_approval,0)</f>
        <v/>
      </c>
      <c r="BH24" s="43">
        <f>IF(BH$4&gt;=loan_start,BH7*(loan_eligible-BG23)*loan_apply*loan_approval,0)</f>
        <v/>
      </c>
      <c r="BI24" s="43">
        <f>IF(BI$4&gt;=loan_start,BI7*(loan_eligible-BH23)*loan_apply*loan_approval,0)</f>
        <v/>
      </c>
      <c r="BJ24" s="43">
        <f>IF(BJ$4&gt;=loan_start,BJ7*(loan_eligible-BI23)*loan_apply*loan_approval,0)</f>
        <v/>
      </c>
      <c r="BK24" s="43">
        <f>IF(BK$4&gt;=loan_start,BK7*(loan_eligible-BJ23)*loan_apply*loan_approval,0)</f>
        <v/>
      </c>
    </row>
    <row r="25">
      <c r="A25" s="25" t="inlineStr">
        <is>
          <t>Loan 2 (secured): repaid loan 1, still saving, borrowed again</t>
        </is>
      </c>
      <c r="B25" s="28" t="inlineStr">
        <is>
          <t>loans</t>
        </is>
      </c>
      <c r="C25" s="42" t="n">
        <v>0</v>
      </c>
      <c r="D25" s="43">
        <f>IF(D$4&gt;loan_tenor,loan_repeat*(1-ladder_dpd90)*INDEX($C$24:C$24,1,D$4-loan_tenor+1)*D6/INDEX($C$6:C$6,1,D$4-loan_tenor+1),0)</f>
        <v/>
      </c>
      <c r="E25" s="43">
        <f>IF(E$4&gt;loan_tenor,loan_repeat*(1-ladder_dpd90)*INDEX($C$24:D$24,1,E$4-loan_tenor+1)*E6/INDEX($C$6:D$6,1,E$4-loan_tenor+1),0)</f>
        <v/>
      </c>
      <c r="F25" s="43">
        <f>IF(F$4&gt;loan_tenor,loan_repeat*(1-ladder_dpd90)*INDEX($C$24:E$24,1,F$4-loan_tenor+1)*F6/INDEX($C$6:E$6,1,F$4-loan_tenor+1),0)</f>
        <v/>
      </c>
      <c r="G25" s="43">
        <f>IF(G$4&gt;loan_tenor,loan_repeat*(1-ladder_dpd90)*INDEX($C$24:F$24,1,G$4-loan_tenor+1)*G6/INDEX($C$6:F$6,1,G$4-loan_tenor+1),0)</f>
        <v/>
      </c>
      <c r="H25" s="43">
        <f>IF(H$4&gt;loan_tenor,loan_repeat*(1-ladder_dpd90)*INDEX($C$24:G$24,1,H$4-loan_tenor+1)*H6/INDEX($C$6:G$6,1,H$4-loan_tenor+1),0)</f>
        <v/>
      </c>
      <c r="I25" s="43">
        <f>IF(I$4&gt;loan_tenor,loan_repeat*(1-ladder_dpd90)*INDEX($C$24:H$24,1,I$4-loan_tenor+1)*I6/INDEX($C$6:H$6,1,I$4-loan_tenor+1),0)</f>
        <v/>
      </c>
      <c r="J25" s="43">
        <f>IF(J$4&gt;loan_tenor,loan_repeat*(1-ladder_dpd90)*INDEX($C$24:I$24,1,J$4-loan_tenor+1)*J6/INDEX($C$6:I$6,1,J$4-loan_tenor+1),0)</f>
        <v/>
      </c>
      <c r="K25" s="43">
        <f>IF(K$4&gt;loan_tenor,loan_repeat*(1-ladder_dpd90)*INDEX($C$24:J$24,1,K$4-loan_tenor+1)*K6/INDEX($C$6:J$6,1,K$4-loan_tenor+1),0)</f>
        <v/>
      </c>
      <c r="L25" s="43">
        <f>IF(L$4&gt;loan_tenor,loan_repeat*(1-ladder_dpd90)*INDEX($C$24:K$24,1,L$4-loan_tenor+1)*L6/INDEX($C$6:K$6,1,L$4-loan_tenor+1),0)</f>
        <v/>
      </c>
      <c r="M25" s="43">
        <f>IF(M$4&gt;loan_tenor,loan_repeat*(1-ladder_dpd90)*INDEX($C$24:L$24,1,M$4-loan_tenor+1)*M6/INDEX($C$6:L$6,1,M$4-loan_tenor+1),0)</f>
        <v/>
      </c>
      <c r="N25" s="43">
        <f>IF(N$4&gt;loan_tenor,loan_repeat*(1-ladder_dpd90)*INDEX($C$24:M$24,1,N$4-loan_tenor+1)*N6/INDEX($C$6:M$6,1,N$4-loan_tenor+1),0)</f>
        <v/>
      </c>
      <c r="O25" s="43">
        <f>IF(O$4&gt;loan_tenor,loan_repeat*(1-ladder_dpd90)*INDEX($C$24:N$24,1,O$4-loan_tenor+1)*O6/INDEX($C$6:N$6,1,O$4-loan_tenor+1),0)</f>
        <v/>
      </c>
      <c r="P25" s="43">
        <f>IF(P$4&gt;loan_tenor,loan_repeat*(1-ladder_dpd90)*INDEX($C$24:O$24,1,P$4-loan_tenor+1)*P6/INDEX($C$6:O$6,1,P$4-loan_tenor+1),0)</f>
        <v/>
      </c>
      <c r="Q25" s="43">
        <f>IF(Q$4&gt;loan_tenor,loan_repeat*(1-ladder_dpd90)*INDEX($C$24:P$24,1,Q$4-loan_tenor+1)*Q6/INDEX($C$6:P$6,1,Q$4-loan_tenor+1),0)</f>
        <v/>
      </c>
      <c r="R25" s="43">
        <f>IF(R$4&gt;loan_tenor,loan_repeat*(1-ladder_dpd90)*INDEX($C$24:Q$24,1,R$4-loan_tenor+1)*R6/INDEX($C$6:Q$6,1,R$4-loan_tenor+1),0)</f>
        <v/>
      </c>
      <c r="S25" s="43">
        <f>IF(S$4&gt;loan_tenor,loan_repeat*(1-ladder_dpd90)*INDEX($C$24:R$24,1,S$4-loan_tenor+1)*S6/INDEX($C$6:R$6,1,S$4-loan_tenor+1),0)</f>
        <v/>
      </c>
      <c r="T25" s="43">
        <f>IF(T$4&gt;loan_tenor,loan_repeat*(1-ladder_dpd90)*INDEX($C$24:S$24,1,T$4-loan_tenor+1)*T6/INDEX($C$6:S$6,1,T$4-loan_tenor+1),0)</f>
        <v/>
      </c>
      <c r="U25" s="43">
        <f>IF(U$4&gt;loan_tenor,loan_repeat*(1-ladder_dpd90)*INDEX($C$24:T$24,1,U$4-loan_tenor+1)*U6/INDEX($C$6:T$6,1,U$4-loan_tenor+1),0)</f>
        <v/>
      </c>
      <c r="V25" s="43">
        <f>IF(V$4&gt;loan_tenor,loan_repeat*(1-ladder_dpd90)*INDEX($C$24:U$24,1,V$4-loan_tenor+1)*V6/INDEX($C$6:U$6,1,V$4-loan_tenor+1),0)</f>
        <v/>
      </c>
      <c r="W25" s="43">
        <f>IF(W$4&gt;loan_tenor,loan_repeat*(1-ladder_dpd90)*INDEX($C$24:V$24,1,W$4-loan_tenor+1)*W6/INDEX($C$6:V$6,1,W$4-loan_tenor+1),0)</f>
        <v/>
      </c>
      <c r="X25" s="43">
        <f>IF(X$4&gt;loan_tenor,loan_repeat*(1-ladder_dpd90)*INDEX($C$24:W$24,1,X$4-loan_tenor+1)*X6/INDEX($C$6:W$6,1,X$4-loan_tenor+1),0)</f>
        <v/>
      </c>
      <c r="Y25" s="43">
        <f>IF(Y$4&gt;loan_tenor,loan_repeat*(1-ladder_dpd90)*INDEX($C$24:X$24,1,Y$4-loan_tenor+1)*Y6/INDEX($C$6:X$6,1,Y$4-loan_tenor+1),0)</f>
        <v/>
      </c>
      <c r="Z25" s="43">
        <f>IF(Z$4&gt;loan_tenor,loan_repeat*(1-ladder_dpd90)*INDEX($C$24:Y$24,1,Z$4-loan_tenor+1)*Z6/INDEX($C$6:Y$6,1,Z$4-loan_tenor+1),0)</f>
        <v/>
      </c>
      <c r="AA25" s="43">
        <f>IF(AA$4&gt;loan_tenor,loan_repeat*(1-ladder_dpd90)*INDEX($C$24:Z$24,1,AA$4-loan_tenor+1)*AA6/INDEX($C$6:Z$6,1,AA$4-loan_tenor+1),0)</f>
        <v/>
      </c>
      <c r="AB25" s="43">
        <f>IF(AB$4&gt;loan_tenor,loan_repeat*(1-ladder_dpd90)*INDEX($C$24:AA$24,1,AB$4-loan_tenor+1)*AB6/INDEX($C$6:AA$6,1,AB$4-loan_tenor+1),0)</f>
        <v/>
      </c>
      <c r="AC25" s="43">
        <f>IF(AC$4&gt;loan_tenor,loan_repeat*(1-ladder_dpd90)*INDEX($C$24:AB$24,1,AC$4-loan_tenor+1)*AC6/INDEX($C$6:AB$6,1,AC$4-loan_tenor+1),0)</f>
        <v/>
      </c>
      <c r="AD25" s="43">
        <f>IF(AD$4&gt;loan_tenor,loan_repeat*(1-ladder_dpd90)*INDEX($C$24:AC$24,1,AD$4-loan_tenor+1)*AD6/INDEX($C$6:AC$6,1,AD$4-loan_tenor+1),0)</f>
        <v/>
      </c>
      <c r="AE25" s="43">
        <f>IF(AE$4&gt;loan_tenor,loan_repeat*(1-ladder_dpd90)*INDEX($C$24:AD$24,1,AE$4-loan_tenor+1)*AE6/INDEX($C$6:AD$6,1,AE$4-loan_tenor+1),0)</f>
        <v/>
      </c>
      <c r="AF25" s="43">
        <f>IF(AF$4&gt;loan_tenor,loan_repeat*(1-ladder_dpd90)*INDEX($C$24:AE$24,1,AF$4-loan_tenor+1)*AF6/INDEX($C$6:AE$6,1,AF$4-loan_tenor+1),0)</f>
        <v/>
      </c>
      <c r="AG25" s="43">
        <f>IF(AG$4&gt;loan_tenor,loan_repeat*(1-ladder_dpd90)*INDEX($C$24:AF$24,1,AG$4-loan_tenor+1)*AG6/INDEX($C$6:AF$6,1,AG$4-loan_tenor+1),0)</f>
        <v/>
      </c>
      <c r="AH25" s="43">
        <f>IF(AH$4&gt;loan_tenor,loan_repeat*(1-ladder_dpd90)*INDEX($C$24:AG$24,1,AH$4-loan_tenor+1)*AH6/INDEX($C$6:AG$6,1,AH$4-loan_tenor+1),0)</f>
        <v/>
      </c>
      <c r="AI25" s="43">
        <f>IF(AI$4&gt;loan_tenor,loan_repeat*(1-ladder_dpd90)*INDEX($C$24:AH$24,1,AI$4-loan_tenor+1)*AI6/INDEX($C$6:AH$6,1,AI$4-loan_tenor+1),0)</f>
        <v/>
      </c>
      <c r="AJ25" s="43">
        <f>IF(AJ$4&gt;loan_tenor,loan_repeat*(1-ladder_dpd90)*INDEX($C$24:AI$24,1,AJ$4-loan_tenor+1)*AJ6/INDEX($C$6:AI$6,1,AJ$4-loan_tenor+1),0)</f>
        <v/>
      </c>
      <c r="AK25" s="43">
        <f>IF(AK$4&gt;loan_tenor,loan_repeat*(1-ladder_dpd90)*INDEX($C$24:AJ$24,1,AK$4-loan_tenor+1)*AK6/INDEX($C$6:AJ$6,1,AK$4-loan_tenor+1),0)</f>
        <v/>
      </c>
      <c r="AL25" s="43">
        <f>IF(AL$4&gt;loan_tenor,loan_repeat*(1-ladder_dpd90)*INDEX($C$24:AK$24,1,AL$4-loan_tenor+1)*AL6/INDEX($C$6:AK$6,1,AL$4-loan_tenor+1),0)</f>
        <v/>
      </c>
      <c r="AM25" s="43">
        <f>IF(AM$4&gt;loan_tenor,loan_repeat*(1-ladder_dpd90)*INDEX($C$24:AL$24,1,AM$4-loan_tenor+1)*AM6/INDEX($C$6:AL$6,1,AM$4-loan_tenor+1),0)</f>
        <v/>
      </c>
      <c r="AN25" s="43">
        <f>IF(AN$4&gt;loan_tenor,loan_repeat*(1-ladder_dpd90)*INDEX($C$24:AM$24,1,AN$4-loan_tenor+1)*AN6/INDEX($C$6:AM$6,1,AN$4-loan_tenor+1),0)</f>
        <v/>
      </c>
      <c r="AO25" s="43">
        <f>IF(AO$4&gt;loan_tenor,loan_repeat*(1-ladder_dpd90)*INDEX($C$24:AN$24,1,AO$4-loan_tenor+1)*AO6/INDEX($C$6:AN$6,1,AO$4-loan_tenor+1),0)</f>
        <v/>
      </c>
      <c r="AP25" s="43">
        <f>IF(AP$4&gt;loan_tenor,loan_repeat*(1-ladder_dpd90)*INDEX($C$24:AO$24,1,AP$4-loan_tenor+1)*AP6/INDEX($C$6:AO$6,1,AP$4-loan_tenor+1),0)</f>
        <v/>
      </c>
      <c r="AQ25" s="43">
        <f>IF(AQ$4&gt;loan_tenor,loan_repeat*(1-ladder_dpd90)*INDEX($C$24:AP$24,1,AQ$4-loan_tenor+1)*AQ6/INDEX($C$6:AP$6,1,AQ$4-loan_tenor+1),0)</f>
        <v/>
      </c>
      <c r="AR25" s="43">
        <f>IF(AR$4&gt;loan_tenor,loan_repeat*(1-ladder_dpd90)*INDEX($C$24:AQ$24,1,AR$4-loan_tenor+1)*AR6/INDEX($C$6:AQ$6,1,AR$4-loan_tenor+1),0)</f>
        <v/>
      </c>
      <c r="AS25" s="43">
        <f>IF(AS$4&gt;loan_tenor,loan_repeat*(1-ladder_dpd90)*INDEX($C$24:AR$24,1,AS$4-loan_tenor+1)*AS6/INDEX($C$6:AR$6,1,AS$4-loan_tenor+1),0)</f>
        <v/>
      </c>
      <c r="AT25" s="43">
        <f>IF(AT$4&gt;loan_tenor,loan_repeat*(1-ladder_dpd90)*INDEX($C$24:AS$24,1,AT$4-loan_tenor+1)*AT6/INDEX($C$6:AS$6,1,AT$4-loan_tenor+1),0)</f>
        <v/>
      </c>
      <c r="AU25" s="43">
        <f>IF(AU$4&gt;loan_tenor,loan_repeat*(1-ladder_dpd90)*INDEX($C$24:AT$24,1,AU$4-loan_tenor+1)*AU6/INDEX($C$6:AT$6,1,AU$4-loan_tenor+1),0)</f>
        <v/>
      </c>
      <c r="AV25" s="43">
        <f>IF(AV$4&gt;loan_tenor,loan_repeat*(1-ladder_dpd90)*INDEX($C$24:AU$24,1,AV$4-loan_tenor+1)*AV6/INDEX($C$6:AU$6,1,AV$4-loan_tenor+1),0)</f>
        <v/>
      </c>
      <c r="AW25" s="43">
        <f>IF(AW$4&gt;loan_tenor,loan_repeat*(1-ladder_dpd90)*INDEX($C$24:AV$24,1,AW$4-loan_tenor+1)*AW6/INDEX($C$6:AV$6,1,AW$4-loan_tenor+1),0)</f>
        <v/>
      </c>
      <c r="AX25" s="43">
        <f>IF(AX$4&gt;loan_tenor,loan_repeat*(1-ladder_dpd90)*INDEX($C$24:AW$24,1,AX$4-loan_tenor+1)*AX6/INDEX($C$6:AW$6,1,AX$4-loan_tenor+1),0)</f>
        <v/>
      </c>
      <c r="AY25" s="43">
        <f>IF(AY$4&gt;loan_tenor,loan_repeat*(1-ladder_dpd90)*INDEX($C$24:AX$24,1,AY$4-loan_tenor+1)*AY6/INDEX($C$6:AX$6,1,AY$4-loan_tenor+1),0)</f>
        <v/>
      </c>
      <c r="AZ25" s="43">
        <f>IF(AZ$4&gt;loan_tenor,loan_repeat*(1-ladder_dpd90)*INDEX($C$24:AY$24,1,AZ$4-loan_tenor+1)*AZ6/INDEX($C$6:AY$6,1,AZ$4-loan_tenor+1),0)</f>
        <v/>
      </c>
      <c r="BA25" s="43">
        <f>IF(BA$4&gt;loan_tenor,loan_repeat*(1-ladder_dpd90)*INDEX($C$24:AZ$24,1,BA$4-loan_tenor+1)*BA6/INDEX($C$6:AZ$6,1,BA$4-loan_tenor+1),0)</f>
        <v/>
      </c>
      <c r="BB25" s="43">
        <f>IF(BB$4&gt;loan_tenor,loan_repeat*(1-ladder_dpd90)*INDEX($C$24:BA$24,1,BB$4-loan_tenor+1)*BB6/INDEX($C$6:BA$6,1,BB$4-loan_tenor+1),0)</f>
        <v/>
      </c>
      <c r="BC25" s="43">
        <f>IF(BC$4&gt;loan_tenor,loan_repeat*(1-ladder_dpd90)*INDEX($C$24:BB$24,1,BC$4-loan_tenor+1)*BC6/INDEX($C$6:BB$6,1,BC$4-loan_tenor+1),0)</f>
        <v/>
      </c>
      <c r="BD25" s="43">
        <f>IF(BD$4&gt;loan_tenor,loan_repeat*(1-ladder_dpd90)*INDEX($C$24:BC$24,1,BD$4-loan_tenor+1)*BD6/INDEX($C$6:BC$6,1,BD$4-loan_tenor+1),0)</f>
        <v/>
      </c>
      <c r="BE25" s="43">
        <f>IF(BE$4&gt;loan_tenor,loan_repeat*(1-ladder_dpd90)*INDEX($C$24:BD$24,1,BE$4-loan_tenor+1)*BE6/INDEX($C$6:BD$6,1,BE$4-loan_tenor+1),0)</f>
        <v/>
      </c>
      <c r="BF25" s="43">
        <f>IF(BF$4&gt;loan_tenor,loan_repeat*(1-ladder_dpd90)*INDEX($C$24:BE$24,1,BF$4-loan_tenor+1)*BF6/INDEX($C$6:BE$6,1,BF$4-loan_tenor+1),0)</f>
        <v/>
      </c>
      <c r="BG25" s="43">
        <f>IF(BG$4&gt;loan_tenor,loan_repeat*(1-ladder_dpd90)*INDEX($C$24:BF$24,1,BG$4-loan_tenor+1)*BG6/INDEX($C$6:BF$6,1,BG$4-loan_tenor+1),0)</f>
        <v/>
      </c>
      <c r="BH25" s="43">
        <f>IF(BH$4&gt;loan_tenor,loan_repeat*(1-ladder_dpd90)*INDEX($C$24:BG$24,1,BH$4-loan_tenor+1)*BH6/INDEX($C$6:BG$6,1,BH$4-loan_tenor+1),0)</f>
        <v/>
      </c>
      <c r="BI25" s="43">
        <f>IF(BI$4&gt;loan_tenor,loan_repeat*(1-ladder_dpd90)*INDEX($C$24:BH$24,1,BI$4-loan_tenor+1)*BI6/INDEX($C$6:BH$6,1,BI$4-loan_tenor+1),0)</f>
        <v/>
      </c>
      <c r="BJ25" s="43">
        <f>IF(BJ$4&gt;loan_tenor,loan_repeat*(1-ladder_dpd90)*INDEX($C$24:BI$24,1,BJ$4-loan_tenor+1)*BJ6/INDEX($C$6:BI$6,1,BJ$4-loan_tenor+1),0)</f>
        <v/>
      </c>
      <c r="BK25" s="43">
        <f>IF(BK$4&gt;loan_tenor,loan_repeat*(1-ladder_dpd90)*INDEX($C$24:BJ$24,1,BK$4-loan_tenor+1)*BK6/INDEX($C$6:BJ$6,1,BK$4-loan_tenor+1),0)</f>
        <v/>
      </c>
    </row>
    <row r="26">
      <c r="A26" s="25" t="inlineStr">
        <is>
          <t>Loan 3 (part secured)</t>
        </is>
      </c>
      <c r="B26" s="28" t="inlineStr">
        <is>
          <t>loans</t>
        </is>
      </c>
      <c r="C26" s="42" t="n">
        <v>0</v>
      </c>
      <c r="D26" s="43">
        <f>IF(D$4&gt;loan_tenor,loan_repeat*(1-ladder_dpd90)*INDEX($C$25:C$25,1,D$4-loan_tenor+1)*D6/INDEX($C$6:C$6,1,D$4-loan_tenor+1),0)</f>
        <v/>
      </c>
      <c r="E26" s="43">
        <f>IF(E$4&gt;loan_tenor,loan_repeat*(1-ladder_dpd90)*INDEX($C$25:D$25,1,E$4-loan_tenor+1)*E6/INDEX($C$6:D$6,1,E$4-loan_tenor+1),0)</f>
        <v/>
      </c>
      <c r="F26" s="43">
        <f>IF(F$4&gt;loan_tenor,loan_repeat*(1-ladder_dpd90)*INDEX($C$25:E$25,1,F$4-loan_tenor+1)*F6/INDEX($C$6:E$6,1,F$4-loan_tenor+1),0)</f>
        <v/>
      </c>
      <c r="G26" s="43">
        <f>IF(G$4&gt;loan_tenor,loan_repeat*(1-ladder_dpd90)*INDEX($C$25:F$25,1,G$4-loan_tenor+1)*G6/INDEX($C$6:F$6,1,G$4-loan_tenor+1),0)</f>
        <v/>
      </c>
      <c r="H26" s="43">
        <f>IF(H$4&gt;loan_tenor,loan_repeat*(1-ladder_dpd90)*INDEX($C$25:G$25,1,H$4-loan_tenor+1)*H6/INDEX($C$6:G$6,1,H$4-loan_tenor+1),0)</f>
        <v/>
      </c>
      <c r="I26" s="43">
        <f>IF(I$4&gt;loan_tenor,loan_repeat*(1-ladder_dpd90)*INDEX($C$25:H$25,1,I$4-loan_tenor+1)*I6/INDEX($C$6:H$6,1,I$4-loan_tenor+1),0)</f>
        <v/>
      </c>
      <c r="J26" s="43">
        <f>IF(J$4&gt;loan_tenor,loan_repeat*(1-ladder_dpd90)*INDEX($C$25:I$25,1,J$4-loan_tenor+1)*J6/INDEX($C$6:I$6,1,J$4-loan_tenor+1),0)</f>
        <v/>
      </c>
      <c r="K26" s="43">
        <f>IF(K$4&gt;loan_tenor,loan_repeat*(1-ladder_dpd90)*INDEX($C$25:J$25,1,K$4-loan_tenor+1)*K6/INDEX($C$6:J$6,1,K$4-loan_tenor+1),0)</f>
        <v/>
      </c>
      <c r="L26" s="43">
        <f>IF(L$4&gt;loan_tenor,loan_repeat*(1-ladder_dpd90)*INDEX($C$25:K$25,1,L$4-loan_tenor+1)*L6/INDEX($C$6:K$6,1,L$4-loan_tenor+1),0)</f>
        <v/>
      </c>
      <c r="M26" s="43">
        <f>IF(M$4&gt;loan_tenor,loan_repeat*(1-ladder_dpd90)*INDEX($C$25:L$25,1,M$4-loan_tenor+1)*M6/INDEX($C$6:L$6,1,M$4-loan_tenor+1),0)</f>
        <v/>
      </c>
      <c r="N26" s="43">
        <f>IF(N$4&gt;loan_tenor,loan_repeat*(1-ladder_dpd90)*INDEX($C$25:M$25,1,N$4-loan_tenor+1)*N6/INDEX($C$6:M$6,1,N$4-loan_tenor+1),0)</f>
        <v/>
      </c>
      <c r="O26" s="43">
        <f>IF(O$4&gt;loan_tenor,loan_repeat*(1-ladder_dpd90)*INDEX($C$25:N$25,1,O$4-loan_tenor+1)*O6/INDEX($C$6:N$6,1,O$4-loan_tenor+1),0)</f>
        <v/>
      </c>
      <c r="P26" s="43">
        <f>IF(P$4&gt;loan_tenor,loan_repeat*(1-ladder_dpd90)*INDEX($C$25:O$25,1,P$4-loan_tenor+1)*P6/INDEX($C$6:O$6,1,P$4-loan_tenor+1),0)</f>
        <v/>
      </c>
      <c r="Q26" s="43">
        <f>IF(Q$4&gt;loan_tenor,loan_repeat*(1-ladder_dpd90)*INDEX($C$25:P$25,1,Q$4-loan_tenor+1)*Q6/INDEX($C$6:P$6,1,Q$4-loan_tenor+1),0)</f>
        <v/>
      </c>
      <c r="R26" s="43">
        <f>IF(R$4&gt;loan_tenor,loan_repeat*(1-ladder_dpd90)*INDEX($C$25:Q$25,1,R$4-loan_tenor+1)*R6/INDEX($C$6:Q$6,1,R$4-loan_tenor+1),0)</f>
        <v/>
      </c>
      <c r="S26" s="43">
        <f>IF(S$4&gt;loan_tenor,loan_repeat*(1-ladder_dpd90)*INDEX($C$25:R$25,1,S$4-loan_tenor+1)*S6/INDEX($C$6:R$6,1,S$4-loan_tenor+1),0)</f>
        <v/>
      </c>
      <c r="T26" s="43">
        <f>IF(T$4&gt;loan_tenor,loan_repeat*(1-ladder_dpd90)*INDEX($C$25:S$25,1,T$4-loan_tenor+1)*T6/INDEX($C$6:S$6,1,T$4-loan_tenor+1),0)</f>
        <v/>
      </c>
      <c r="U26" s="43">
        <f>IF(U$4&gt;loan_tenor,loan_repeat*(1-ladder_dpd90)*INDEX($C$25:T$25,1,U$4-loan_tenor+1)*U6/INDEX($C$6:T$6,1,U$4-loan_tenor+1),0)</f>
        <v/>
      </c>
      <c r="V26" s="43">
        <f>IF(V$4&gt;loan_tenor,loan_repeat*(1-ladder_dpd90)*INDEX($C$25:U$25,1,V$4-loan_tenor+1)*V6/INDEX($C$6:U$6,1,V$4-loan_tenor+1),0)</f>
        <v/>
      </c>
      <c r="W26" s="43">
        <f>IF(W$4&gt;loan_tenor,loan_repeat*(1-ladder_dpd90)*INDEX($C$25:V$25,1,W$4-loan_tenor+1)*W6/INDEX($C$6:V$6,1,W$4-loan_tenor+1),0)</f>
        <v/>
      </c>
      <c r="X26" s="43">
        <f>IF(X$4&gt;loan_tenor,loan_repeat*(1-ladder_dpd90)*INDEX($C$25:W$25,1,X$4-loan_tenor+1)*X6/INDEX($C$6:W$6,1,X$4-loan_tenor+1),0)</f>
        <v/>
      </c>
      <c r="Y26" s="43">
        <f>IF(Y$4&gt;loan_tenor,loan_repeat*(1-ladder_dpd90)*INDEX($C$25:X$25,1,Y$4-loan_tenor+1)*Y6/INDEX($C$6:X$6,1,Y$4-loan_tenor+1),0)</f>
        <v/>
      </c>
      <c r="Z26" s="43">
        <f>IF(Z$4&gt;loan_tenor,loan_repeat*(1-ladder_dpd90)*INDEX($C$25:Y$25,1,Z$4-loan_tenor+1)*Z6/INDEX($C$6:Y$6,1,Z$4-loan_tenor+1),0)</f>
        <v/>
      </c>
      <c r="AA26" s="43">
        <f>IF(AA$4&gt;loan_tenor,loan_repeat*(1-ladder_dpd90)*INDEX($C$25:Z$25,1,AA$4-loan_tenor+1)*AA6/INDEX($C$6:Z$6,1,AA$4-loan_tenor+1),0)</f>
        <v/>
      </c>
      <c r="AB26" s="43">
        <f>IF(AB$4&gt;loan_tenor,loan_repeat*(1-ladder_dpd90)*INDEX($C$25:AA$25,1,AB$4-loan_tenor+1)*AB6/INDEX($C$6:AA$6,1,AB$4-loan_tenor+1),0)</f>
        <v/>
      </c>
      <c r="AC26" s="43">
        <f>IF(AC$4&gt;loan_tenor,loan_repeat*(1-ladder_dpd90)*INDEX($C$25:AB$25,1,AC$4-loan_tenor+1)*AC6/INDEX($C$6:AB$6,1,AC$4-loan_tenor+1),0)</f>
        <v/>
      </c>
      <c r="AD26" s="43">
        <f>IF(AD$4&gt;loan_tenor,loan_repeat*(1-ladder_dpd90)*INDEX($C$25:AC$25,1,AD$4-loan_tenor+1)*AD6/INDEX($C$6:AC$6,1,AD$4-loan_tenor+1),0)</f>
        <v/>
      </c>
      <c r="AE26" s="43">
        <f>IF(AE$4&gt;loan_tenor,loan_repeat*(1-ladder_dpd90)*INDEX($C$25:AD$25,1,AE$4-loan_tenor+1)*AE6/INDEX($C$6:AD$6,1,AE$4-loan_tenor+1),0)</f>
        <v/>
      </c>
      <c r="AF26" s="43">
        <f>IF(AF$4&gt;loan_tenor,loan_repeat*(1-ladder_dpd90)*INDEX($C$25:AE$25,1,AF$4-loan_tenor+1)*AF6/INDEX($C$6:AE$6,1,AF$4-loan_tenor+1),0)</f>
        <v/>
      </c>
      <c r="AG26" s="43">
        <f>IF(AG$4&gt;loan_tenor,loan_repeat*(1-ladder_dpd90)*INDEX($C$25:AF$25,1,AG$4-loan_tenor+1)*AG6/INDEX($C$6:AF$6,1,AG$4-loan_tenor+1),0)</f>
        <v/>
      </c>
      <c r="AH26" s="43">
        <f>IF(AH$4&gt;loan_tenor,loan_repeat*(1-ladder_dpd90)*INDEX($C$25:AG$25,1,AH$4-loan_tenor+1)*AH6/INDEX($C$6:AG$6,1,AH$4-loan_tenor+1),0)</f>
        <v/>
      </c>
      <c r="AI26" s="43">
        <f>IF(AI$4&gt;loan_tenor,loan_repeat*(1-ladder_dpd90)*INDEX($C$25:AH$25,1,AI$4-loan_tenor+1)*AI6/INDEX($C$6:AH$6,1,AI$4-loan_tenor+1),0)</f>
        <v/>
      </c>
      <c r="AJ26" s="43">
        <f>IF(AJ$4&gt;loan_tenor,loan_repeat*(1-ladder_dpd90)*INDEX($C$25:AI$25,1,AJ$4-loan_tenor+1)*AJ6/INDEX($C$6:AI$6,1,AJ$4-loan_tenor+1),0)</f>
        <v/>
      </c>
      <c r="AK26" s="43">
        <f>IF(AK$4&gt;loan_tenor,loan_repeat*(1-ladder_dpd90)*INDEX($C$25:AJ$25,1,AK$4-loan_tenor+1)*AK6/INDEX($C$6:AJ$6,1,AK$4-loan_tenor+1),0)</f>
        <v/>
      </c>
      <c r="AL26" s="43">
        <f>IF(AL$4&gt;loan_tenor,loan_repeat*(1-ladder_dpd90)*INDEX($C$25:AK$25,1,AL$4-loan_tenor+1)*AL6/INDEX($C$6:AK$6,1,AL$4-loan_tenor+1),0)</f>
        <v/>
      </c>
      <c r="AM26" s="43">
        <f>IF(AM$4&gt;loan_tenor,loan_repeat*(1-ladder_dpd90)*INDEX($C$25:AL$25,1,AM$4-loan_tenor+1)*AM6/INDEX($C$6:AL$6,1,AM$4-loan_tenor+1),0)</f>
        <v/>
      </c>
      <c r="AN26" s="43">
        <f>IF(AN$4&gt;loan_tenor,loan_repeat*(1-ladder_dpd90)*INDEX($C$25:AM$25,1,AN$4-loan_tenor+1)*AN6/INDEX($C$6:AM$6,1,AN$4-loan_tenor+1),0)</f>
        <v/>
      </c>
      <c r="AO26" s="43">
        <f>IF(AO$4&gt;loan_tenor,loan_repeat*(1-ladder_dpd90)*INDEX($C$25:AN$25,1,AO$4-loan_tenor+1)*AO6/INDEX($C$6:AN$6,1,AO$4-loan_tenor+1),0)</f>
        <v/>
      </c>
      <c r="AP26" s="43">
        <f>IF(AP$4&gt;loan_tenor,loan_repeat*(1-ladder_dpd90)*INDEX($C$25:AO$25,1,AP$4-loan_tenor+1)*AP6/INDEX($C$6:AO$6,1,AP$4-loan_tenor+1),0)</f>
        <v/>
      </c>
      <c r="AQ26" s="43">
        <f>IF(AQ$4&gt;loan_tenor,loan_repeat*(1-ladder_dpd90)*INDEX($C$25:AP$25,1,AQ$4-loan_tenor+1)*AQ6/INDEX($C$6:AP$6,1,AQ$4-loan_tenor+1),0)</f>
        <v/>
      </c>
      <c r="AR26" s="43">
        <f>IF(AR$4&gt;loan_tenor,loan_repeat*(1-ladder_dpd90)*INDEX($C$25:AQ$25,1,AR$4-loan_tenor+1)*AR6/INDEX($C$6:AQ$6,1,AR$4-loan_tenor+1),0)</f>
        <v/>
      </c>
      <c r="AS26" s="43">
        <f>IF(AS$4&gt;loan_tenor,loan_repeat*(1-ladder_dpd90)*INDEX($C$25:AR$25,1,AS$4-loan_tenor+1)*AS6/INDEX($C$6:AR$6,1,AS$4-loan_tenor+1),0)</f>
        <v/>
      </c>
      <c r="AT26" s="43">
        <f>IF(AT$4&gt;loan_tenor,loan_repeat*(1-ladder_dpd90)*INDEX($C$25:AS$25,1,AT$4-loan_tenor+1)*AT6/INDEX($C$6:AS$6,1,AT$4-loan_tenor+1),0)</f>
        <v/>
      </c>
      <c r="AU26" s="43">
        <f>IF(AU$4&gt;loan_tenor,loan_repeat*(1-ladder_dpd90)*INDEX($C$25:AT$25,1,AU$4-loan_tenor+1)*AU6/INDEX($C$6:AT$6,1,AU$4-loan_tenor+1),0)</f>
        <v/>
      </c>
      <c r="AV26" s="43">
        <f>IF(AV$4&gt;loan_tenor,loan_repeat*(1-ladder_dpd90)*INDEX($C$25:AU$25,1,AV$4-loan_tenor+1)*AV6/INDEX($C$6:AU$6,1,AV$4-loan_tenor+1),0)</f>
        <v/>
      </c>
      <c r="AW26" s="43">
        <f>IF(AW$4&gt;loan_tenor,loan_repeat*(1-ladder_dpd90)*INDEX($C$25:AV$25,1,AW$4-loan_tenor+1)*AW6/INDEX($C$6:AV$6,1,AW$4-loan_tenor+1),0)</f>
        <v/>
      </c>
      <c r="AX26" s="43">
        <f>IF(AX$4&gt;loan_tenor,loan_repeat*(1-ladder_dpd90)*INDEX($C$25:AW$25,1,AX$4-loan_tenor+1)*AX6/INDEX($C$6:AW$6,1,AX$4-loan_tenor+1),0)</f>
        <v/>
      </c>
      <c r="AY26" s="43">
        <f>IF(AY$4&gt;loan_tenor,loan_repeat*(1-ladder_dpd90)*INDEX($C$25:AX$25,1,AY$4-loan_tenor+1)*AY6/INDEX($C$6:AX$6,1,AY$4-loan_tenor+1),0)</f>
        <v/>
      </c>
      <c r="AZ26" s="43">
        <f>IF(AZ$4&gt;loan_tenor,loan_repeat*(1-ladder_dpd90)*INDEX($C$25:AY$25,1,AZ$4-loan_tenor+1)*AZ6/INDEX($C$6:AY$6,1,AZ$4-loan_tenor+1),0)</f>
        <v/>
      </c>
      <c r="BA26" s="43">
        <f>IF(BA$4&gt;loan_tenor,loan_repeat*(1-ladder_dpd90)*INDEX($C$25:AZ$25,1,BA$4-loan_tenor+1)*BA6/INDEX($C$6:AZ$6,1,BA$4-loan_tenor+1),0)</f>
        <v/>
      </c>
      <c r="BB26" s="43">
        <f>IF(BB$4&gt;loan_tenor,loan_repeat*(1-ladder_dpd90)*INDEX($C$25:BA$25,1,BB$4-loan_tenor+1)*BB6/INDEX($C$6:BA$6,1,BB$4-loan_tenor+1),0)</f>
        <v/>
      </c>
      <c r="BC26" s="43">
        <f>IF(BC$4&gt;loan_tenor,loan_repeat*(1-ladder_dpd90)*INDEX($C$25:BB$25,1,BC$4-loan_tenor+1)*BC6/INDEX($C$6:BB$6,1,BC$4-loan_tenor+1),0)</f>
        <v/>
      </c>
      <c r="BD26" s="43">
        <f>IF(BD$4&gt;loan_tenor,loan_repeat*(1-ladder_dpd90)*INDEX($C$25:BC$25,1,BD$4-loan_tenor+1)*BD6/INDEX($C$6:BC$6,1,BD$4-loan_tenor+1),0)</f>
        <v/>
      </c>
      <c r="BE26" s="43">
        <f>IF(BE$4&gt;loan_tenor,loan_repeat*(1-ladder_dpd90)*INDEX($C$25:BD$25,1,BE$4-loan_tenor+1)*BE6/INDEX($C$6:BD$6,1,BE$4-loan_tenor+1),0)</f>
        <v/>
      </c>
      <c r="BF26" s="43">
        <f>IF(BF$4&gt;loan_tenor,loan_repeat*(1-ladder_dpd90)*INDEX($C$25:BE$25,1,BF$4-loan_tenor+1)*BF6/INDEX($C$6:BE$6,1,BF$4-loan_tenor+1),0)</f>
        <v/>
      </c>
      <c r="BG26" s="43">
        <f>IF(BG$4&gt;loan_tenor,loan_repeat*(1-ladder_dpd90)*INDEX($C$25:BF$25,1,BG$4-loan_tenor+1)*BG6/INDEX($C$6:BF$6,1,BG$4-loan_tenor+1),0)</f>
        <v/>
      </c>
      <c r="BH26" s="43">
        <f>IF(BH$4&gt;loan_tenor,loan_repeat*(1-ladder_dpd90)*INDEX($C$25:BG$25,1,BH$4-loan_tenor+1)*BH6/INDEX($C$6:BG$6,1,BH$4-loan_tenor+1),0)</f>
        <v/>
      </c>
      <c r="BI26" s="43">
        <f>IF(BI$4&gt;loan_tenor,loan_repeat*(1-ladder_dpd90)*INDEX($C$25:BH$25,1,BI$4-loan_tenor+1)*BI6/INDEX($C$6:BH$6,1,BI$4-loan_tenor+1),0)</f>
        <v/>
      </c>
      <c r="BJ26" s="43">
        <f>IF(BJ$4&gt;loan_tenor,loan_repeat*(1-ladder_dpd90)*INDEX($C$25:BI$25,1,BJ$4-loan_tenor+1)*BJ6/INDEX($C$6:BI$6,1,BJ$4-loan_tenor+1),0)</f>
        <v/>
      </c>
      <c r="BK26" s="43">
        <f>IF(BK$4&gt;loan_tenor,loan_repeat*(1-ladder_dpd90)*INDEX($C$25:BJ$25,1,BK$4-loan_tenor+1)*BK6/INDEX($C$6:BJ$6,1,BK$4-loan_tenor+1),0)</f>
        <v/>
      </c>
    </row>
    <row r="27">
      <c r="A27" s="25" t="inlineStr">
        <is>
          <t>Loan 4 (part secured)</t>
        </is>
      </c>
      <c r="B27" s="28" t="inlineStr">
        <is>
          <t>loans</t>
        </is>
      </c>
      <c r="C27" s="42" t="n">
        <v>0</v>
      </c>
      <c r="D27" s="43">
        <f>IF(D$4&gt;loan_tenor,loan_repeat*(1-ladder_dpd90)*INDEX($C$26:C$26,1,D$4-loan_tenor+1)*D6/INDEX($C$6:C$6,1,D$4-loan_tenor+1),0)</f>
        <v/>
      </c>
      <c r="E27" s="43">
        <f>IF(E$4&gt;loan_tenor,loan_repeat*(1-ladder_dpd90)*INDEX($C$26:D$26,1,E$4-loan_tenor+1)*E6/INDEX($C$6:D$6,1,E$4-loan_tenor+1),0)</f>
        <v/>
      </c>
      <c r="F27" s="43">
        <f>IF(F$4&gt;loan_tenor,loan_repeat*(1-ladder_dpd90)*INDEX($C$26:E$26,1,F$4-loan_tenor+1)*F6/INDEX($C$6:E$6,1,F$4-loan_tenor+1),0)</f>
        <v/>
      </c>
      <c r="G27" s="43">
        <f>IF(G$4&gt;loan_tenor,loan_repeat*(1-ladder_dpd90)*INDEX($C$26:F$26,1,G$4-loan_tenor+1)*G6/INDEX($C$6:F$6,1,G$4-loan_tenor+1),0)</f>
        <v/>
      </c>
      <c r="H27" s="43">
        <f>IF(H$4&gt;loan_tenor,loan_repeat*(1-ladder_dpd90)*INDEX($C$26:G$26,1,H$4-loan_tenor+1)*H6/INDEX($C$6:G$6,1,H$4-loan_tenor+1),0)</f>
        <v/>
      </c>
      <c r="I27" s="43">
        <f>IF(I$4&gt;loan_tenor,loan_repeat*(1-ladder_dpd90)*INDEX($C$26:H$26,1,I$4-loan_tenor+1)*I6/INDEX($C$6:H$6,1,I$4-loan_tenor+1),0)</f>
        <v/>
      </c>
      <c r="J27" s="43">
        <f>IF(J$4&gt;loan_tenor,loan_repeat*(1-ladder_dpd90)*INDEX($C$26:I$26,1,J$4-loan_tenor+1)*J6/INDEX($C$6:I$6,1,J$4-loan_tenor+1),0)</f>
        <v/>
      </c>
      <c r="K27" s="43">
        <f>IF(K$4&gt;loan_tenor,loan_repeat*(1-ladder_dpd90)*INDEX($C$26:J$26,1,K$4-loan_tenor+1)*K6/INDEX($C$6:J$6,1,K$4-loan_tenor+1),0)</f>
        <v/>
      </c>
      <c r="L27" s="43">
        <f>IF(L$4&gt;loan_tenor,loan_repeat*(1-ladder_dpd90)*INDEX($C$26:K$26,1,L$4-loan_tenor+1)*L6/INDEX($C$6:K$6,1,L$4-loan_tenor+1),0)</f>
        <v/>
      </c>
      <c r="M27" s="43">
        <f>IF(M$4&gt;loan_tenor,loan_repeat*(1-ladder_dpd90)*INDEX($C$26:L$26,1,M$4-loan_tenor+1)*M6/INDEX($C$6:L$6,1,M$4-loan_tenor+1),0)</f>
        <v/>
      </c>
      <c r="N27" s="43">
        <f>IF(N$4&gt;loan_tenor,loan_repeat*(1-ladder_dpd90)*INDEX($C$26:M$26,1,N$4-loan_tenor+1)*N6/INDEX($C$6:M$6,1,N$4-loan_tenor+1),0)</f>
        <v/>
      </c>
      <c r="O27" s="43">
        <f>IF(O$4&gt;loan_tenor,loan_repeat*(1-ladder_dpd90)*INDEX($C$26:N$26,1,O$4-loan_tenor+1)*O6/INDEX($C$6:N$6,1,O$4-loan_tenor+1),0)</f>
        <v/>
      </c>
      <c r="P27" s="43">
        <f>IF(P$4&gt;loan_tenor,loan_repeat*(1-ladder_dpd90)*INDEX($C$26:O$26,1,P$4-loan_tenor+1)*P6/INDEX($C$6:O$6,1,P$4-loan_tenor+1),0)</f>
        <v/>
      </c>
      <c r="Q27" s="43">
        <f>IF(Q$4&gt;loan_tenor,loan_repeat*(1-ladder_dpd90)*INDEX($C$26:P$26,1,Q$4-loan_tenor+1)*Q6/INDEX($C$6:P$6,1,Q$4-loan_tenor+1),0)</f>
        <v/>
      </c>
      <c r="R27" s="43">
        <f>IF(R$4&gt;loan_tenor,loan_repeat*(1-ladder_dpd90)*INDEX($C$26:Q$26,1,R$4-loan_tenor+1)*R6/INDEX($C$6:Q$6,1,R$4-loan_tenor+1),0)</f>
        <v/>
      </c>
      <c r="S27" s="43">
        <f>IF(S$4&gt;loan_tenor,loan_repeat*(1-ladder_dpd90)*INDEX($C$26:R$26,1,S$4-loan_tenor+1)*S6/INDEX($C$6:R$6,1,S$4-loan_tenor+1),0)</f>
        <v/>
      </c>
      <c r="T27" s="43">
        <f>IF(T$4&gt;loan_tenor,loan_repeat*(1-ladder_dpd90)*INDEX($C$26:S$26,1,T$4-loan_tenor+1)*T6/INDEX($C$6:S$6,1,T$4-loan_tenor+1),0)</f>
        <v/>
      </c>
      <c r="U27" s="43">
        <f>IF(U$4&gt;loan_tenor,loan_repeat*(1-ladder_dpd90)*INDEX($C$26:T$26,1,U$4-loan_tenor+1)*U6/INDEX($C$6:T$6,1,U$4-loan_tenor+1),0)</f>
        <v/>
      </c>
      <c r="V27" s="43">
        <f>IF(V$4&gt;loan_tenor,loan_repeat*(1-ladder_dpd90)*INDEX($C$26:U$26,1,V$4-loan_tenor+1)*V6/INDEX($C$6:U$6,1,V$4-loan_tenor+1),0)</f>
        <v/>
      </c>
      <c r="W27" s="43">
        <f>IF(W$4&gt;loan_tenor,loan_repeat*(1-ladder_dpd90)*INDEX($C$26:V$26,1,W$4-loan_tenor+1)*W6/INDEX($C$6:V$6,1,W$4-loan_tenor+1),0)</f>
        <v/>
      </c>
      <c r="X27" s="43">
        <f>IF(X$4&gt;loan_tenor,loan_repeat*(1-ladder_dpd90)*INDEX($C$26:W$26,1,X$4-loan_tenor+1)*X6/INDEX($C$6:W$6,1,X$4-loan_tenor+1),0)</f>
        <v/>
      </c>
      <c r="Y27" s="43">
        <f>IF(Y$4&gt;loan_tenor,loan_repeat*(1-ladder_dpd90)*INDEX($C$26:X$26,1,Y$4-loan_tenor+1)*Y6/INDEX($C$6:X$6,1,Y$4-loan_tenor+1),0)</f>
        <v/>
      </c>
      <c r="Z27" s="43">
        <f>IF(Z$4&gt;loan_tenor,loan_repeat*(1-ladder_dpd90)*INDEX($C$26:Y$26,1,Z$4-loan_tenor+1)*Z6/INDEX($C$6:Y$6,1,Z$4-loan_tenor+1),0)</f>
        <v/>
      </c>
      <c r="AA27" s="43">
        <f>IF(AA$4&gt;loan_tenor,loan_repeat*(1-ladder_dpd90)*INDEX($C$26:Z$26,1,AA$4-loan_tenor+1)*AA6/INDEX($C$6:Z$6,1,AA$4-loan_tenor+1),0)</f>
        <v/>
      </c>
      <c r="AB27" s="43">
        <f>IF(AB$4&gt;loan_tenor,loan_repeat*(1-ladder_dpd90)*INDEX($C$26:AA$26,1,AB$4-loan_tenor+1)*AB6/INDEX($C$6:AA$6,1,AB$4-loan_tenor+1),0)</f>
        <v/>
      </c>
      <c r="AC27" s="43">
        <f>IF(AC$4&gt;loan_tenor,loan_repeat*(1-ladder_dpd90)*INDEX($C$26:AB$26,1,AC$4-loan_tenor+1)*AC6/INDEX($C$6:AB$6,1,AC$4-loan_tenor+1),0)</f>
        <v/>
      </c>
      <c r="AD27" s="43">
        <f>IF(AD$4&gt;loan_tenor,loan_repeat*(1-ladder_dpd90)*INDEX($C$26:AC$26,1,AD$4-loan_tenor+1)*AD6/INDEX($C$6:AC$6,1,AD$4-loan_tenor+1),0)</f>
        <v/>
      </c>
      <c r="AE27" s="43">
        <f>IF(AE$4&gt;loan_tenor,loan_repeat*(1-ladder_dpd90)*INDEX($C$26:AD$26,1,AE$4-loan_tenor+1)*AE6/INDEX($C$6:AD$6,1,AE$4-loan_tenor+1),0)</f>
        <v/>
      </c>
      <c r="AF27" s="43">
        <f>IF(AF$4&gt;loan_tenor,loan_repeat*(1-ladder_dpd90)*INDEX($C$26:AE$26,1,AF$4-loan_tenor+1)*AF6/INDEX($C$6:AE$6,1,AF$4-loan_tenor+1),0)</f>
        <v/>
      </c>
      <c r="AG27" s="43">
        <f>IF(AG$4&gt;loan_tenor,loan_repeat*(1-ladder_dpd90)*INDEX($C$26:AF$26,1,AG$4-loan_tenor+1)*AG6/INDEX($C$6:AF$6,1,AG$4-loan_tenor+1),0)</f>
        <v/>
      </c>
      <c r="AH27" s="43">
        <f>IF(AH$4&gt;loan_tenor,loan_repeat*(1-ladder_dpd90)*INDEX($C$26:AG$26,1,AH$4-loan_tenor+1)*AH6/INDEX($C$6:AG$6,1,AH$4-loan_tenor+1),0)</f>
        <v/>
      </c>
      <c r="AI27" s="43">
        <f>IF(AI$4&gt;loan_tenor,loan_repeat*(1-ladder_dpd90)*INDEX($C$26:AH$26,1,AI$4-loan_tenor+1)*AI6/INDEX($C$6:AH$6,1,AI$4-loan_tenor+1),0)</f>
        <v/>
      </c>
      <c r="AJ27" s="43">
        <f>IF(AJ$4&gt;loan_tenor,loan_repeat*(1-ladder_dpd90)*INDEX($C$26:AI$26,1,AJ$4-loan_tenor+1)*AJ6/INDEX($C$6:AI$6,1,AJ$4-loan_tenor+1),0)</f>
        <v/>
      </c>
      <c r="AK27" s="43">
        <f>IF(AK$4&gt;loan_tenor,loan_repeat*(1-ladder_dpd90)*INDEX($C$26:AJ$26,1,AK$4-loan_tenor+1)*AK6/INDEX($C$6:AJ$6,1,AK$4-loan_tenor+1),0)</f>
        <v/>
      </c>
      <c r="AL27" s="43">
        <f>IF(AL$4&gt;loan_tenor,loan_repeat*(1-ladder_dpd90)*INDEX($C$26:AK$26,1,AL$4-loan_tenor+1)*AL6/INDEX($C$6:AK$6,1,AL$4-loan_tenor+1),0)</f>
        <v/>
      </c>
      <c r="AM27" s="43">
        <f>IF(AM$4&gt;loan_tenor,loan_repeat*(1-ladder_dpd90)*INDEX($C$26:AL$26,1,AM$4-loan_tenor+1)*AM6/INDEX($C$6:AL$6,1,AM$4-loan_tenor+1),0)</f>
        <v/>
      </c>
      <c r="AN27" s="43">
        <f>IF(AN$4&gt;loan_tenor,loan_repeat*(1-ladder_dpd90)*INDEX($C$26:AM$26,1,AN$4-loan_tenor+1)*AN6/INDEX($C$6:AM$6,1,AN$4-loan_tenor+1),0)</f>
        <v/>
      </c>
      <c r="AO27" s="43">
        <f>IF(AO$4&gt;loan_tenor,loan_repeat*(1-ladder_dpd90)*INDEX($C$26:AN$26,1,AO$4-loan_tenor+1)*AO6/INDEX($C$6:AN$6,1,AO$4-loan_tenor+1),0)</f>
        <v/>
      </c>
      <c r="AP27" s="43">
        <f>IF(AP$4&gt;loan_tenor,loan_repeat*(1-ladder_dpd90)*INDEX($C$26:AO$26,1,AP$4-loan_tenor+1)*AP6/INDEX($C$6:AO$6,1,AP$4-loan_tenor+1),0)</f>
        <v/>
      </c>
      <c r="AQ27" s="43">
        <f>IF(AQ$4&gt;loan_tenor,loan_repeat*(1-ladder_dpd90)*INDEX($C$26:AP$26,1,AQ$4-loan_tenor+1)*AQ6/INDEX($C$6:AP$6,1,AQ$4-loan_tenor+1),0)</f>
        <v/>
      </c>
      <c r="AR27" s="43">
        <f>IF(AR$4&gt;loan_tenor,loan_repeat*(1-ladder_dpd90)*INDEX($C$26:AQ$26,1,AR$4-loan_tenor+1)*AR6/INDEX($C$6:AQ$6,1,AR$4-loan_tenor+1),0)</f>
        <v/>
      </c>
      <c r="AS27" s="43">
        <f>IF(AS$4&gt;loan_tenor,loan_repeat*(1-ladder_dpd90)*INDEX($C$26:AR$26,1,AS$4-loan_tenor+1)*AS6/INDEX($C$6:AR$6,1,AS$4-loan_tenor+1),0)</f>
        <v/>
      </c>
      <c r="AT27" s="43">
        <f>IF(AT$4&gt;loan_tenor,loan_repeat*(1-ladder_dpd90)*INDEX($C$26:AS$26,1,AT$4-loan_tenor+1)*AT6/INDEX($C$6:AS$6,1,AT$4-loan_tenor+1),0)</f>
        <v/>
      </c>
      <c r="AU27" s="43">
        <f>IF(AU$4&gt;loan_tenor,loan_repeat*(1-ladder_dpd90)*INDEX($C$26:AT$26,1,AU$4-loan_tenor+1)*AU6/INDEX($C$6:AT$6,1,AU$4-loan_tenor+1),0)</f>
        <v/>
      </c>
      <c r="AV27" s="43">
        <f>IF(AV$4&gt;loan_tenor,loan_repeat*(1-ladder_dpd90)*INDEX($C$26:AU$26,1,AV$4-loan_tenor+1)*AV6/INDEX($C$6:AU$6,1,AV$4-loan_tenor+1),0)</f>
        <v/>
      </c>
      <c r="AW27" s="43">
        <f>IF(AW$4&gt;loan_tenor,loan_repeat*(1-ladder_dpd90)*INDEX($C$26:AV$26,1,AW$4-loan_tenor+1)*AW6/INDEX($C$6:AV$6,1,AW$4-loan_tenor+1),0)</f>
        <v/>
      </c>
      <c r="AX27" s="43">
        <f>IF(AX$4&gt;loan_tenor,loan_repeat*(1-ladder_dpd90)*INDEX($C$26:AW$26,1,AX$4-loan_tenor+1)*AX6/INDEX($C$6:AW$6,1,AX$4-loan_tenor+1),0)</f>
        <v/>
      </c>
      <c r="AY27" s="43">
        <f>IF(AY$4&gt;loan_tenor,loan_repeat*(1-ladder_dpd90)*INDEX($C$26:AX$26,1,AY$4-loan_tenor+1)*AY6/INDEX($C$6:AX$6,1,AY$4-loan_tenor+1),0)</f>
        <v/>
      </c>
      <c r="AZ27" s="43">
        <f>IF(AZ$4&gt;loan_tenor,loan_repeat*(1-ladder_dpd90)*INDEX($C$26:AY$26,1,AZ$4-loan_tenor+1)*AZ6/INDEX($C$6:AY$6,1,AZ$4-loan_tenor+1),0)</f>
        <v/>
      </c>
      <c r="BA27" s="43">
        <f>IF(BA$4&gt;loan_tenor,loan_repeat*(1-ladder_dpd90)*INDEX($C$26:AZ$26,1,BA$4-loan_tenor+1)*BA6/INDEX($C$6:AZ$6,1,BA$4-loan_tenor+1),0)</f>
        <v/>
      </c>
      <c r="BB27" s="43">
        <f>IF(BB$4&gt;loan_tenor,loan_repeat*(1-ladder_dpd90)*INDEX($C$26:BA$26,1,BB$4-loan_tenor+1)*BB6/INDEX($C$6:BA$6,1,BB$4-loan_tenor+1),0)</f>
        <v/>
      </c>
      <c r="BC27" s="43">
        <f>IF(BC$4&gt;loan_tenor,loan_repeat*(1-ladder_dpd90)*INDEX($C$26:BB$26,1,BC$4-loan_tenor+1)*BC6/INDEX($C$6:BB$6,1,BC$4-loan_tenor+1),0)</f>
        <v/>
      </c>
      <c r="BD27" s="43">
        <f>IF(BD$4&gt;loan_tenor,loan_repeat*(1-ladder_dpd90)*INDEX($C$26:BC$26,1,BD$4-loan_tenor+1)*BD6/INDEX($C$6:BC$6,1,BD$4-loan_tenor+1),0)</f>
        <v/>
      </c>
      <c r="BE27" s="43">
        <f>IF(BE$4&gt;loan_tenor,loan_repeat*(1-ladder_dpd90)*INDEX($C$26:BD$26,1,BE$4-loan_tenor+1)*BE6/INDEX($C$6:BD$6,1,BE$4-loan_tenor+1),0)</f>
        <v/>
      </c>
      <c r="BF27" s="43">
        <f>IF(BF$4&gt;loan_tenor,loan_repeat*(1-ladder_dpd90)*INDEX($C$26:BE$26,1,BF$4-loan_tenor+1)*BF6/INDEX($C$6:BE$6,1,BF$4-loan_tenor+1),0)</f>
        <v/>
      </c>
      <c r="BG27" s="43">
        <f>IF(BG$4&gt;loan_tenor,loan_repeat*(1-ladder_dpd90)*INDEX($C$26:BF$26,1,BG$4-loan_tenor+1)*BG6/INDEX($C$6:BF$6,1,BG$4-loan_tenor+1),0)</f>
        <v/>
      </c>
      <c r="BH27" s="43">
        <f>IF(BH$4&gt;loan_tenor,loan_repeat*(1-ladder_dpd90)*INDEX($C$26:BG$26,1,BH$4-loan_tenor+1)*BH6/INDEX($C$6:BG$6,1,BH$4-loan_tenor+1),0)</f>
        <v/>
      </c>
      <c r="BI27" s="43">
        <f>IF(BI$4&gt;loan_tenor,loan_repeat*(1-ladder_dpd90)*INDEX($C$26:BH$26,1,BI$4-loan_tenor+1)*BI6/INDEX($C$6:BH$6,1,BI$4-loan_tenor+1),0)</f>
        <v/>
      </c>
      <c r="BJ27" s="43">
        <f>IF(BJ$4&gt;loan_tenor,loan_repeat*(1-ladder_dpd90)*INDEX($C$26:BI$26,1,BJ$4-loan_tenor+1)*BJ6/INDEX($C$6:BI$6,1,BJ$4-loan_tenor+1),0)</f>
        <v/>
      </c>
      <c r="BK27" s="43">
        <f>IF(BK$4&gt;loan_tenor,loan_repeat*(1-ladder_dpd90)*INDEX($C$26:BJ$26,1,BK$4-loan_tenor+1)*BK6/INDEX($C$6:BJ$6,1,BK$4-loan_tenor+1),0)</f>
        <v/>
      </c>
    </row>
    <row r="28">
      <c r="A28" s="25" t="inlineStr">
        <is>
          <t>…first unsecured loans (loan 5)</t>
        </is>
      </c>
      <c r="B28" s="28" t="inlineStr">
        <is>
          <t>loans</t>
        </is>
      </c>
      <c r="C28" s="42" t="n">
        <v>0</v>
      </c>
      <c r="D28" s="43">
        <f>IF(D$4&gt;loan_tenor,loan_repeat*(1-ladder_dpd90)*INDEX($C$27:C$27,1,D$4-loan_tenor+1)*D6/INDEX($C$6:C$6,1,D$4-loan_tenor+1),0)</f>
        <v/>
      </c>
      <c r="E28" s="43">
        <f>IF(E$4&gt;loan_tenor,loan_repeat*(1-ladder_dpd90)*INDEX($C$27:D$27,1,E$4-loan_tenor+1)*E6/INDEX($C$6:D$6,1,E$4-loan_tenor+1),0)</f>
        <v/>
      </c>
      <c r="F28" s="43">
        <f>IF(F$4&gt;loan_tenor,loan_repeat*(1-ladder_dpd90)*INDEX($C$27:E$27,1,F$4-loan_tenor+1)*F6/INDEX($C$6:E$6,1,F$4-loan_tenor+1),0)</f>
        <v/>
      </c>
      <c r="G28" s="43">
        <f>IF(G$4&gt;loan_tenor,loan_repeat*(1-ladder_dpd90)*INDEX($C$27:F$27,1,G$4-loan_tenor+1)*G6/INDEX($C$6:F$6,1,G$4-loan_tenor+1),0)</f>
        <v/>
      </c>
      <c r="H28" s="43">
        <f>IF(H$4&gt;loan_tenor,loan_repeat*(1-ladder_dpd90)*INDEX($C$27:G$27,1,H$4-loan_tenor+1)*H6/INDEX($C$6:G$6,1,H$4-loan_tenor+1),0)</f>
        <v/>
      </c>
      <c r="I28" s="43">
        <f>IF(I$4&gt;loan_tenor,loan_repeat*(1-ladder_dpd90)*INDEX($C$27:H$27,1,I$4-loan_tenor+1)*I6/INDEX($C$6:H$6,1,I$4-loan_tenor+1),0)</f>
        <v/>
      </c>
      <c r="J28" s="43">
        <f>IF(J$4&gt;loan_tenor,loan_repeat*(1-ladder_dpd90)*INDEX($C$27:I$27,1,J$4-loan_tenor+1)*J6/INDEX($C$6:I$6,1,J$4-loan_tenor+1),0)</f>
        <v/>
      </c>
      <c r="K28" s="43">
        <f>IF(K$4&gt;loan_tenor,loan_repeat*(1-ladder_dpd90)*INDEX($C$27:J$27,1,K$4-loan_tenor+1)*K6/INDEX($C$6:J$6,1,K$4-loan_tenor+1),0)</f>
        <v/>
      </c>
      <c r="L28" s="43">
        <f>IF(L$4&gt;loan_tenor,loan_repeat*(1-ladder_dpd90)*INDEX($C$27:K$27,1,L$4-loan_tenor+1)*L6/INDEX($C$6:K$6,1,L$4-loan_tenor+1),0)</f>
        <v/>
      </c>
      <c r="M28" s="43">
        <f>IF(M$4&gt;loan_tenor,loan_repeat*(1-ladder_dpd90)*INDEX($C$27:L$27,1,M$4-loan_tenor+1)*M6/INDEX($C$6:L$6,1,M$4-loan_tenor+1),0)</f>
        <v/>
      </c>
      <c r="N28" s="43">
        <f>IF(N$4&gt;loan_tenor,loan_repeat*(1-ladder_dpd90)*INDEX($C$27:M$27,1,N$4-loan_tenor+1)*N6/INDEX($C$6:M$6,1,N$4-loan_tenor+1),0)</f>
        <v/>
      </c>
      <c r="O28" s="43">
        <f>IF(O$4&gt;loan_tenor,loan_repeat*(1-ladder_dpd90)*INDEX($C$27:N$27,1,O$4-loan_tenor+1)*O6/INDEX($C$6:N$6,1,O$4-loan_tenor+1),0)</f>
        <v/>
      </c>
      <c r="P28" s="43">
        <f>IF(P$4&gt;loan_tenor,loan_repeat*(1-ladder_dpd90)*INDEX($C$27:O$27,1,P$4-loan_tenor+1)*P6/INDEX($C$6:O$6,1,P$4-loan_tenor+1),0)</f>
        <v/>
      </c>
      <c r="Q28" s="43">
        <f>IF(Q$4&gt;loan_tenor,loan_repeat*(1-ladder_dpd90)*INDEX($C$27:P$27,1,Q$4-loan_tenor+1)*Q6/INDEX($C$6:P$6,1,Q$4-loan_tenor+1),0)</f>
        <v/>
      </c>
      <c r="R28" s="43">
        <f>IF(R$4&gt;loan_tenor,loan_repeat*(1-ladder_dpd90)*INDEX($C$27:Q$27,1,R$4-loan_tenor+1)*R6/INDEX($C$6:Q$6,1,R$4-loan_tenor+1),0)</f>
        <v/>
      </c>
      <c r="S28" s="43">
        <f>IF(S$4&gt;loan_tenor,loan_repeat*(1-ladder_dpd90)*INDEX($C$27:R$27,1,S$4-loan_tenor+1)*S6/INDEX($C$6:R$6,1,S$4-loan_tenor+1),0)</f>
        <v/>
      </c>
      <c r="T28" s="43">
        <f>IF(T$4&gt;loan_tenor,loan_repeat*(1-ladder_dpd90)*INDEX($C$27:S$27,1,T$4-loan_tenor+1)*T6/INDEX($C$6:S$6,1,T$4-loan_tenor+1),0)</f>
        <v/>
      </c>
      <c r="U28" s="43">
        <f>IF(U$4&gt;loan_tenor,loan_repeat*(1-ladder_dpd90)*INDEX($C$27:T$27,1,U$4-loan_tenor+1)*U6/INDEX($C$6:T$6,1,U$4-loan_tenor+1),0)</f>
        <v/>
      </c>
      <c r="V28" s="43">
        <f>IF(V$4&gt;loan_tenor,loan_repeat*(1-ladder_dpd90)*INDEX($C$27:U$27,1,V$4-loan_tenor+1)*V6/INDEX($C$6:U$6,1,V$4-loan_tenor+1),0)</f>
        <v/>
      </c>
      <c r="W28" s="43">
        <f>IF(W$4&gt;loan_tenor,loan_repeat*(1-ladder_dpd90)*INDEX($C$27:V$27,1,W$4-loan_tenor+1)*W6/INDEX($C$6:V$6,1,W$4-loan_tenor+1),0)</f>
        <v/>
      </c>
      <c r="X28" s="43">
        <f>IF(X$4&gt;loan_tenor,loan_repeat*(1-ladder_dpd90)*INDEX($C$27:W$27,1,X$4-loan_tenor+1)*X6/INDEX($C$6:W$6,1,X$4-loan_tenor+1),0)</f>
        <v/>
      </c>
      <c r="Y28" s="43">
        <f>IF(Y$4&gt;loan_tenor,loan_repeat*(1-ladder_dpd90)*INDEX($C$27:X$27,1,Y$4-loan_tenor+1)*Y6/INDEX($C$6:X$6,1,Y$4-loan_tenor+1),0)</f>
        <v/>
      </c>
      <c r="Z28" s="43">
        <f>IF(Z$4&gt;loan_tenor,loan_repeat*(1-ladder_dpd90)*INDEX($C$27:Y$27,1,Z$4-loan_tenor+1)*Z6/INDEX($C$6:Y$6,1,Z$4-loan_tenor+1),0)</f>
        <v/>
      </c>
      <c r="AA28" s="43">
        <f>IF(AA$4&gt;loan_tenor,loan_repeat*(1-ladder_dpd90)*INDEX($C$27:Z$27,1,AA$4-loan_tenor+1)*AA6/INDEX($C$6:Z$6,1,AA$4-loan_tenor+1),0)</f>
        <v/>
      </c>
      <c r="AB28" s="43">
        <f>IF(AB$4&gt;loan_tenor,loan_repeat*(1-ladder_dpd90)*INDEX($C$27:AA$27,1,AB$4-loan_tenor+1)*AB6/INDEX($C$6:AA$6,1,AB$4-loan_tenor+1),0)</f>
        <v/>
      </c>
      <c r="AC28" s="43">
        <f>IF(AC$4&gt;loan_tenor,loan_repeat*(1-ladder_dpd90)*INDEX($C$27:AB$27,1,AC$4-loan_tenor+1)*AC6/INDEX($C$6:AB$6,1,AC$4-loan_tenor+1),0)</f>
        <v/>
      </c>
      <c r="AD28" s="43">
        <f>IF(AD$4&gt;loan_tenor,loan_repeat*(1-ladder_dpd90)*INDEX($C$27:AC$27,1,AD$4-loan_tenor+1)*AD6/INDEX($C$6:AC$6,1,AD$4-loan_tenor+1),0)</f>
        <v/>
      </c>
      <c r="AE28" s="43">
        <f>IF(AE$4&gt;loan_tenor,loan_repeat*(1-ladder_dpd90)*INDEX($C$27:AD$27,1,AE$4-loan_tenor+1)*AE6/INDEX($C$6:AD$6,1,AE$4-loan_tenor+1),0)</f>
        <v/>
      </c>
      <c r="AF28" s="43">
        <f>IF(AF$4&gt;loan_tenor,loan_repeat*(1-ladder_dpd90)*INDEX($C$27:AE$27,1,AF$4-loan_tenor+1)*AF6/INDEX($C$6:AE$6,1,AF$4-loan_tenor+1),0)</f>
        <v/>
      </c>
      <c r="AG28" s="43">
        <f>IF(AG$4&gt;loan_tenor,loan_repeat*(1-ladder_dpd90)*INDEX($C$27:AF$27,1,AG$4-loan_tenor+1)*AG6/INDEX($C$6:AF$6,1,AG$4-loan_tenor+1),0)</f>
        <v/>
      </c>
      <c r="AH28" s="43">
        <f>IF(AH$4&gt;loan_tenor,loan_repeat*(1-ladder_dpd90)*INDEX($C$27:AG$27,1,AH$4-loan_tenor+1)*AH6/INDEX($C$6:AG$6,1,AH$4-loan_tenor+1),0)</f>
        <v/>
      </c>
      <c r="AI28" s="43">
        <f>IF(AI$4&gt;loan_tenor,loan_repeat*(1-ladder_dpd90)*INDEX($C$27:AH$27,1,AI$4-loan_tenor+1)*AI6/INDEX($C$6:AH$6,1,AI$4-loan_tenor+1),0)</f>
        <v/>
      </c>
      <c r="AJ28" s="43">
        <f>IF(AJ$4&gt;loan_tenor,loan_repeat*(1-ladder_dpd90)*INDEX($C$27:AI$27,1,AJ$4-loan_tenor+1)*AJ6/INDEX($C$6:AI$6,1,AJ$4-loan_tenor+1),0)</f>
        <v/>
      </c>
      <c r="AK28" s="43">
        <f>IF(AK$4&gt;loan_tenor,loan_repeat*(1-ladder_dpd90)*INDEX($C$27:AJ$27,1,AK$4-loan_tenor+1)*AK6/INDEX($C$6:AJ$6,1,AK$4-loan_tenor+1),0)</f>
        <v/>
      </c>
      <c r="AL28" s="43">
        <f>IF(AL$4&gt;loan_tenor,loan_repeat*(1-ladder_dpd90)*INDEX($C$27:AK$27,1,AL$4-loan_tenor+1)*AL6/INDEX($C$6:AK$6,1,AL$4-loan_tenor+1),0)</f>
        <v/>
      </c>
      <c r="AM28" s="43">
        <f>IF(AM$4&gt;loan_tenor,loan_repeat*(1-ladder_dpd90)*INDEX($C$27:AL$27,1,AM$4-loan_tenor+1)*AM6/INDEX($C$6:AL$6,1,AM$4-loan_tenor+1),0)</f>
        <v/>
      </c>
      <c r="AN28" s="43">
        <f>IF(AN$4&gt;loan_tenor,loan_repeat*(1-ladder_dpd90)*INDEX($C$27:AM$27,1,AN$4-loan_tenor+1)*AN6/INDEX($C$6:AM$6,1,AN$4-loan_tenor+1),0)</f>
        <v/>
      </c>
      <c r="AO28" s="43">
        <f>IF(AO$4&gt;loan_tenor,loan_repeat*(1-ladder_dpd90)*INDEX($C$27:AN$27,1,AO$4-loan_tenor+1)*AO6/INDEX($C$6:AN$6,1,AO$4-loan_tenor+1),0)</f>
        <v/>
      </c>
      <c r="AP28" s="43">
        <f>IF(AP$4&gt;loan_tenor,loan_repeat*(1-ladder_dpd90)*INDEX($C$27:AO$27,1,AP$4-loan_tenor+1)*AP6/INDEX($C$6:AO$6,1,AP$4-loan_tenor+1),0)</f>
        <v/>
      </c>
      <c r="AQ28" s="43">
        <f>IF(AQ$4&gt;loan_tenor,loan_repeat*(1-ladder_dpd90)*INDEX($C$27:AP$27,1,AQ$4-loan_tenor+1)*AQ6/INDEX($C$6:AP$6,1,AQ$4-loan_tenor+1),0)</f>
        <v/>
      </c>
      <c r="AR28" s="43">
        <f>IF(AR$4&gt;loan_tenor,loan_repeat*(1-ladder_dpd90)*INDEX($C$27:AQ$27,1,AR$4-loan_tenor+1)*AR6/INDEX($C$6:AQ$6,1,AR$4-loan_tenor+1),0)</f>
        <v/>
      </c>
      <c r="AS28" s="43">
        <f>IF(AS$4&gt;loan_tenor,loan_repeat*(1-ladder_dpd90)*INDEX($C$27:AR$27,1,AS$4-loan_tenor+1)*AS6/INDEX($C$6:AR$6,1,AS$4-loan_tenor+1),0)</f>
        <v/>
      </c>
      <c r="AT28" s="43">
        <f>IF(AT$4&gt;loan_tenor,loan_repeat*(1-ladder_dpd90)*INDEX($C$27:AS$27,1,AT$4-loan_tenor+1)*AT6/INDEX($C$6:AS$6,1,AT$4-loan_tenor+1),0)</f>
        <v/>
      </c>
      <c r="AU28" s="43">
        <f>IF(AU$4&gt;loan_tenor,loan_repeat*(1-ladder_dpd90)*INDEX($C$27:AT$27,1,AU$4-loan_tenor+1)*AU6/INDEX($C$6:AT$6,1,AU$4-loan_tenor+1),0)</f>
        <v/>
      </c>
      <c r="AV28" s="43">
        <f>IF(AV$4&gt;loan_tenor,loan_repeat*(1-ladder_dpd90)*INDEX($C$27:AU$27,1,AV$4-loan_tenor+1)*AV6/INDEX($C$6:AU$6,1,AV$4-loan_tenor+1),0)</f>
        <v/>
      </c>
      <c r="AW28" s="43">
        <f>IF(AW$4&gt;loan_tenor,loan_repeat*(1-ladder_dpd90)*INDEX($C$27:AV$27,1,AW$4-loan_tenor+1)*AW6/INDEX($C$6:AV$6,1,AW$4-loan_tenor+1),0)</f>
        <v/>
      </c>
      <c r="AX28" s="43">
        <f>IF(AX$4&gt;loan_tenor,loan_repeat*(1-ladder_dpd90)*INDEX($C$27:AW$27,1,AX$4-loan_tenor+1)*AX6/INDEX($C$6:AW$6,1,AX$4-loan_tenor+1),0)</f>
        <v/>
      </c>
      <c r="AY28" s="43">
        <f>IF(AY$4&gt;loan_tenor,loan_repeat*(1-ladder_dpd90)*INDEX($C$27:AX$27,1,AY$4-loan_tenor+1)*AY6/INDEX($C$6:AX$6,1,AY$4-loan_tenor+1),0)</f>
        <v/>
      </c>
      <c r="AZ28" s="43">
        <f>IF(AZ$4&gt;loan_tenor,loan_repeat*(1-ladder_dpd90)*INDEX($C$27:AY$27,1,AZ$4-loan_tenor+1)*AZ6/INDEX($C$6:AY$6,1,AZ$4-loan_tenor+1),0)</f>
        <v/>
      </c>
      <c r="BA28" s="43">
        <f>IF(BA$4&gt;loan_tenor,loan_repeat*(1-ladder_dpd90)*INDEX($C$27:AZ$27,1,BA$4-loan_tenor+1)*BA6/INDEX($C$6:AZ$6,1,BA$4-loan_tenor+1),0)</f>
        <v/>
      </c>
      <c r="BB28" s="43">
        <f>IF(BB$4&gt;loan_tenor,loan_repeat*(1-ladder_dpd90)*INDEX($C$27:BA$27,1,BB$4-loan_tenor+1)*BB6/INDEX($C$6:BA$6,1,BB$4-loan_tenor+1),0)</f>
        <v/>
      </c>
      <c r="BC28" s="43">
        <f>IF(BC$4&gt;loan_tenor,loan_repeat*(1-ladder_dpd90)*INDEX($C$27:BB$27,1,BC$4-loan_tenor+1)*BC6/INDEX($C$6:BB$6,1,BC$4-loan_tenor+1),0)</f>
        <v/>
      </c>
      <c r="BD28" s="43">
        <f>IF(BD$4&gt;loan_tenor,loan_repeat*(1-ladder_dpd90)*INDEX($C$27:BC$27,1,BD$4-loan_tenor+1)*BD6/INDEX($C$6:BC$6,1,BD$4-loan_tenor+1),0)</f>
        <v/>
      </c>
      <c r="BE28" s="43">
        <f>IF(BE$4&gt;loan_tenor,loan_repeat*(1-ladder_dpd90)*INDEX($C$27:BD$27,1,BE$4-loan_tenor+1)*BE6/INDEX($C$6:BD$6,1,BE$4-loan_tenor+1),0)</f>
        <v/>
      </c>
      <c r="BF28" s="43">
        <f>IF(BF$4&gt;loan_tenor,loan_repeat*(1-ladder_dpd90)*INDEX($C$27:BE$27,1,BF$4-loan_tenor+1)*BF6/INDEX($C$6:BE$6,1,BF$4-loan_tenor+1),0)</f>
        <v/>
      </c>
      <c r="BG28" s="43">
        <f>IF(BG$4&gt;loan_tenor,loan_repeat*(1-ladder_dpd90)*INDEX($C$27:BF$27,1,BG$4-loan_tenor+1)*BG6/INDEX($C$6:BF$6,1,BG$4-loan_tenor+1),0)</f>
        <v/>
      </c>
      <c r="BH28" s="43">
        <f>IF(BH$4&gt;loan_tenor,loan_repeat*(1-ladder_dpd90)*INDEX($C$27:BG$27,1,BH$4-loan_tenor+1)*BH6/INDEX($C$6:BG$6,1,BH$4-loan_tenor+1),0)</f>
        <v/>
      </c>
      <c r="BI28" s="43">
        <f>IF(BI$4&gt;loan_tenor,loan_repeat*(1-ladder_dpd90)*INDEX($C$27:BH$27,1,BI$4-loan_tenor+1)*BI6/INDEX($C$6:BH$6,1,BI$4-loan_tenor+1),0)</f>
        <v/>
      </c>
      <c r="BJ28" s="43">
        <f>IF(BJ$4&gt;loan_tenor,loan_repeat*(1-ladder_dpd90)*INDEX($C$27:BI$27,1,BJ$4-loan_tenor+1)*BJ6/INDEX($C$6:BI$6,1,BJ$4-loan_tenor+1),0)</f>
        <v/>
      </c>
      <c r="BK28" s="43">
        <f>IF(BK$4&gt;loan_tenor,loan_repeat*(1-ladder_dpd90)*INDEX($C$27:BJ$27,1,BK$4-loan_tenor+1)*BK6/INDEX($C$6:BJ$6,1,BK$4-loan_tenor+1),0)</f>
        <v/>
      </c>
    </row>
    <row r="29">
      <c r="A29" s="25" t="inlineStr">
        <is>
          <t>Loans 5+ (unsecured)</t>
        </is>
      </c>
      <c r="B29" s="28" t="inlineStr">
        <is>
          <t>loans</t>
        </is>
      </c>
      <c r="C29" s="42" t="n">
        <v>0</v>
      </c>
      <c r="D29" s="43">
        <f>IF(D$4&gt;loan_tenor,D28+loan_repeat*(1-ladder_dpd90)*INDEX($C$29:C$29,1,D$4-loan_tenor+1)*D6/INDEX($C$6:C$6,1,D$4-loan_tenor+1),0)</f>
        <v/>
      </c>
      <c r="E29" s="43">
        <f>IF(E$4&gt;loan_tenor,E28+loan_repeat*(1-ladder_dpd90)*INDEX($C$29:D$29,1,E$4-loan_tenor+1)*E6/INDEX($C$6:D$6,1,E$4-loan_tenor+1),0)</f>
        <v/>
      </c>
      <c r="F29" s="43">
        <f>IF(F$4&gt;loan_tenor,F28+loan_repeat*(1-ladder_dpd90)*INDEX($C$29:E$29,1,F$4-loan_tenor+1)*F6/INDEX($C$6:E$6,1,F$4-loan_tenor+1),0)</f>
        <v/>
      </c>
      <c r="G29" s="43">
        <f>IF(G$4&gt;loan_tenor,G28+loan_repeat*(1-ladder_dpd90)*INDEX($C$29:F$29,1,G$4-loan_tenor+1)*G6/INDEX($C$6:F$6,1,G$4-loan_tenor+1),0)</f>
        <v/>
      </c>
      <c r="H29" s="43">
        <f>IF(H$4&gt;loan_tenor,H28+loan_repeat*(1-ladder_dpd90)*INDEX($C$29:G$29,1,H$4-loan_tenor+1)*H6/INDEX($C$6:G$6,1,H$4-loan_tenor+1),0)</f>
        <v/>
      </c>
      <c r="I29" s="43">
        <f>IF(I$4&gt;loan_tenor,I28+loan_repeat*(1-ladder_dpd90)*INDEX($C$29:H$29,1,I$4-loan_tenor+1)*I6/INDEX($C$6:H$6,1,I$4-loan_tenor+1),0)</f>
        <v/>
      </c>
      <c r="J29" s="43">
        <f>IF(J$4&gt;loan_tenor,J28+loan_repeat*(1-ladder_dpd90)*INDEX($C$29:I$29,1,J$4-loan_tenor+1)*J6/INDEX($C$6:I$6,1,J$4-loan_tenor+1),0)</f>
        <v/>
      </c>
      <c r="K29" s="43">
        <f>IF(K$4&gt;loan_tenor,K28+loan_repeat*(1-ladder_dpd90)*INDEX($C$29:J$29,1,K$4-loan_tenor+1)*K6/INDEX($C$6:J$6,1,K$4-loan_tenor+1),0)</f>
        <v/>
      </c>
      <c r="L29" s="43">
        <f>IF(L$4&gt;loan_tenor,L28+loan_repeat*(1-ladder_dpd90)*INDEX($C$29:K$29,1,L$4-loan_tenor+1)*L6/INDEX($C$6:K$6,1,L$4-loan_tenor+1),0)</f>
        <v/>
      </c>
      <c r="M29" s="43">
        <f>IF(M$4&gt;loan_tenor,M28+loan_repeat*(1-ladder_dpd90)*INDEX($C$29:L$29,1,M$4-loan_tenor+1)*M6/INDEX($C$6:L$6,1,M$4-loan_tenor+1),0)</f>
        <v/>
      </c>
      <c r="N29" s="43">
        <f>IF(N$4&gt;loan_tenor,N28+loan_repeat*(1-ladder_dpd90)*INDEX($C$29:M$29,1,N$4-loan_tenor+1)*N6/INDEX($C$6:M$6,1,N$4-loan_tenor+1),0)</f>
        <v/>
      </c>
      <c r="O29" s="43">
        <f>IF(O$4&gt;loan_tenor,O28+loan_repeat*(1-ladder_dpd90)*INDEX($C$29:N$29,1,O$4-loan_tenor+1)*O6/INDEX($C$6:N$6,1,O$4-loan_tenor+1),0)</f>
        <v/>
      </c>
      <c r="P29" s="43">
        <f>IF(P$4&gt;loan_tenor,P28+loan_repeat*(1-ladder_dpd90)*INDEX($C$29:O$29,1,P$4-loan_tenor+1)*P6/INDEX($C$6:O$6,1,P$4-loan_tenor+1),0)</f>
        <v/>
      </c>
      <c r="Q29" s="43">
        <f>IF(Q$4&gt;loan_tenor,Q28+loan_repeat*(1-ladder_dpd90)*INDEX($C$29:P$29,1,Q$4-loan_tenor+1)*Q6/INDEX($C$6:P$6,1,Q$4-loan_tenor+1),0)</f>
        <v/>
      </c>
      <c r="R29" s="43">
        <f>IF(R$4&gt;loan_tenor,R28+loan_repeat*(1-ladder_dpd90)*INDEX($C$29:Q$29,1,R$4-loan_tenor+1)*R6/INDEX($C$6:Q$6,1,R$4-loan_tenor+1),0)</f>
        <v/>
      </c>
      <c r="S29" s="43">
        <f>IF(S$4&gt;loan_tenor,S28+loan_repeat*(1-ladder_dpd90)*INDEX($C$29:R$29,1,S$4-loan_tenor+1)*S6/INDEX($C$6:R$6,1,S$4-loan_tenor+1),0)</f>
        <v/>
      </c>
      <c r="T29" s="43">
        <f>IF(T$4&gt;loan_tenor,T28+loan_repeat*(1-ladder_dpd90)*INDEX($C$29:S$29,1,T$4-loan_tenor+1)*T6/INDEX($C$6:S$6,1,T$4-loan_tenor+1),0)</f>
        <v/>
      </c>
      <c r="U29" s="43">
        <f>IF(U$4&gt;loan_tenor,U28+loan_repeat*(1-ladder_dpd90)*INDEX($C$29:T$29,1,U$4-loan_tenor+1)*U6/INDEX($C$6:T$6,1,U$4-loan_tenor+1),0)</f>
        <v/>
      </c>
      <c r="V29" s="43">
        <f>IF(V$4&gt;loan_tenor,V28+loan_repeat*(1-ladder_dpd90)*INDEX($C$29:U$29,1,V$4-loan_tenor+1)*V6/INDEX($C$6:U$6,1,V$4-loan_tenor+1),0)</f>
        <v/>
      </c>
      <c r="W29" s="43">
        <f>IF(W$4&gt;loan_tenor,W28+loan_repeat*(1-ladder_dpd90)*INDEX($C$29:V$29,1,W$4-loan_tenor+1)*W6/INDEX($C$6:V$6,1,W$4-loan_tenor+1),0)</f>
        <v/>
      </c>
      <c r="X29" s="43">
        <f>IF(X$4&gt;loan_tenor,X28+loan_repeat*(1-ladder_dpd90)*INDEX($C$29:W$29,1,X$4-loan_tenor+1)*X6/INDEX($C$6:W$6,1,X$4-loan_tenor+1),0)</f>
        <v/>
      </c>
      <c r="Y29" s="43">
        <f>IF(Y$4&gt;loan_tenor,Y28+loan_repeat*(1-ladder_dpd90)*INDEX($C$29:X$29,1,Y$4-loan_tenor+1)*Y6/INDEX($C$6:X$6,1,Y$4-loan_tenor+1),0)</f>
        <v/>
      </c>
      <c r="Z29" s="43">
        <f>IF(Z$4&gt;loan_tenor,Z28+loan_repeat*(1-ladder_dpd90)*INDEX($C$29:Y$29,1,Z$4-loan_tenor+1)*Z6/INDEX($C$6:Y$6,1,Z$4-loan_tenor+1),0)</f>
        <v/>
      </c>
      <c r="AA29" s="43">
        <f>IF(AA$4&gt;loan_tenor,AA28+loan_repeat*(1-ladder_dpd90)*INDEX($C$29:Z$29,1,AA$4-loan_tenor+1)*AA6/INDEX($C$6:Z$6,1,AA$4-loan_tenor+1),0)</f>
        <v/>
      </c>
      <c r="AB29" s="43">
        <f>IF(AB$4&gt;loan_tenor,AB28+loan_repeat*(1-ladder_dpd90)*INDEX($C$29:AA$29,1,AB$4-loan_tenor+1)*AB6/INDEX($C$6:AA$6,1,AB$4-loan_tenor+1),0)</f>
        <v/>
      </c>
      <c r="AC29" s="43">
        <f>IF(AC$4&gt;loan_tenor,AC28+loan_repeat*(1-ladder_dpd90)*INDEX($C$29:AB$29,1,AC$4-loan_tenor+1)*AC6/INDEX($C$6:AB$6,1,AC$4-loan_tenor+1),0)</f>
        <v/>
      </c>
      <c r="AD29" s="43">
        <f>IF(AD$4&gt;loan_tenor,AD28+loan_repeat*(1-ladder_dpd90)*INDEX($C$29:AC$29,1,AD$4-loan_tenor+1)*AD6/INDEX($C$6:AC$6,1,AD$4-loan_tenor+1),0)</f>
        <v/>
      </c>
      <c r="AE29" s="43">
        <f>IF(AE$4&gt;loan_tenor,AE28+loan_repeat*(1-ladder_dpd90)*INDEX($C$29:AD$29,1,AE$4-loan_tenor+1)*AE6/INDEX($C$6:AD$6,1,AE$4-loan_tenor+1),0)</f>
        <v/>
      </c>
      <c r="AF29" s="43">
        <f>IF(AF$4&gt;loan_tenor,AF28+loan_repeat*(1-ladder_dpd90)*INDEX($C$29:AE$29,1,AF$4-loan_tenor+1)*AF6/INDEX($C$6:AE$6,1,AF$4-loan_tenor+1),0)</f>
        <v/>
      </c>
      <c r="AG29" s="43">
        <f>IF(AG$4&gt;loan_tenor,AG28+loan_repeat*(1-ladder_dpd90)*INDEX($C$29:AF$29,1,AG$4-loan_tenor+1)*AG6/INDEX($C$6:AF$6,1,AG$4-loan_tenor+1),0)</f>
        <v/>
      </c>
      <c r="AH29" s="43">
        <f>IF(AH$4&gt;loan_tenor,AH28+loan_repeat*(1-ladder_dpd90)*INDEX($C$29:AG$29,1,AH$4-loan_tenor+1)*AH6/INDEX($C$6:AG$6,1,AH$4-loan_tenor+1),0)</f>
        <v/>
      </c>
      <c r="AI29" s="43">
        <f>IF(AI$4&gt;loan_tenor,AI28+loan_repeat*(1-ladder_dpd90)*INDEX($C$29:AH$29,1,AI$4-loan_tenor+1)*AI6/INDEX($C$6:AH$6,1,AI$4-loan_tenor+1),0)</f>
        <v/>
      </c>
      <c r="AJ29" s="43">
        <f>IF(AJ$4&gt;loan_tenor,AJ28+loan_repeat*(1-ladder_dpd90)*INDEX($C$29:AI$29,1,AJ$4-loan_tenor+1)*AJ6/INDEX($C$6:AI$6,1,AJ$4-loan_tenor+1),0)</f>
        <v/>
      </c>
      <c r="AK29" s="43">
        <f>IF(AK$4&gt;loan_tenor,AK28+loan_repeat*(1-ladder_dpd90)*INDEX($C$29:AJ$29,1,AK$4-loan_tenor+1)*AK6/INDEX($C$6:AJ$6,1,AK$4-loan_tenor+1),0)</f>
        <v/>
      </c>
      <c r="AL29" s="43">
        <f>IF(AL$4&gt;loan_tenor,AL28+loan_repeat*(1-ladder_dpd90)*INDEX($C$29:AK$29,1,AL$4-loan_tenor+1)*AL6/INDEX($C$6:AK$6,1,AL$4-loan_tenor+1),0)</f>
        <v/>
      </c>
      <c r="AM29" s="43">
        <f>IF(AM$4&gt;loan_tenor,AM28+loan_repeat*(1-ladder_dpd90)*INDEX($C$29:AL$29,1,AM$4-loan_tenor+1)*AM6/INDEX($C$6:AL$6,1,AM$4-loan_tenor+1),0)</f>
        <v/>
      </c>
      <c r="AN29" s="43">
        <f>IF(AN$4&gt;loan_tenor,AN28+loan_repeat*(1-ladder_dpd90)*INDEX($C$29:AM$29,1,AN$4-loan_tenor+1)*AN6/INDEX($C$6:AM$6,1,AN$4-loan_tenor+1),0)</f>
        <v/>
      </c>
      <c r="AO29" s="43">
        <f>IF(AO$4&gt;loan_tenor,AO28+loan_repeat*(1-ladder_dpd90)*INDEX($C$29:AN$29,1,AO$4-loan_tenor+1)*AO6/INDEX($C$6:AN$6,1,AO$4-loan_tenor+1),0)</f>
        <v/>
      </c>
      <c r="AP29" s="43">
        <f>IF(AP$4&gt;loan_tenor,AP28+loan_repeat*(1-ladder_dpd90)*INDEX($C$29:AO$29,1,AP$4-loan_tenor+1)*AP6/INDEX($C$6:AO$6,1,AP$4-loan_tenor+1),0)</f>
        <v/>
      </c>
      <c r="AQ29" s="43">
        <f>IF(AQ$4&gt;loan_tenor,AQ28+loan_repeat*(1-ladder_dpd90)*INDEX($C$29:AP$29,1,AQ$4-loan_tenor+1)*AQ6/INDEX($C$6:AP$6,1,AQ$4-loan_tenor+1),0)</f>
        <v/>
      </c>
      <c r="AR29" s="43">
        <f>IF(AR$4&gt;loan_tenor,AR28+loan_repeat*(1-ladder_dpd90)*INDEX($C$29:AQ$29,1,AR$4-loan_tenor+1)*AR6/INDEX($C$6:AQ$6,1,AR$4-loan_tenor+1),0)</f>
        <v/>
      </c>
      <c r="AS29" s="43">
        <f>IF(AS$4&gt;loan_tenor,AS28+loan_repeat*(1-ladder_dpd90)*INDEX($C$29:AR$29,1,AS$4-loan_tenor+1)*AS6/INDEX($C$6:AR$6,1,AS$4-loan_tenor+1),0)</f>
        <v/>
      </c>
      <c r="AT29" s="43">
        <f>IF(AT$4&gt;loan_tenor,AT28+loan_repeat*(1-ladder_dpd90)*INDEX($C$29:AS$29,1,AT$4-loan_tenor+1)*AT6/INDEX($C$6:AS$6,1,AT$4-loan_tenor+1),0)</f>
        <v/>
      </c>
      <c r="AU29" s="43">
        <f>IF(AU$4&gt;loan_tenor,AU28+loan_repeat*(1-ladder_dpd90)*INDEX($C$29:AT$29,1,AU$4-loan_tenor+1)*AU6/INDEX($C$6:AT$6,1,AU$4-loan_tenor+1),0)</f>
        <v/>
      </c>
      <c r="AV29" s="43">
        <f>IF(AV$4&gt;loan_tenor,AV28+loan_repeat*(1-ladder_dpd90)*INDEX($C$29:AU$29,1,AV$4-loan_tenor+1)*AV6/INDEX($C$6:AU$6,1,AV$4-loan_tenor+1),0)</f>
        <v/>
      </c>
      <c r="AW29" s="43">
        <f>IF(AW$4&gt;loan_tenor,AW28+loan_repeat*(1-ladder_dpd90)*INDEX($C$29:AV$29,1,AW$4-loan_tenor+1)*AW6/INDEX($C$6:AV$6,1,AW$4-loan_tenor+1),0)</f>
        <v/>
      </c>
      <c r="AX29" s="43">
        <f>IF(AX$4&gt;loan_tenor,AX28+loan_repeat*(1-ladder_dpd90)*INDEX($C$29:AW$29,1,AX$4-loan_tenor+1)*AX6/INDEX($C$6:AW$6,1,AX$4-loan_tenor+1),0)</f>
        <v/>
      </c>
      <c r="AY29" s="43">
        <f>IF(AY$4&gt;loan_tenor,AY28+loan_repeat*(1-ladder_dpd90)*INDEX($C$29:AX$29,1,AY$4-loan_tenor+1)*AY6/INDEX($C$6:AX$6,1,AY$4-loan_tenor+1),0)</f>
        <v/>
      </c>
      <c r="AZ29" s="43">
        <f>IF(AZ$4&gt;loan_tenor,AZ28+loan_repeat*(1-ladder_dpd90)*INDEX($C$29:AY$29,1,AZ$4-loan_tenor+1)*AZ6/INDEX($C$6:AY$6,1,AZ$4-loan_tenor+1),0)</f>
        <v/>
      </c>
      <c r="BA29" s="43">
        <f>IF(BA$4&gt;loan_tenor,BA28+loan_repeat*(1-ladder_dpd90)*INDEX($C$29:AZ$29,1,BA$4-loan_tenor+1)*BA6/INDEX($C$6:AZ$6,1,BA$4-loan_tenor+1),0)</f>
        <v/>
      </c>
      <c r="BB29" s="43">
        <f>IF(BB$4&gt;loan_tenor,BB28+loan_repeat*(1-ladder_dpd90)*INDEX($C$29:BA$29,1,BB$4-loan_tenor+1)*BB6/INDEX($C$6:BA$6,1,BB$4-loan_tenor+1),0)</f>
        <v/>
      </c>
      <c r="BC29" s="43">
        <f>IF(BC$4&gt;loan_tenor,BC28+loan_repeat*(1-ladder_dpd90)*INDEX($C$29:BB$29,1,BC$4-loan_tenor+1)*BC6/INDEX($C$6:BB$6,1,BC$4-loan_tenor+1),0)</f>
        <v/>
      </c>
      <c r="BD29" s="43">
        <f>IF(BD$4&gt;loan_tenor,BD28+loan_repeat*(1-ladder_dpd90)*INDEX($C$29:BC$29,1,BD$4-loan_tenor+1)*BD6/INDEX($C$6:BC$6,1,BD$4-loan_tenor+1),0)</f>
        <v/>
      </c>
      <c r="BE29" s="43">
        <f>IF(BE$4&gt;loan_tenor,BE28+loan_repeat*(1-ladder_dpd90)*INDEX($C$29:BD$29,1,BE$4-loan_tenor+1)*BE6/INDEX($C$6:BD$6,1,BE$4-loan_tenor+1),0)</f>
        <v/>
      </c>
      <c r="BF29" s="43">
        <f>IF(BF$4&gt;loan_tenor,BF28+loan_repeat*(1-ladder_dpd90)*INDEX($C$29:BE$29,1,BF$4-loan_tenor+1)*BF6/INDEX($C$6:BE$6,1,BF$4-loan_tenor+1),0)</f>
        <v/>
      </c>
      <c r="BG29" s="43">
        <f>IF(BG$4&gt;loan_tenor,BG28+loan_repeat*(1-ladder_dpd90)*INDEX($C$29:BF$29,1,BG$4-loan_tenor+1)*BG6/INDEX($C$6:BF$6,1,BG$4-loan_tenor+1),0)</f>
        <v/>
      </c>
      <c r="BH29" s="43">
        <f>IF(BH$4&gt;loan_tenor,BH28+loan_repeat*(1-ladder_dpd90)*INDEX($C$29:BG$29,1,BH$4-loan_tenor+1)*BH6/INDEX($C$6:BG$6,1,BH$4-loan_tenor+1),0)</f>
        <v/>
      </c>
      <c r="BI29" s="43">
        <f>IF(BI$4&gt;loan_tenor,BI28+loan_repeat*(1-ladder_dpd90)*INDEX($C$29:BH$29,1,BI$4-loan_tenor+1)*BI6/INDEX($C$6:BH$6,1,BI$4-loan_tenor+1),0)</f>
        <v/>
      </c>
      <c r="BJ29" s="43">
        <f>IF(BJ$4&gt;loan_tenor,BJ28+loan_repeat*(1-ladder_dpd90)*INDEX($C$29:BI$29,1,BJ$4-loan_tenor+1)*BJ6/INDEX($C$6:BI$6,1,BJ$4-loan_tenor+1),0)</f>
        <v/>
      </c>
      <c r="BK29" s="43">
        <f>IF(BK$4&gt;loan_tenor,BK28+loan_repeat*(1-ladder_dpd90)*INDEX($C$29:BJ$29,1,BK$4-loan_tenor+1)*BK6/INDEX($C$6:BJ$6,1,BK$4-loan_tenor+1),0)</f>
        <v/>
      </c>
    </row>
    <row r="30">
      <c r="A30" s="25" t="inlineStr">
        <is>
          <t>Repeat loans (loans 2+)</t>
        </is>
      </c>
      <c r="B30" s="28" t="inlineStr">
        <is>
          <t>loans</t>
        </is>
      </c>
      <c r="C30" s="42" t="n">
        <v>0</v>
      </c>
      <c r="D30" s="43">
        <f>D25+D26+D27+D29</f>
        <v/>
      </c>
      <c r="E30" s="43">
        <f>E25+E26+E27+E29</f>
        <v/>
      </c>
      <c r="F30" s="43">
        <f>F25+F26+F27+F29</f>
        <v/>
      </c>
      <c r="G30" s="43">
        <f>G25+G26+G27+G29</f>
        <v/>
      </c>
      <c r="H30" s="43">
        <f>H25+H26+H27+H29</f>
        <v/>
      </c>
      <c r="I30" s="43">
        <f>I25+I26+I27+I29</f>
        <v/>
      </c>
      <c r="J30" s="43">
        <f>J25+J26+J27+J29</f>
        <v/>
      </c>
      <c r="K30" s="43">
        <f>K25+K26+K27+K29</f>
        <v/>
      </c>
      <c r="L30" s="43">
        <f>L25+L26+L27+L29</f>
        <v/>
      </c>
      <c r="M30" s="43">
        <f>M25+M26+M27+M29</f>
        <v/>
      </c>
      <c r="N30" s="43">
        <f>N25+N26+N27+N29</f>
        <v/>
      </c>
      <c r="O30" s="43">
        <f>O25+O26+O27+O29</f>
        <v/>
      </c>
      <c r="P30" s="43">
        <f>P25+P26+P27+P29</f>
        <v/>
      </c>
      <c r="Q30" s="43">
        <f>Q25+Q26+Q27+Q29</f>
        <v/>
      </c>
      <c r="R30" s="43">
        <f>R25+R26+R27+R29</f>
        <v/>
      </c>
      <c r="S30" s="43">
        <f>S25+S26+S27+S29</f>
        <v/>
      </c>
      <c r="T30" s="43">
        <f>T25+T26+T27+T29</f>
        <v/>
      </c>
      <c r="U30" s="43">
        <f>U25+U26+U27+U29</f>
        <v/>
      </c>
      <c r="V30" s="43">
        <f>V25+V26+V27+V29</f>
        <v/>
      </c>
      <c r="W30" s="43">
        <f>W25+W26+W27+W29</f>
        <v/>
      </c>
      <c r="X30" s="43">
        <f>X25+X26+X27+X29</f>
        <v/>
      </c>
      <c r="Y30" s="43">
        <f>Y25+Y26+Y27+Y29</f>
        <v/>
      </c>
      <c r="Z30" s="43">
        <f>Z25+Z26+Z27+Z29</f>
        <v/>
      </c>
      <c r="AA30" s="43">
        <f>AA25+AA26+AA27+AA29</f>
        <v/>
      </c>
      <c r="AB30" s="43">
        <f>AB25+AB26+AB27+AB29</f>
        <v/>
      </c>
      <c r="AC30" s="43">
        <f>AC25+AC26+AC27+AC29</f>
        <v/>
      </c>
      <c r="AD30" s="43">
        <f>AD25+AD26+AD27+AD29</f>
        <v/>
      </c>
      <c r="AE30" s="43">
        <f>AE25+AE26+AE27+AE29</f>
        <v/>
      </c>
      <c r="AF30" s="43">
        <f>AF25+AF26+AF27+AF29</f>
        <v/>
      </c>
      <c r="AG30" s="43">
        <f>AG25+AG26+AG27+AG29</f>
        <v/>
      </c>
      <c r="AH30" s="43">
        <f>AH25+AH26+AH27+AH29</f>
        <v/>
      </c>
      <c r="AI30" s="43">
        <f>AI25+AI26+AI27+AI29</f>
        <v/>
      </c>
      <c r="AJ30" s="43">
        <f>AJ25+AJ26+AJ27+AJ29</f>
        <v/>
      </c>
      <c r="AK30" s="43">
        <f>AK25+AK26+AK27+AK29</f>
        <v/>
      </c>
      <c r="AL30" s="43">
        <f>AL25+AL26+AL27+AL29</f>
        <v/>
      </c>
      <c r="AM30" s="43">
        <f>AM25+AM26+AM27+AM29</f>
        <v/>
      </c>
      <c r="AN30" s="43">
        <f>AN25+AN26+AN27+AN29</f>
        <v/>
      </c>
      <c r="AO30" s="43">
        <f>AO25+AO26+AO27+AO29</f>
        <v/>
      </c>
      <c r="AP30" s="43">
        <f>AP25+AP26+AP27+AP29</f>
        <v/>
      </c>
      <c r="AQ30" s="43">
        <f>AQ25+AQ26+AQ27+AQ29</f>
        <v/>
      </c>
      <c r="AR30" s="43">
        <f>AR25+AR26+AR27+AR29</f>
        <v/>
      </c>
      <c r="AS30" s="43">
        <f>AS25+AS26+AS27+AS29</f>
        <v/>
      </c>
      <c r="AT30" s="43">
        <f>AT25+AT26+AT27+AT29</f>
        <v/>
      </c>
      <c r="AU30" s="43">
        <f>AU25+AU26+AU27+AU29</f>
        <v/>
      </c>
      <c r="AV30" s="43">
        <f>AV25+AV26+AV27+AV29</f>
        <v/>
      </c>
      <c r="AW30" s="43">
        <f>AW25+AW26+AW27+AW29</f>
        <v/>
      </c>
      <c r="AX30" s="43">
        <f>AX25+AX26+AX27+AX29</f>
        <v/>
      </c>
      <c r="AY30" s="43">
        <f>AY25+AY26+AY27+AY29</f>
        <v/>
      </c>
      <c r="AZ30" s="43">
        <f>AZ25+AZ26+AZ27+AZ29</f>
        <v/>
      </c>
      <c r="BA30" s="43">
        <f>BA25+BA26+BA27+BA29</f>
        <v/>
      </c>
      <c r="BB30" s="43">
        <f>BB25+BB26+BB27+BB29</f>
        <v/>
      </c>
      <c r="BC30" s="43">
        <f>BC25+BC26+BC27+BC29</f>
        <v/>
      </c>
      <c r="BD30" s="43">
        <f>BD25+BD26+BD27+BD29</f>
        <v/>
      </c>
      <c r="BE30" s="43">
        <f>BE25+BE26+BE27+BE29</f>
        <v/>
      </c>
      <c r="BF30" s="43">
        <f>BF25+BF26+BF27+BF29</f>
        <v/>
      </c>
      <c r="BG30" s="43">
        <f>BG25+BG26+BG27+BG29</f>
        <v/>
      </c>
      <c r="BH30" s="43">
        <f>BH25+BH26+BH27+BH29</f>
        <v/>
      </c>
      <c r="BI30" s="43">
        <f>BI25+BI26+BI27+BI29</f>
        <v/>
      </c>
      <c r="BJ30" s="43">
        <f>BJ25+BJ26+BJ27+BJ29</f>
        <v/>
      </c>
      <c r="BK30" s="43">
        <f>BK25+BK26+BK27+BK29</f>
        <v/>
      </c>
    </row>
    <row r="31">
      <c r="A31" s="25" t="inlineStr">
        <is>
          <t>All loans</t>
        </is>
      </c>
      <c r="B31" s="28" t="inlineStr">
        <is>
          <t>loans</t>
        </is>
      </c>
      <c r="C31" s="42" t="n">
        <v>0</v>
      </c>
      <c r="D31" s="43">
        <f>D24+D30</f>
        <v/>
      </c>
      <c r="E31" s="43">
        <f>E24+E30</f>
        <v/>
      </c>
      <c r="F31" s="43">
        <f>F24+F30</f>
        <v/>
      </c>
      <c r="G31" s="43">
        <f>G24+G30</f>
        <v/>
      </c>
      <c r="H31" s="43">
        <f>H24+H30</f>
        <v/>
      </c>
      <c r="I31" s="43">
        <f>I24+I30</f>
        <v/>
      </c>
      <c r="J31" s="43">
        <f>J24+J30</f>
        <v/>
      </c>
      <c r="K31" s="43">
        <f>K24+K30</f>
        <v/>
      </c>
      <c r="L31" s="43">
        <f>L24+L30</f>
        <v/>
      </c>
      <c r="M31" s="43">
        <f>M24+M30</f>
        <v/>
      </c>
      <c r="N31" s="43">
        <f>N24+N30</f>
        <v/>
      </c>
      <c r="O31" s="43">
        <f>O24+O30</f>
        <v/>
      </c>
      <c r="P31" s="43">
        <f>P24+P30</f>
        <v/>
      </c>
      <c r="Q31" s="43">
        <f>Q24+Q30</f>
        <v/>
      </c>
      <c r="R31" s="43">
        <f>R24+R30</f>
        <v/>
      </c>
      <c r="S31" s="43">
        <f>S24+S30</f>
        <v/>
      </c>
      <c r="T31" s="43">
        <f>T24+T30</f>
        <v/>
      </c>
      <c r="U31" s="43">
        <f>U24+U30</f>
        <v/>
      </c>
      <c r="V31" s="43">
        <f>V24+V30</f>
        <v/>
      </c>
      <c r="W31" s="43">
        <f>W24+W30</f>
        <v/>
      </c>
      <c r="X31" s="43">
        <f>X24+X30</f>
        <v/>
      </c>
      <c r="Y31" s="43">
        <f>Y24+Y30</f>
        <v/>
      </c>
      <c r="Z31" s="43">
        <f>Z24+Z30</f>
        <v/>
      </c>
      <c r="AA31" s="43">
        <f>AA24+AA30</f>
        <v/>
      </c>
      <c r="AB31" s="43">
        <f>AB24+AB30</f>
        <v/>
      </c>
      <c r="AC31" s="43">
        <f>AC24+AC30</f>
        <v/>
      </c>
      <c r="AD31" s="43">
        <f>AD24+AD30</f>
        <v/>
      </c>
      <c r="AE31" s="43">
        <f>AE24+AE30</f>
        <v/>
      </c>
      <c r="AF31" s="43">
        <f>AF24+AF30</f>
        <v/>
      </c>
      <c r="AG31" s="43">
        <f>AG24+AG30</f>
        <v/>
      </c>
      <c r="AH31" s="43">
        <f>AH24+AH30</f>
        <v/>
      </c>
      <c r="AI31" s="43">
        <f>AI24+AI30</f>
        <v/>
      </c>
      <c r="AJ31" s="43">
        <f>AJ24+AJ30</f>
        <v/>
      </c>
      <c r="AK31" s="43">
        <f>AK24+AK30</f>
        <v/>
      </c>
      <c r="AL31" s="43">
        <f>AL24+AL30</f>
        <v/>
      </c>
      <c r="AM31" s="43">
        <f>AM24+AM30</f>
        <v/>
      </c>
      <c r="AN31" s="43">
        <f>AN24+AN30</f>
        <v/>
      </c>
      <c r="AO31" s="43">
        <f>AO24+AO30</f>
        <v/>
      </c>
      <c r="AP31" s="43">
        <f>AP24+AP30</f>
        <v/>
      </c>
      <c r="AQ31" s="43">
        <f>AQ24+AQ30</f>
        <v/>
      </c>
      <c r="AR31" s="43">
        <f>AR24+AR30</f>
        <v/>
      </c>
      <c r="AS31" s="43">
        <f>AS24+AS30</f>
        <v/>
      </c>
      <c r="AT31" s="43">
        <f>AT24+AT30</f>
        <v/>
      </c>
      <c r="AU31" s="43">
        <f>AU24+AU30</f>
        <v/>
      </c>
      <c r="AV31" s="43">
        <f>AV24+AV30</f>
        <v/>
      </c>
      <c r="AW31" s="43">
        <f>AW24+AW30</f>
        <v/>
      </c>
      <c r="AX31" s="43">
        <f>AX24+AX30</f>
        <v/>
      </c>
      <c r="AY31" s="43">
        <f>AY24+AY30</f>
        <v/>
      </c>
      <c r="AZ31" s="43">
        <f>AZ24+AZ30</f>
        <v/>
      </c>
      <c r="BA31" s="43">
        <f>BA24+BA30</f>
        <v/>
      </c>
      <c r="BB31" s="43">
        <f>BB24+BB30</f>
        <v/>
      </c>
      <c r="BC31" s="43">
        <f>BC24+BC30</f>
        <v/>
      </c>
      <c r="BD31" s="43">
        <f>BD24+BD30</f>
        <v/>
      </c>
      <c r="BE31" s="43">
        <f>BE24+BE30</f>
        <v/>
      </c>
      <c r="BF31" s="43">
        <f>BF24+BF30</f>
        <v/>
      </c>
      <c r="BG31" s="43">
        <f>BG24+BG30</f>
        <v/>
      </c>
      <c r="BH31" s="43">
        <f>BH24+BH30</f>
        <v/>
      </c>
      <c r="BI31" s="43">
        <f>BI24+BI30</f>
        <v/>
      </c>
      <c r="BJ31" s="43">
        <f>BJ24+BJ30</f>
        <v/>
      </c>
      <c r="BK31" s="43">
        <f>BK24+BK30</f>
        <v/>
      </c>
    </row>
    <row r="32">
      <c r="A32" s="25" t="inlineStr">
        <is>
          <t>Savings that can back a loan, per active saver (fund + FD; gold cannot)</t>
        </is>
      </c>
      <c r="B32" s="28" t="inlineStr">
        <is>
          <t>₹</t>
        </is>
      </c>
      <c r="C32" s="30" t="n">
        <v>0</v>
      </c>
      <c r="D32" s="32">
        <f>IF(D7&gt;0,D15/D7,0)*(1-gold_on*gold_share)</f>
        <v/>
      </c>
      <c r="E32" s="32">
        <f>IF(E7&gt;0,E15/E7,0)*(1-gold_on*gold_share)</f>
        <v/>
      </c>
      <c r="F32" s="32">
        <f>IF(F7&gt;0,F15/F7,0)*(1-gold_on*gold_share)</f>
        <v/>
      </c>
      <c r="G32" s="32">
        <f>IF(G7&gt;0,G15/G7,0)*(1-gold_on*gold_share)</f>
        <v/>
      </c>
      <c r="H32" s="32">
        <f>IF(H7&gt;0,H15/H7,0)*(1-gold_on*gold_share)</f>
        <v/>
      </c>
      <c r="I32" s="32">
        <f>IF(I7&gt;0,I15/I7,0)*(1-gold_on*gold_share)</f>
        <v/>
      </c>
      <c r="J32" s="32">
        <f>IF(J7&gt;0,J15/J7,0)*(1-gold_on*gold_share)</f>
        <v/>
      </c>
      <c r="K32" s="32">
        <f>IF(K7&gt;0,K15/K7,0)*(1-gold_on*gold_share)</f>
        <v/>
      </c>
      <c r="L32" s="32">
        <f>IF(L7&gt;0,L15/L7,0)*(1-gold_on*gold_share)</f>
        <v/>
      </c>
      <c r="M32" s="32">
        <f>IF(M7&gt;0,M15/M7,0)*(1-gold_on*gold_share)</f>
        <v/>
      </c>
      <c r="N32" s="32">
        <f>IF(N7&gt;0,N15/N7,0)*(1-gold_on*gold_share)</f>
        <v/>
      </c>
      <c r="O32" s="32">
        <f>IF(O7&gt;0,O15/O7,0)*(1-gold_on*gold_share)</f>
        <v/>
      </c>
      <c r="P32" s="32">
        <f>IF(P7&gt;0,P15/P7,0)*(1-gold_on*gold_share)</f>
        <v/>
      </c>
      <c r="Q32" s="32">
        <f>IF(Q7&gt;0,Q15/Q7,0)*(1-gold_on*gold_share)</f>
        <v/>
      </c>
      <c r="R32" s="32">
        <f>IF(R7&gt;0,R15/R7,0)*(1-gold_on*gold_share)</f>
        <v/>
      </c>
      <c r="S32" s="32">
        <f>IF(S7&gt;0,S15/S7,0)*(1-gold_on*gold_share)</f>
        <v/>
      </c>
      <c r="T32" s="32">
        <f>IF(T7&gt;0,T15/T7,0)*(1-gold_on*gold_share)</f>
        <v/>
      </c>
      <c r="U32" s="32">
        <f>IF(U7&gt;0,U15/U7,0)*(1-gold_on*gold_share)</f>
        <v/>
      </c>
      <c r="V32" s="32">
        <f>IF(V7&gt;0,V15/V7,0)*(1-gold_on*gold_share)</f>
        <v/>
      </c>
      <c r="W32" s="32">
        <f>IF(W7&gt;0,W15/W7,0)*(1-gold_on*gold_share)</f>
        <v/>
      </c>
      <c r="X32" s="32">
        <f>IF(X7&gt;0,X15/X7,0)*(1-gold_on*gold_share)</f>
        <v/>
      </c>
      <c r="Y32" s="32">
        <f>IF(Y7&gt;0,Y15/Y7,0)*(1-gold_on*gold_share)</f>
        <v/>
      </c>
      <c r="Z32" s="32">
        <f>IF(Z7&gt;0,Z15/Z7,0)*(1-gold_on*gold_share)</f>
        <v/>
      </c>
      <c r="AA32" s="32">
        <f>IF(AA7&gt;0,AA15/AA7,0)*(1-gold_on*gold_share)</f>
        <v/>
      </c>
      <c r="AB32" s="32">
        <f>IF(AB7&gt;0,AB15/AB7,0)*(1-gold_on*gold_share)</f>
        <v/>
      </c>
      <c r="AC32" s="32">
        <f>IF(AC7&gt;0,AC15/AC7,0)*(1-gold_on*gold_share)</f>
        <v/>
      </c>
      <c r="AD32" s="32">
        <f>IF(AD7&gt;0,AD15/AD7,0)*(1-gold_on*gold_share)</f>
        <v/>
      </c>
      <c r="AE32" s="32">
        <f>IF(AE7&gt;0,AE15/AE7,0)*(1-gold_on*gold_share)</f>
        <v/>
      </c>
      <c r="AF32" s="32">
        <f>IF(AF7&gt;0,AF15/AF7,0)*(1-gold_on*gold_share)</f>
        <v/>
      </c>
      <c r="AG32" s="32">
        <f>IF(AG7&gt;0,AG15/AG7,0)*(1-gold_on*gold_share)</f>
        <v/>
      </c>
      <c r="AH32" s="32">
        <f>IF(AH7&gt;0,AH15/AH7,0)*(1-gold_on*gold_share)</f>
        <v/>
      </c>
      <c r="AI32" s="32">
        <f>IF(AI7&gt;0,AI15/AI7,0)*(1-gold_on*gold_share)</f>
        <v/>
      </c>
      <c r="AJ32" s="32">
        <f>IF(AJ7&gt;0,AJ15/AJ7,0)*(1-gold_on*gold_share)</f>
        <v/>
      </c>
      <c r="AK32" s="32">
        <f>IF(AK7&gt;0,AK15/AK7,0)*(1-gold_on*gold_share)</f>
        <v/>
      </c>
      <c r="AL32" s="32">
        <f>IF(AL7&gt;0,AL15/AL7,0)*(1-gold_on*gold_share)</f>
        <v/>
      </c>
      <c r="AM32" s="32">
        <f>IF(AM7&gt;0,AM15/AM7,0)*(1-gold_on*gold_share)</f>
        <v/>
      </c>
      <c r="AN32" s="32">
        <f>IF(AN7&gt;0,AN15/AN7,0)*(1-gold_on*gold_share)</f>
        <v/>
      </c>
      <c r="AO32" s="32">
        <f>IF(AO7&gt;0,AO15/AO7,0)*(1-gold_on*gold_share)</f>
        <v/>
      </c>
      <c r="AP32" s="32">
        <f>IF(AP7&gt;0,AP15/AP7,0)*(1-gold_on*gold_share)</f>
        <v/>
      </c>
      <c r="AQ32" s="32">
        <f>IF(AQ7&gt;0,AQ15/AQ7,0)*(1-gold_on*gold_share)</f>
        <v/>
      </c>
      <c r="AR32" s="32">
        <f>IF(AR7&gt;0,AR15/AR7,0)*(1-gold_on*gold_share)</f>
        <v/>
      </c>
      <c r="AS32" s="32">
        <f>IF(AS7&gt;0,AS15/AS7,0)*(1-gold_on*gold_share)</f>
        <v/>
      </c>
      <c r="AT32" s="32">
        <f>IF(AT7&gt;0,AT15/AT7,0)*(1-gold_on*gold_share)</f>
        <v/>
      </c>
      <c r="AU32" s="32">
        <f>IF(AU7&gt;0,AU15/AU7,0)*(1-gold_on*gold_share)</f>
        <v/>
      </c>
      <c r="AV32" s="32">
        <f>IF(AV7&gt;0,AV15/AV7,0)*(1-gold_on*gold_share)</f>
        <v/>
      </c>
      <c r="AW32" s="32">
        <f>IF(AW7&gt;0,AW15/AW7,0)*(1-gold_on*gold_share)</f>
        <v/>
      </c>
      <c r="AX32" s="32">
        <f>IF(AX7&gt;0,AX15/AX7,0)*(1-gold_on*gold_share)</f>
        <v/>
      </c>
      <c r="AY32" s="32">
        <f>IF(AY7&gt;0,AY15/AY7,0)*(1-gold_on*gold_share)</f>
        <v/>
      </c>
      <c r="AZ32" s="32">
        <f>IF(AZ7&gt;0,AZ15/AZ7,0)*(1-gold_on*gold_share)</f>
        <v/>
      </c>
      <c r="BA32" s="32">
        <f>IF(BA7&gt;0,BA15/BA7,0)*(1-gold_on*gold_share)</f>
        <v/>
      </c>
      <c r="BB32" s="32">
        <f>IF(BB7&gt;0,BB15/BB7,0)*(1-gold_on*gold_share)</f>
        <v/>
      </c>
      <c r="BC32" s="32">
        <f>IF(BC7&gt;0,BC15/BC7,0)*(1-gold_on*gold_share)</f>
        <v/>
      </c>
      <c r="BD32" s="32">
        <f>IF(BD7&gt;0,BD15/BD7,0)*(1-gold_on*gold_share)</f>
        <v/>
      </c>
      <c r="BE32" s="32">
        <f>IF(BE7&gt;0,BE15/BE7,0)*(1-gold_on*gold_share)</f>
        <v/>
      </c>
      <c r="BF32" s="32">
        <f>IF(BF7&gt;0,BF15/BF7,0)*(1-gold_on*gold_share)</f>
        <v/>
      </c>
      <c r="BG32" s="32">
        <f>IF(BG7&gt;0,BG15/BG7,0)*(1-gold_on*gold_share)</f>
        <v/>
      </c>
      <c r="BH32" s="32">
        <f>IF(BH7&gt;0,BH15/BH7,0)*(1-gold_on*gold_share)</f>
        <v/>
      </c>
      <c r="BI32" s="32">
        <f>IF(BI7&gt;0,BI15/BI7,0)*(1-gold_on*gold_share)</f>
        <v/>
      </c>
      <c r="BJ32" s="32">
        <f>IF(BJ7&gt;0,BJ15/BJ7,0)*(1-gold_on*gold_share)</f>
        <v/>
      </c>
      <c r="BK32" s="32">
        <f>IF(BK7&gt;0,BK15/BK7,0)*(1-gold_on*gold_share)</f>
        <v/>
      </c>
    </row>
    <row r="33">
      <c r="A33" s="25" t="inlineStr">
        <is>
          <t>Secured loan size (secured_ltv of that)</t>
        </is>
      </c>
      <c r="B33" s="28" t="inlineStr">
        <is>
          <t>₹</t>
        </is>
      </c>
      <c r="C33" s="30" t="n">
        <v>0</v>
      </c>
      <c r="D33" s="32">
        <f>secured_ltv*D32</f>
        <v/>
      </c>
      <c r="E33" s="32">
        <f>secured_ltv*E32</f>
        <v/>
      </c>
      <c r="F33" s="32">
        <f>secured_ltv*F32</f>
        <v/>
      </c>
      <c r="G33" s="32">
        <f>secured_ltv*G32</f>
        <v/>
      </c>
      <c r="H33" s="32">
        <f>secured_ltv*H32</f>
        <v/>
      </c>
      <c r="I33" s="32">
        <f>secured_ltv*I32</f>
        <v/>
      </c>
      <c r="J33" s="32">
        <f>secured_ltv*J32</f>
        <v/>
      </c>
      <c r="K33" s="32">
        <f>secured_ltv*K32</f>
        <v/>
      </c>
      <c r="L33" s="32">
        <f>secured_ltv*L32</f>
        <v/>
      </c>
      <c r="M33" s="32">
        <f>secured_ltv*M32</f>
        <v/>
      </c>
      <c r="N33" s="32">
        <f>secured_ltv*N32</f>
        <v/>
      </c>
      <c r="O33" s="32">
        <f>secured_ltv*O32</f>
        <v/>
      </c>
      <c r="P33" s="32">
        <f>secured_ltv*P32</f>
        <v/>
      </c>
      <c r="Q33" s="32">
        <f>secured_ltv*Q32</f>
        <v/>
      </c>
      <c r="R33" s="32">
        <f>secured_ltv*R32</f>
        <v/>
      </c>
      <c r="S33" s="32">
        <f>secured_ltv*S32</f>
        <v/>
      </c>
      <c r="T33" s="32">
        <f>secured_ltv*T32</f>
        <v/>
      </c>
      <c r="U33" s="32">
        <f>secured_ltv*U32</f>
        <v/>
      </c>
      <c r="V33" s="32">
        <f>secured_ltv*V32</f>
        <v/>
      </c>
      <c r="W33" s="32">
        <f>secured_ltv*W32</f>
        <v/>
      </c>
      <c r="X33" s="32">
        <f>secured_ltv*X32</f>
        <v/>
      </c>
      <c r="Y33" s="32">
        <f>secured_ltv*Y32</f>
        <v/>
      </c>
      <c r="Z33" s="32">
        <f>secured_ltv*Z32</f>
        <v/>
      </c>
      <c r="AA33" s="32">
        <f>secured_ltv*AA32</f>
        <v/>
      </c>
      <c r="AB33" s="32">
        <f>secured_ltv*AB32</f>
        <v/>
      </c>
      <c r="AC33" s="32">
        <f>secured_ltv*AC32</f>
        <v/>
      </c>
      <c r="AD33" s="32">
        <f>secured_ltv*AD32</f>
        <v/>
      </c>
      <c r="AE33" s="32">
        <f>secured_ltv*AE32</f>
        <v/>
      </c>
      <c r="AF33" s="32">
        <f>secured_ltv*AF32</f>
        <v/>
      </c>
      <c r="AG33" s="32">
        <f>secured_ltv*AG32</f>
        <v/>
      </c>
      <c r="AH33" s="32">
        <f>secured_ltv*AH32</f>
        <v/>
      </c>
      <c r="AI33" s="32">
        <f>secured_ltv*AI32</f>
        <v/>
      </c>
      <c r="AJ33" s="32">
        <f>secured_ltv*AJ32</f>
        <v/>
      </c>
      <c r="AK33" s="32">
        <f>secured_ltv*AK32</f>
        <v/>
      </c>
      <c r="AL33" s="32">
        <f>secured_ltv*AL32</f>
        <v/>
      </c>
      <c r="AM33" s="32">
        <f>secured_ltv*AM32</f>
        <v/>
      </c>
      <c r="AN33" s="32">
        <f>secured_ltv*AN32</f>
        <v/>
      </c>
      <c r="AO33" s="32">
        <f>secured_ltv*AO32</f>
        <v/>
      </c>
      <c r="AP33" s="32">
        <f>secured_ltv*AP32</f>
        <v/>
      </c>
      <c r="AQ33" s="32">
        <f>secured_ltv*AQ32</f>
        <v/>
      </c>
      <c r="AR33" s="32">
        <f>secured_ltv*AR32</f>
        <v/>
      </c>
      <c r="AS33" s="32">
        <f>secured_ltv*AS32</f>
        <v/>
      </c>
      <c r="AT33" s="32">
        <f>secured_ltv*AT32</f>
        <v/>
      </c>
      <c r="AU33" s="32">
        <f>secured_ltv*AU32</f>
        <v/>
      </c>
      <c r="AV33" s="32">
        <f>secured_ltv*AV32</f>
        <v/>
      </c>
      <c r="AW33" s="32">
        <f>secured_ltv*AW32</f>
        <v/>
      </c>
      <c r="AX33" s="32">
        <f>secured_ltv*AX32</f>
        <v/>
      </c>
      <c r="AY33" s="32">
        <f>secured_ltv*AY32</f>
        <v/>
      </c>
      <c r="AZ33" s="32">
        <f>secured_ltv*AZ32</f>
        <v/>
      </c>
      <c r="BA33" s="32">
        <f>secured_ltv*BA32</f>
        <v/>
      </c>
      <c r="BB33" s="32">
        <f>secured_ltv*BB32</f>
        <v/>
      </c>
      <c r="BC33" s="32">
        <f>secured_ltv*BC32</f>
        <v/>
      </c>
      <c r="BD33" s="32">
        <f>secured_ltv*BD32</f>
        <v/>
      </c>
      <c r="BE33" s="32">
        <f>secured_ltv*BE32</f>
        <v/>
      </c>
      <c r="BF33" s="32">
        <f>secured_ltv*BF32</f>
        <v/>
      </c>
      <c r="BG33" s="32">
        <f>secured_ltv*BG32</f>
        <v/>
      </c>
      <c r="BH33" s="32">
        <f>secured_ltv*BH32</f>
        <v/>
      </c>
      <c r="BI33" s="32">
        <f>secured_ltv*BI32</f>
        <v/>
      </c>
      <c r="BJ33" s="32">
        <f>secured_ltv*BJ32</f>
        <v/>
      </c>
      <c r="BK33" s="32">
        <f>secured_ltv*BK32</f>
        <v/>
      </c>
    </row>
    <row r="34">
      <c r="A34" s="25" t="inlineStr">
        <is>
          <t>Secured money lent (loans 1-4)</t>
        </is>
      </c>
      <c r="B34" s="28" t="inlineStr">
        <is>
          <t>₹</t>
        </is>
      </c>
      <c r="C34" s="30" t="n">
        <v>0</v>
      </c>
      <c r="D34" s="32">
        <f>(D24+D25+D26+D27)*D33</f>
        <v/>
      </c>
      <c r="E34" s="32">
        <f>(E24+E25+E26+E27)*E33</f>
        <v/>
      </c>
      <c r="F34" s="32">
        <f>(F24+F25+F26+F27)*F33</f>
        <v/>
      </c>
      <c r="G34" s="32">
        <f>(G24+G25+G26+G27)*G33</f>
        <v/>
      </c>
      <c r="H34" s="32">
        <f>(H24+H25+H26+H27)*H33</f>
        <v/>
      </c>
      <c r="I34" s="32">
        <f>(I24+I25+I26+I27)*I33</f>
        <v/>
      </c>
      <c r="J34" s="32">
        <f>(J24+J25+J26+J27)*J33</f>
        <v/>
      </c>
      <c r="K34" s="32">
        <f>(K24+K25+K26+K27)*K33</f>
        <v/>
      </c>
      <c r="L34" s="32">
        <f>(L24+L25+L26+L27)*L33</f>
        <v/>
      </c>
      <c r="M34" s="32">
        <f>(M24+M25+M26+M27)*M33</f>
        <v/>
      </c>
      <c r="N34" s="32">
        <f>(N24+N25+N26+N27)*N33</f>
        <v/>
      </c>
      <c r="O34" s="32">
        <f>(O24+O25+O26+O27)*O33</f>
        <v/>
      </c>
      <c r="P34" s="32">
        <f>(P24+P25+P26+P27)*P33</f>
        <v/>
      </c>
      <c r="Q34" s="32">
        <f>(Q24+Q25+Q26+Q27)*Q33</f>
        <v/>
      </c>
      <c r="R34" s="32">
        <f>(R24+R25+R26+R27)*R33</f>
        <v/>
      </c>
      <c r="S34" s="32">
        <f>(S24+S25+S26+S27)*S33</f>
        <v/>
      </c>
      <c r="T34" s="32">
        <f>(T24+T25+T26+T27)*T33</f>
        <v/>
      </c>
      <c r="U34" s="32">
        <f>(U24+U25+U26+U27)*U33</f>
        <v/>
      </c>
      <c r="V34" s="32">
        <f>(V24+V25+V26+V27)*V33</f>
        <v/>
      </c>
      <c r="W34" s="32">
        <f>(W24+W25+W26+W27)*W33</f>
        <v/>
      </c>
      <c r="X34" s="32">
        <f>(X24+X25+X26+X27)*X33</f>
        <v/>
      </c>
      <c r="Y34" s="32">
        <f>(Y24+Y25+Y26+Y27)*Y33</f>
        <v/>
      </c>
      <c r="Z34" s="32">
        <f>(Z24+Z25+Z26+Z27)*Z33</f>
        <v/>
      </c>
      <c r="AA34" s="32">
        <f>(AA24+AA25+AA26+AA27)*AA33</f>
        <v/>
      </c>
      <c r="AB34" s="32">
        <f>(AB24+AB25+AB26+AB27)*AB33</f>
        <v/>
      </c>
      <c r="AC34" s="32">
        <f>(AC24+AC25+AC26+AC27)*AC33</f>
        <v/>
      </c>
      <c r="AD34" s="32">
        <f>(AD24+AD25+AD26+AD27)*AD33</f>
        <v/>
      </c>
      <c r="AE34" s="32">
        <f>(AE24+AE25+AE26+AE27)*AE33</f>
        <v/>
      </c>
      <c r="AF34" s="32">
        <f>(AF24+AF25+AF26+AF27)*AF33</f>
        <v/>
      </c>
      <c r="AG34" s="32">
        <f>(AG24+AG25+AG26+AG27)*AG33</f>
        <v/>
      </c>
      <c r="AH34" s="32">
        <f>(AH24+AH25+AH26+AH27)*AH33</f>
        <v/>
      </c>
      <c r="AI34" s="32">
        <f>(AI24+AI25+AI26+AI27)*AI33</f>
        <v/>
      </c>
      <c r="AJ34" s="32">
        <f>(AJ24+AJ25+AJ26+AJ27)*AJ33</f>
        <v/>
      </c>
      <c r="AK34" s="32">
        <f>(AK24+AK25+AK26+AK27)*AK33</f>
        <v/>
      </c>
      <c r="AL34" s="32">
        <f>(AL24+AL25+AL26+AL27)*AL33</f>
        <v/>
      </c>
      <c r="AM34" s="32">
        <f>(AM24+AM25+AM26+AM27)*AM33</f>
        <v/>
      </c>
      <c r="AN34" s="32">
        <f>(AN24+AN25+AN26+AN27)*AN33</f>
        <v/>
      </c>
      <c r="AO34" s="32">
        <f>(AO24+AO25+AO26+AO27)*AO33</f>
        <v/>
      </c>
      <c r="AP34" s="32">
        <f>(AP24+AP25+AP26+AP27)*AP33</f>
        <v/>
      </c>
      <c r="AQ34" s="32">
        <f>(AQ24+AQ25+AQ26+AQ27)*AQ33</f>
        <v/>
      </c>
      <c r="AR34" s="32">
        <f>(AR24+AR25+AR26+AR27)*AR33</f>
        <v/>
      </c>
      <c r="AS34" s="32">
        <f>(AS24+AS25+AS26+AS27)*AS33</f>
        <v/>
      </c>
      <c r="AT34" s="32">
        <f>(AT24+AT25+AT26+AT27)*AT33</f>
        <v/>
      </c>
      <c r="AU34" s="32">
        <f>(AU24+AU25+AU26+AU27)*AU33</f>
        <v/>
      </c>
      <c r="AV34" s="32">
        <f>(AV24+AV25+AV26+AV27)*AV33</f>
        <v/>
      </c>
      <c r="AW34" s="32">
        <f>(AW24+AW25+AW26+AW27)*AW33</f>
        <v/>
      </c>
      <c r="AX34" s="32">
        <f>(AX24+AX25+AX26+AX27)*AX33</f>
        <v/>
      </c>
      <c r="AY34" s="32">
        <f>(AY24+AY25+AY26+AY27)*AY33</f>
        <v/>
      </c>
      <c r="AZ34" s="32">
        <f>(AZ24+AZ25+AZ26+AZ27)*AZ33</f>
        <v/>
      </c>
      <c r="BA34" s="32">
        <f>(BA24+BA25+BA26+BA27)*BA33</f>
        <v/>
      </c>
      <c r="BB34" s="32">
        <f>(BB24+BB25+BB26+BB27)*BB33</f>
        <v/>
      </c>
      <c r="BC34" s="32">
        <f>(BC24+BC25+BC26+BC27)*BC33</f>
        <v/>
      </c>
      <c r="BD34" s="32">
        <f>(BD24+BD25+BD26+BD27)*BD33</f>
        <v/>
      </c>
      <c r="BE34" s="32">
        <f>(BE24+BE25+BE26+BE27)*BE33</f>
        <v/>
      </c>
      <c r="BF34" s="32">
        <f>(BF24+BF25+BF26+BF27)*BF33</f>
        <v/>
      </c>
      <c r="BG34" s="32">
        <f>(BG24+BG25+BG26+BG27)*BG33</f>
        <v/>
      </c>
      <c r="BH34" s="32">
        <f>(BH24+BH25+BH26+BH27)*BH33</f>
        <v/>
      </c>
      <c r="BI34" s="32">
        <f>(BI24+BI25+BI26+BI27)*BI33</f>
        <v/>
      </c>
      <c r="BJ34" s="32">
        <f>(BJ24+BJ25+BJ26+BJ27)*BJ33</f>
        <v/>
      </c>
      <c r="BK34" s="32">
        <f>(BK24+BK25+BK26+BK27)*BK33</f>
        <v/>
      </c>
    </row>
    <row r="35">
      <c r="A35" s="25" t="inlineStr">
        <is>
          <t>Unsecured money lent (top-ups on loans 3-4, all of loans 5+)</t>
        </is>
      </c>
      <c r="B35" s="28" t="inlineStr">
        <is>
          <t>₹</t>
        </is>
      </c>
      <c r="C35" s="30" t="n">
        <v>0</v>
      </c>
      <c r="D35" s="32">
        <f>(D26+D27)*D33*part_unsec_multiple+D29*loan_ticket</f>
        <v/>
      </c>
      <c r="E35" s="32">
        <f>(E26+E27)*E33*part_unsec_multiple+E29*loan_ticket</f>
        <v/>
      </c>
      <c r="F35" s="32">
        <f>(F26+F27)*F33*part_unsec_multiple+F29*loan_ticket</f>
        <v/>
      </c>
      <c r="G35" s="32">
        <f>(G26+G27)*G33*part_unsec_multiple+G29*loan_ticket</f>
        <v/>
      </c>
      <c r="H35" s="32">
        <f>(H26+H27)*H33*part_unsec_multiple+H29*loan_ticket</f>
        <v/>
      </c>
      <c r="I35" s="32">
        <f>(I26+I27)*I33*part_unsec_multiple+I29*loan_ticket</f>
        <v/>
      </c>
      <c r="J35" s="32">
        <f>(J26+J27)*J33*part_unsec_multiple+J29*loan_ticket</f>
        <v/>
      </c>
      <c r="K35" s="32">
        <f>(K26+K27)*K33*part_unsec_multiple+K29*loan_ticket</f>
        <v/>
      </c>
      <c r="L35" s="32">
        <f>(L26+L27)*L33*part_unsec_multiple+L29*loan_ticket</f>
        <v/>
      </c>
      <c r="M35" s="32">
        <f>(M26+M27)*M33*part_unsec_multiple+M29*loan_ticket</f>
        <v/>
      </c>
      <c r="N35" s="32">
        <f>(N26+N27)*N33*part_unsec_multiple+N29*loan_ticket</f>
        <v/>
      </c>
      <c r="O35" s="32">
        <f>(O26+O27)*O33*part_unsec_multiple+O29*loan_ticket</f>
        <v/>
      </c>
      <c r="P35" s="32">
        <f>(P26+P27)*P33*part_unsec_multiple+P29*loan_ticket</f>
        <v/>
      </c>
      <c r="Q35" s="32">
        <f>(Q26+Q27)*Q33*part_unsec_multiple+Q29*loan_ticket</f>
        <v/>
      </c>
      <c r="R35" s="32">
        <f>(R26+R27)*R33*part_unsec_multiple+R29*loan_ticket</f>
        <v/>
      </c>
      <c r="S35" s="32">
        <f>(S26+S27)*S33*part_unsec_multiple+S29*loan_ticket</f>
        <v/>
      </c>
      <c r="T35" s="32">
        <f>(T26+T27)*T33*part_unsec_multiple+T29*loan_ticket</f>
        <v/>
      </c>
      <c r="U35" s="32">
        <f>(U26+U27)*U33*part_unsec_multiple+U29*loan_ticket</f>
        <v/>
      </c>
      <c r="V35" s="32">
        <f>(V26+V27)*V33*part_unsec_multiple+V29*loan_ticket</f>
        <v/>
      </c>
      <c r="W35" s="32">
        <f>(W26+W27)*W33*part_unsec_multiple+W29*loan_ticket</f>
        <v/>
      </c>
      <c r="X35" s="32">
        <f>(X26+X27)*X33*part_unsec_multiple+X29*loan_ticket</f>
        <v/>
      </c>
      <c r="Y35" s="32">
        <f>(Y26+Y27)*Y33*part_unsec_multiple+Y29*loan_ticket</f>
        <v/>
      </c>
      <c r="Z35" s="32">
        <f>(Z26+Z27)*Z33*part_unsec_multiple+Z29*loan_ticket</f>
        <v/>
      </c>
      <c r="AA35" s="32">
        <f>(AA26+AA27)*AA33*part_unsec_multiple+AA29*loan_ticket</f>
        <v/>
      </c>
      <c r="AB35" s="32">
        <f>(AB26+AB27)*AB33*part_unsec_multiple+AB29*loan_ticket</f>
        <v/>
      </c>
      <c r="AC35" s="32">
        <f>(AC26+AC27)*AC33*part_unsec_multiple+AC29*loan_ticket</f>
        <v/>
      </c>
      <c r="AD35" s="32">
        <f>(AD26+AD27)*AD33*part_unsec_multiple+AD29*loan_ticket</f>
        <v/>
      </c>
      <c r="AE35" s="32">
        <f>(AE26+AE27)*AE33*part_unsec_multiple+AE29*loan_ticket</f>
        <v/>
      </c>
      <c r="AF35" s="32">
        <f>(AF26+AF27)*AF33*part_unsec_multiple+AF29*loan_ticket</f>
        <v/>
      </c>
      <c r="AG35" s="32">
        <f>(AG26+AG27)*AG33*part_unsec_multiple+AG29*loan_ticket</f>
        <v/>
      </c>
      <c r="AH35" s="32">
        <f>(AH26+AH27)*AH33*part_unsec_multiple+AH29*loan_ticket</f>
        <v/>
      </c>
      <c r="AI35" s="32">
        <f>(AI26+AI27)*AI33*part_unsec_multiple+AI29*loan_ticket</f>
        <v/>
      </c>
      <c r="AJ35" s="32">
        <f>(AJ26+AJ27)*AJ33*part_unsec_multiple+AJ29*loan_ticket</f>
        <v/>
      </c>
      <c r="AK35" s="32">
        <f>(AK26+AK27)*AK33*part_unsec_multiple+AK29*loan_ticket</f>
        <v/>
      </c>
      <c r="AL35" s="32">
        <f>(AL26+AL27)*AL33*part_unsec_multiple+AL29*loan_ticket</f>
        <v/>
      </c>
      <c r="AM35" s="32">
        <f>(AM26+AM27)*AM33*part_unsec_multiple+AM29*loan_ticket</f>
        <v/>
      </c>
      <c r="AN35" s="32">
        <f>(AN26+AN27)*AN33*part_unsec_multiple+AN29*loan_ticket</f>
        <v/>
      </c>
      <c r="AO35" s="32">
        <f>(AO26+AO27)*AO33*part_unsec_multiple+AO29*loan_ticket</f>
        <v/>
      </c>
      <c r="AP35" s="32">
        <f>(AP26+AP27)*AP33*part_unsec_multiple+AP29*loan_ticket</f>
        <v/>
      </c>
      <c r="AQ35" s="32">
        <f>(AQ26+AQ27)*AQ33*part_unsec_multiple+AQ29*loan_ticket</f>
        <v/>
      </c>
      <c r="AR35" s="32">
        <f>(AR26+AR27)*AR33*part_unsec_multiple+AR29*loan_ticket</f>
        <v/>
      </c>
      <c r="AS35" s="32">
        <f>(AS26+AS27)*AS33*part_unsec_multiple+AS29*loan_ticket</f>
        <v/>
      </c>
      <c r="AT35" s="32">
        <f>(AT26+AT27)*AT33*part_unsec_multiple+AT29*loan_ticket</f>
        <v/>
      </c>
      <c r="AU35" s="32">
        <f>(AU26+AU27)*AU33*part_unsec_multiple+AU29*loan_ticket</f>
        <v/>
      </c>
      <c r="AV35" s="32">
        <f>(AV26+AV27)*AV33*part_unsec_multiple+AV29*loan_ticket</f>
        <v/>
      </c>
      <c r="AW35" s="32">
        <f>(AW26+AW27)*AW33*part_unsec_multiple+AW29*loan_ticket</f>
        <v/>
      </c>
      <c r="AX35" s="32">
        <f>(AX26+AX27)*AX33*part_unsec_multiple+AX29*loan_ticket</f>
        <v/>
      </c>
      <c r="AY35" s="32">
        <f>(AY26+AY27)*AY33*part_unsec_multiple+AY29*loan_ticket</f>
        <v/>
      </c>
      <c r="AZ35" s="32">
        <f>(AZ26+AZ27)*AZ33*part_unsec_multiple+AZ29*loan_ticket</f>
        <v/>
      </c>
      <c r="BA35" s="32">
        <f>(BA26+BA27)*BA33*part_unsec_multiple+BA29*loan_ticket</f>
        <v/>
      </c>
      <c r="BB35" s="32">
        <f>(BB26+BB27)*BB33*part_unsec_multiple+BB29*loan_ticket</f>
        <v/>
      </c>
      <c r="BC35" s="32">
        <f>(BC26+BC27)*BC33*part_unsec_multiple+BC29*loan_ticket</f>
        <v/>
      </c>
      <c r="BD35" s="32">
        <f>(BD26+BD27)*BD33*part_unsec_multiple+BD29*loan_ticket</f>
        <v/>
      </c>
      <c r="BE35" s="32">
        <f>(BE26+BE27)*BE33*part_unsec_multiple+BE29*loan_ticket</f>
        <v/>
      </c>
      <c r="BF35" s="32">
        <f>(BF26+BF27)*BF33*part_unsec_multiple+BF29*loan_ticket</f>
        <v/>
      </c>
      <c r="BG35" s="32">
        <f>(BG26+BG27)*BG33*part_unsec_multiple+BG29*loan_ticket</f>
        <v/>
      </c>
      <c r="BH35" s="32">
        <f>(BH26+BH27)*BH33*part_unsec_multiple+BH29*loan_ticket</f>
        <v/>
      </c>
      <c r="BI35" s="32">
        <f>(BI26+BI27)*BI33*part_unsec_multiple+BI29*loan_ticket</f>
        <v/>
      </c>
      <c r="BJ35" s="32">
        <f>(BJ26+BJ27)*BJ33*part_unsec_multiple+BJ29*loan_ticket</f>
        <v/>
      </c>
      <c r="BK35" s="32">
        <f>(BK26+BK27)*BK33*part_unsec_multiple+BK29*loan_ticket</f>
        <v/>
      </c>
    </row>
    <row r="36">
      <c r="A36" s="25" t="inlineStr">
        <is>
          <t>Money lent (by partners, or by our NBFC if that lever is on)</t>
        </is>
      </c>
      <c r="B36" s="28" t="inlineStr">
        <is>
          <t>₹</t>
        </is>
      </c>
      <c r="C36" s="30" t="n">
        <v>0</v>
      </c>
      <c r="D36" s="32">
        <f>D34+D35</f>
        <v/>
      </c>
      <c r="E36" s="32">
        <f>E34+E35</f>
        <v/>
      </c>
      <c r="F36" s="32">
        <f>F34+F35</f>
        <v/>
      </c>
      <c r="G36" s="32">
        <f>G34+G35</f>
        <v/>
      </c>
      <c r="H36" s="32">
        <f>H34+H35</f>
        <v/>
      </c>
      <c r="I36" s="32">
        <f>I34+I35</f>
        <v/>
      </c>
      <c r="J36" s="32">
        <f>J34+J35</f>
        <v/>
      </c>
      <c r="K36" s="32">
        <f>K34+K35</f>
        <v/>
      </c>
      <c r="L36" s="32">
        <f>L34+L35</f>
        <v/>
      </c>
      <c r="M36" s="32">
        <f>M34+M35</f>
        <v/>
      </c>
      <c r="N36" s="32">
        <f>N34+N35</f>
        <v/>
      </c>
      <c r="O36" s="32">
        <f>O34+O35</f>
        <v/>
      </c>
      <c r="P36" s="32">
        <f>P34+P35</f>
        <v/>
      </c>
      <c r="Q36" s="32">
        <f>Q34+Q35</f>
        <v/>
      </c>
      <c r="R36" s="32">
        <f>R34+R35</f>
        <v/>
      </c>
      <c r="S36" s="32">
        <f>S34+S35</f>
        <v/>
      </c>
      <c r="T36" s="32">
        <f>T34+T35</f>
        <v/>
      </c>
      <c r="U36" s="32">
        <f>U34+U35</f>
        <v/>
      </c>
      <c r="V36" s="32">
        <f>V34+V35</f>
        <v/>
      </c>
      <c r="W36" s="32">
        <f>W34+W35</f>
        <v/>
      </c>
      <c r="X36" s="32">
        <f>X34+X35</f>
        <v/>
      </c>
      <c r="Y36" s="32">
        <f>Y34+Y35</f>
        <v/>
      </c>
      <c r="Z36" s="32">
        <f>Z34+Z35</f>
        <v/>
      </c>
      <c r="AA36" s="32">
        <f>AA34+AA35</f>
        <v/>
      </c>
      <c r="AB36" s="32">
        <f>AB34+AB35</f>
        <v/>
      </c>
      <c r="AC36" s="32">
        <f>AC34+AC35</f>
        <v/>
      </c>
      <c r="AD36" s="32">
        <f>AD34+AD35</f>
        <v/>
      </c>
      <c r="AE36" s="32">
        <f>AE34+AE35</f>
        <v/>
      </c>
      <c r="AF36" s="32">
        <f>AF34+AF35</f>
        <v/>
      </c>
      <c r="AG36" s="32">
        <f>AG34+AG35</f>
        <v/>
      </c>
      <c r="AH36" s="32">
        <f>AH34+AH35</f>
        <v/>
      </c>
      <c r="AI36" s="32">
        <f>AI34+AI35</f>
        <v/>
      </c>
      <c r="AJ36" s="32">
        <f>AJ34+AJ35</f>
        <v/>
      </c>
      <c r="AK36" s="32">
        <f>AK34+AK35</f>
        <v/>
      </c>
      <c r="AL36" s="32">
        <f>AL34+AL35</f>
        <v/>
      </c>
      <c r="AM36" s="32">
        <f>AM34+AM35</f>
        <v/>
      </c>
      <c r="AN36" s="32">
        <f>AN34+AN35</f>
        <v/>
      </c>
      <c r="AO36" s="32">
        <f>AO34+AO35</f>
        <v/>
      </c>
      <c r="AP36" s="32">
        <f>AP34+AP35</f>
        <v/>
      </c>
      <c r="AQ36" s="32">
        <f>AQ34+AQ35</f>
        <v/>
      </c>
      <c r="AR36" s="32">
        <f>AR34+AR35</f>
        <v/>
      </c>
      <c r="AS36" s="32">
        <f>AS34+AS35</f>
        <v/>
      </c>
      <c r="AT36" s="32">
        <f>AT34+AT35</f>
        <v/>
      </c>
      <c r="AU36" s="32">
        <f>AU34+AU35</f>
        <v/>
      </c>
      <c r="AV36" s="32">
        <f>AV34+AV35</f>
        <v/>
      </c>
      <c r="AW36" s="32">
        <f>AW34+AW35</f>
        <v/>
      </c>
      <c r="AX36" s="32">
        <f>AX34+AX35</f>
        <v/>
      </c>
      <c r="AY36" s="32">
        <f>AY34+AY35</f>
        <v/>
      </c>
      <c r="AZ36" s="32">
        <f>AZ34+AZ35</f>
        <v/>
      </c>
      <c r="BA36" s="32">
        <f>BA34+BA35</f>
        <v/>
      </c>
      <c r="BB36" s="32">
        <f>BB34+BB35</f>
        <v/>
      </c>
      <c r="BC36" s="32">
        <f>BC34+BC35</f>
        <v/>
      </c>
      <c r="BD36" s="32">
        <f>BD34+BD35</f>
        <v/>
      </c>
      <c r="BE36" s="32">
        <f>BE34+BE35</f>
        <v/>
      </c>
      <c r="BF36" s="32">
        <f>BF34+BF35</f>
        <v/>
      </c>
      <c r="BG36" s="32">
        <f>BG34+BG35</f>
        <v/>
      </c>
      <c r="BH36" s="32">
        <f>BH34+BH35</f>
        <v/>
      </c>
      <c r="BI36" s="32">
        <f>BI34+BI35</f>
        <v/>
      </c>
      <c r="BJ36" s="32">
        <f>BJ34+BJ35</f>
        <v/>
      </c>
      <c r="BK36" s="32">
        <f>BK34+BK35</f>
        <v/>
      </c>
    </row>
    <row r="37">
      <c r="A37" s="25" t="inlineStr">
        <is>
          <t>Unsecured money lent in the last loan-length months (sets the guarantee deposit)</t>
        </is>
      </c>
      <c r="B37" s="28" t="inlineStr">
        <is>
          <t>₹</t>
        </is>
      </c>
      <c r="C37" s="30" t="n">
        <v>0</v>
      </c>
      <c r="D37" s="32">
        <f>C37+D35-IF(D$4&gt;loan_tenor,INDEX($C$35:C$35,1,D$4-loan_tenor+1),0)</f>
        <v/>
      </c>
      <c r="E37" s="32">
        <f>D37+E35-IF(E$4&gt;loan_tenor,INDEX($C$35:D$35,1,E$4-loan_tenor+1),0)</f>
        <v/>
      </c>
      <c r="F37" s="32">
        <f>E37+F35-IF(F$4&gt;loan_tenor,INDEX($C$35:E$35,1,F$4-loan_tenor+1),0)</f>
        <v/>
      </c>
      <c r="G37" s="32">
        <f>F37+G35-IF(G$4&gt;loan_tenor,INDEX($C$35:F$35,1,G$4-loan_tenor+1),0)</f>
        <v/>
      </c>
      <c r="H37" s="32">
        <f>G37+H35-IF(H$4&gt;loan_tenor,INDEX($C$35:G$35,1,H$4-loan_tenor+1),0)</f>
        <v/>
      </c>
      <c r="I37" s="32">
        <f>H37+I35-IF(I$4&gt;loan_tenor,INDEX($C$35:H$35,1,I$4-loan_tenor+1),0)</f>
        <v/>
      </c>
      <c r="J37" s="32">
        <f>I37+J35-IF(J$4&gt;loan_tenor,INDEX($C$35:I$35,1,J$4-loan_tenor+1),0)</f>
        <v/>
      </c>
      <c r="K37" s="32">
        <f>J37+K35-IF(K$4&gt;loan_tenor,INDEX($C$35:J$35,1,K$4-loan_tenor+1),0)</f>
        <v/>
      </c>
      <c r="L37" s="32">
        <f>K37+L35-IF(L$4&gt;loan_tenor,INDEX($C$35:K$35,1,L$4-loan_tenor+1),0)</f>
        <v/>
      </c>
      <c r="M37" s="32">
        <f>L37+M35-IF(M$4&gt;loan_tenor,INDEX($C$35:L$35,1,M$4-loan_tenor+1),0)</f>
        <v/>
      </c>
      <c r="N37" s="32">
        <f>M37+N35-IF(N$4&gt;loan_tenor,INDEX($C$35:M$35,1,N$4-loan_tenor+1),0)</f>
        <v/>
      </c>
      <c r="O37" s="32">
        <f>N37+O35-IF(O$4&gt;loan_tenor,INDEX($C$35:N$35,1,O$4-loan_tenor+1),0)</f>
        <v/>
      </c>
      <c r="P37" s="32">
        <f>O37+P35-IF(P$4&gt;loan_tenor,INDEX($C$35:O$35,1,P$4-loan_tenor+1),0)</f>
        <v/>
      </c>
      <c r="Q37" s="32">
        <f>P37+Q35-IF(Q$4&gt;loan_tenor,INDEX($C$35:P$35,1,Q$4-loan_tenor+1),0)</f>
        <v/>
      </c>
      <c r="R37" s="32">
        <f>Q37+R35-IF(R$4&gt;loan_tenor,INDEX($C$35:Q$35,1,R$4-loan_tenor+1),0)</f>
        <v/>
      </c>
      <c r="S37" s="32">
        <f>R37+S35-IF(S$4&gt;loan_tenor,INDEX($C$35:R$35,1,S$4-loan_tenor+1),0)</f>
        <v/>
      </c>
      <c r="T37" s="32">
        <f>S37+T35-IF(T$4&gt;loan_tenor,INDEX($C$35:S$35,1,T$4-loan_tenor+1),0)</f>
        <v/>
      </c>
      <c r="U37" s="32">
        <f>T37+U35-IF(U$4&gt;loan_tenor,INDEX($C$35:T$35,1,U$4-loan_tenor+1),0)</f>
        <v/>
      </c>
      <c r="V37" s="32">
        <f>U37+V35-IF(V$4&gt;loan_tenor,INDEX($C$35:U$35,1,V$4-loan_tenor+1),0)</f>
        <v/>
      </c>
      <c r="W37" s="32">
        <f>V37+W35-IF(W$4&gt;loan_tenor,INDEX($C$35:V$35,1,W$4-loan_tenor+1),0)</f>
        <v/>
      </c>
      <c r="X37" s="32">
        <f>W37+X35-IF(X$4&gt;loan_tenor,INDEX($C$35:W$35,1,X$4-loan_tenor+1),0)</f>
        <v/>
      </c>
      <c r="Y37" s="32">
        <f>X37+Y35-IF(Y$4&gt;loan_tenor,INDEX($C$35:X$35,1,Y$4-loan_tenor+1),0)</f>
        <v/>
      </c>
      <c r="Z37" s="32">
        <f>Y37+Z35-IF(Z$4&gt;loan_tenor,INDEX($C$35:Y$35,1,Z$4-loan_tenor+1),0)</f>
        <v/>
      </c>
      <c r="AA37" s="32">
        <f>Z37+AA35-IF(AA$4&gt;loan_tenor,INDEX($C$35:Z$35,1,AA$4-loan_tenor+1),0)</f>
        <v/>
      </c>
      <c r="AB37" s="32">
        <f>AA37+AB35-IF(AB$4&gt;loan_tenor,INDEX($C$35:AA$35,1,AB$4-loan_tenor+1),0)</f>
        <v/>
      </c>
      <c r="AC37" s="32">
        <f>AB37+AC35-IF(AC$4&gt;loan_tenor,INDEX($C$35:AB$35,1,AC$4-loan_tenor+1),0)</f>
        <v/>
      </c>
      <c r="AD37" s="32">
        <f>AC37+AD35-IF(AD$4&gt;loan_tenor,INDEX($C$35:AC$35,1,AD$4-loan_tenor+1),0)</f>
        <v/>
      </c>
      <c r="AE37" s="32">
        <f>AD37+AE35-IF(AE$4&gt;loan_tenor,INDEX($C$35:AD$35,1,AE$4-loan_tenor+1),0)</f>
        <v/>
      </c>
      <c r="AF37" s="32">
        <f>AE37+AF35-IF(AF$4&gt;loan_tenor,INDEX($C$35:AE$35,1,AF$4-loan_tenor+1),0)</f>
        <v/>
      </c>
      <c r="AG37" s="32">
        <f>AF37+AG35-IF(AG$4&gt;loan_tenor,INDEX($C$35:AF$35,1,AG$4-loan_tenor+1),0)</f>
        <v/>
      </c>
      <c r="AH37" s="32">
        <f>AG37+AH35-IF(AH$4&gt;loan_tenor,INDEX($C$35:AG$35,1,AH$4-loan_tenor+1),0)</f>
        <v/>
      </c>
      <c r="AI37" s="32">
        <f>AH37+AI35-IF(AI$4&gt;loan_tenor,INDEX($C$35:AH$35,1,AI$4-loan_tenor+1),0)</f>
        <v/>
      </c>
      <c r="AJ37" s="32">
        <f>AI37+AJ35-IF(AJ$4&gt;loan_tenor,INDEX($C$35:AI$35,1,AJ$4-loan_tenor+1),0)</f>
        <v/>
      </c>
      <c r="AK37" s="32">
        <f>AJ37+AK35-IF(AK$4&gt;loan_tenor,INDEX($C$35:AJ$35,1,AK$4-loan_tenor+1),0)</f>
        <v/>
      </c>
      <c r="AL37" s="32">
        <f>AK37+AL35-IF(AL$4&gt;loan_tenor,INDEX($C$35:AK$35,1,AL$4-loan_tenor+1),0)</f>
        <v/>
      </c>
      <c r="AM37" s="32">
        <f>AL37+AM35-IF(AM$4&gt;loan_tenor,INDEX($C$35:AL$35,1,AM$4-loan_tenor+1),0)</f>
        <v/>
      </c>
      <c r="AN37" s="32">
        <f>AM37+AN35-IF(AN$4&gt;loan_tenor,INDEX($C$35:AM$35,1,AN$4-loan_tenor+1),0)</f>
        <v/>
      </c>
      <c r="AO37" s="32">
        <f>AN37+AO35-IF(AO$4&gt;loan_tenor,INDEX($C$35:AN$35,1,AO$4-loan_tenor+1),0)</f>
        <v/>
      </c>
      <c r="AP37" s="32">
        <f>AO37+AP35-IF(AP$4&gt;loan_tenor,INDEX($C$35:AO$35,1,AP$4-loan_tenor+1),0)</f>
        <v/>
      </c>
      <c r="AQ37" s="32">
        <f>AP37+AQ35-IF(AQ$4&gt;loan_tenor,INDEX($C$35:AP$35,1,AQ$4-loan_tenor+1),0)</f>
        <v/>
      </c>
      <c r="AR37" s="32">
        <f>AQ37+AR35-IF(AR$4&gt;loan_tenor,INDEX($C$35:AQ$35,1,AR$4-loan_tenor+1),0)</f>
        <v/>
      </c>
      <c r="AS37" s="32">
        <f>AR37+AS35-IF(AS$4&gt;loan_tenor,INDEX($C$35:AR$35,1,AS$4-loan_tenor+1),0)</f>
        <v/>
      </c>
      <c r="AT37" s="32">
        <f>AS37+AT35-IF(AT$4&gt;loan_tenor,INDEX($C$35:AS$35,1,AT$4-loan_tenor+1),0)</f>
        <v/>
      </c>
      <c r="AU37" s="32">
        <f>AT37+AU35-IF(AU$4&gt;loan_tenor,INDEX($C$35:AT$35,1,AU$4-loan_tenor+1),0)</f>
        <v/>
      </c>
      <c r="AV37" s="32">
        <f>AU37+AV35-IF(AV$4&gt;loan_tenor,INDEX($C$35:AU$35,1,AV$4-loan_tenor+1),0)</f>
        <v/>
      </c>
      <c r="AW37" s="32">
        <f>AV37+AW35-IF(AW$4&gt;loan_tenor,INDEX($C$35:AV$35,1,AW$4-loan_tenor+1),0)</f>
        <v/>
      </c>
      <c r="AX37" s="32">
        <f>AW37+AX35-IF(AX$4&gt;loan_tenor,INDEX($C$35:AW$35,1,AX$4-loan_tenor+1),0)</f>
        <v/>
      </c>
      <c r="AY37" s="32">
        <f>AX37+AY35-IF(AY$4&gt;loan_tenor,INDEX($C$35:AX$35,1,AY$4-loan_tenor+1),0)</f>
        <v/>
      </c>
      <c r="AZ37" s="32">
        <f>AY37+AZ35-IF(AZ$4&gt;loan_tenor,INDEX($C$35:AY$35,1,AZ$4-loan_tenor+1),0)</f>
        <v/>
      </c>
      <c r="BA37" s="32">
        <f>AZ37+BA35-IF(BA$4&gt;loan_tenor,INDEX($C$35:AZ$35,1,BA$4-loan_tenor+1),0)</f>
        <v/>
      </c>
      <c r="BB37" s="32">
        <f>BA37+BB35-IF(BB$4&gt;loan_tenor,INDEX($C$35:BA$35,1,BB$4-loan_tenor+1),0)</f>
        <v/>
      </c>
      <c r="BC37" s="32">
        <f>BB37+BC35-IF(BC$4&gt;loan_tenor,INDEX($C$35:BB$35,1,BC$4-loan_tenor+1),0)</f>
        <v/>
      </c>
      <c r="BD37" s="32">
        <f>BC37+BD35-IF(BD$4&gt;loan_tenor,INDEX($C$35:BC$35,1,BD$4-loan_tenor+1),0)</f>
        <v/>
      </c>
      <c r="BE37" s="32">
        <f>BD37+BE35-IF(BE$4&gt;loan_tenor,INDEX($C$35:BD$35,1,BE$4-loan_tenor+1),0)</f>
        <v/>
      </c>
      <c r="BF37" s="32">
        <f>BE37+BF35-IF(BF$4&gt;loan_tenor,INDEX($C$35:BE$35,1,BF$4-loan_tenor+1),0)</f>
        <v/>
      </c>
      <c r="BG37" s="32">
        <f>BF37+BG35-IF(BG$4&gt;loan_tenor,INDEX($C$35:BF$35,1,BG$4-loan_tenor+1),0)</f>
        <v/>
      </c>
      <c r="BH37" s="32">
        <f>BG37+BH35-IF(BH$4&gt;loan_tenor,INDEX($C$35:BG$35,1,BH$4-loan_tenor+1),0)</f>
        <v/>
      </c>
      <c r="BI37" s="32">
        <f>BH37+BI35-IF(BI$4&gt;loan_tenor,INDEX($C$35:BH$35,1,BI$4-loan_tenor+1),0)</f>
        <v/>
      </c>
      <c r="BJ37" s="32">
        <f>BI37+BJ35-IF(BJ$4&gt;loan_tenor,INDEX($C$35:BI$35,1,BJ$4-loan_tenor+1),0)</f>
        <v/>
      </c>
      <c r="BK37" s="32">
        <f>BJ37+BK35-IF(BK$4&gt;loan_tenor,INDEX($C$35:BJ$35,1,BK$4-loan_tenor+1),0)</f>
        <v/>
      </c>
    </row>
    <row r="38">
      <c r="A38" s="25" t="inlineStr">
        <is>
          <t>All money lent in the last loan-length months (an own NBFC's book)</t>
        </is>
      </c>
      <c r="B38" s="28" t="inlineStr">
        <is>
          <t>₹</t>
        </is>
      </c>
      <c r="C38" s="30" t="n">
        <v>0</v>
      </c>
      <c r="D38" s="32">
        <f>C38+D36-IF(D$4&gt;loan_tenor,INDEX($C$36:C$36,1,D$4-loan_tenor+1),0)</f>
        <v/>
      </c>
      <c r="E38" s="32">
        <f>D38+E36-IF(E$4&gt;loan_tenor,INDEX($C$36:D$36,1,E$4-loan_tenor+1),0)</f>
        <v/>
      </c>
      <c r="F38" s="32">
        <f>E38+F36-IF(F$4&gt;loan_tenor,INDEX($C$36:E$36,1,F$4-loan_tenor+1),0)</f>
        <v/>
      </c>
      <c r="G38" s="32">
        <f>F38+G36-IF(G$4&gt;loan_tenor,INDEX($C$36:F$36,1,G$4-loan_tenor+1),0)</f>
        <v/>
      </c>
      <c r="H38" s="32">
        <f>G38+H36-IF(H$4&gt;loan_tenor,INDEX($C$36:G$36,1,H$4-loan_tenor+1),0)</f>
        <v/>
      </c>
      <c r="I38" s="32">
        <f>H38+I36-IF(I$4&gt;loan_tenor,INDEX($C$36:H$36,1,I$4-loan_tenor+1),0)</f>
        <v/>
      </c>
      <c r="J38" s="32">
        <f>I38+J36-IF(J$4&gt;loan_tenor,INDEX($C$36:I$36,1,J$4-loan_tenor+1),0)</f>
        <v/>
      </c>
      <c r="K38" s="32">
        <f>J38+K36-IF(K$4&gt;loan_tenor,INDEX($C$36:J$36,1,K$4-loan_tenor+1),0)</f>
        <v/>
      </c>
      <c r="L38" s="32">
        <f>K38+L36-IF(L$4&gt;loan_tenor,INDEX($C$36:K$36,1,L$4-loan_tenor+1),0)</f>
        <v/>
      </c>
      <c r="M38" s="32">
        <f>L38+M36-IF(M$4&gt;loan_tenor,INDEX($C$36:L$36,1,M$4-loan_tenor+1),0)</f>
        <v/>
      </c>
      <c r="N38" s="32">
        <f>M38+N36-IF(N$4&gt;loan_tenor,INDEX($C$36:M$36,1,N$4-loan_tenor+1),0)</f>
        <v/>
      </c>
      <c r="O38" s="32">
        <f>N38+O36-IF(O$4&gt;loan_tenor,INDEX($C$36:N$36,1,O$4-loan_tenor+1),0)</f>
        <v/>
      </c>
      <c r="P38" s="32">
        <f>O38+P36-IF(P$4&gt;loan_tenor,INDEX($C$36:O$36,1,P$4-loan_tenor+1),0)</f>
        <v/>
      </c>
      <c r="Q38" s="32">
        <f>P38+Q36-IF(Q$4&gt;loan_tenor,INDEX($C$36:P$36,1,Q$4-loan_tenor+1),0)</f>
        <v/>
      </c>
      <c r="R38" s="32">
        <f>Q38+R36-IF(R$4&gt;loan_tenor,INDEX($C$36:Q$36,1,R$4-loan_tenor+1),0)</f>
        <v/>
      </c>
      <c r="S38" s="32">
        <f>R38+S36-IF(S$4&gt;loan_tenor,INDEX($C$36:R$36,1,S$4-loan_tenor+1),0)</f>
        <v/>
      </c>
      <c r="T38" s="32">
        <f>S38+T36-IF(T$4&gt;loan_tenor,INDEX($C$36:S$36,1,T$4-loan_tenor+1),0)</f>
        <v/>
      </c>
      <c r="U38" s="32">
        <f>T38+U36-IF(U$4&gt;loan_tenor,INDEX($C$36:T$36,1,U$4-loan_tenor+1),0)</f>
        <v/>
      </c>
      <c r="V38" s="32">
        <f>U38+V36-IF(V$4&gt;loan_tenor,INDEX($C$36:U$36,1,V$4-loan_tenor+1),0)</f>
        <v/>
      </c>
      <c r="W38" s="32">
        <f>V38+W36-IF(W$4&gt;loan_tenor,INDEX($C$36:V$36,1,W$4-loan_tenor+1),0)</f>
        <v/>
      </c>
      <c r="X38" s="32">
        <f>W38+X36-IF(X$4&gt;loan_tenor,INDEX($C$36:W$36,1,X$4-loan_tenor+1),0)</f>
        <v/>
      </c>
      <c r="Y38" s="32">
        <f>X38+Y36-IF(Y$4&gt;loan_tenor,INDEX($C$36:X$36,1,Y$4-loan_tenor+1),0)</f>
        <v/>
      </c>
      <c r="Z38" s="32">
        <f>Y38+Z36-IF(Z$4&gt;loan_tenor,INDEX($C$36:Y$36,1,Z$4-loan_tenor+1),0)</f>
        <v/>
      </c>
      <c r="AA38" s="32">
        <f>Z38+AA36-IF(AA$4&gt;loan_tenor,INDEX($C$36:Z$36,1,AA$4-loan_tenor+1),0)</f>
        <v/>
      </c>
      <c r="AB38" s="32">
        <f>AA38+AB36-IF(AB$4&gt;loan_tenor,INDEX($C$36:AA$36,1,AB$4-loan_tenor+1),0)</f>
        <v/>
      </c>
      <c r="AC38" s="32">
        <f>AB38+AC36-IF(AC$4&gt;loan_tenor,INDEX($C$36:AB$36,1,AC$4-loan_tenor+1),0)</f>
        <v/>
      </c>
      <c r="AD38" s="32">
        <f>AC38+AD36-IF(AD$4&gt;loan_tenor,INDEX($C$36:AC$36,1,AD$4-loan_tenor+1),0)</f>
        <v/>
      </c>
      <c r="AE38" s="32">
        <f>AD38+AE36-IF(AE$4&gt;loan_tenor,INDEX($C$36:AD$36,1,AE$4-loan_tenor+1),0)</f>
        <v/>
      </c>
      <c r="AF38" s="32">
        <f>AE38+AF36-IF(AF$4&gt;loan_tenor,INDEX($C$36:AE$36,1,AF$4-loan_tenor+1),0)</f>
        <v/>
      </c>
      <c r="AG38" s="32">
        <f>AF38+AG36-IF(AG$4&gt;loan_tenor,INDEX($C$36:AF$36,1,AG$4-loan_tenor+1),0)</f>
        <v/>
      </c>
      <c r="AH38" s="32">
        <f>AG38+AH36-IF(AH$4&gt;loan_tenor,INDEX($C$36:AG$36,1,AH$4-loan_tenor+1),0)</f>
        <v/>
      </c>
      <c r="AI38" s="32">
        <f>AH38+AI36-IF(AI$4&gt;loan_tenor,INDEX($C$36:AH$36,1,AI$4-loan_tenor+1),0)</f>
        <v/>
      </c>
      <c r="AJ38" s="32">
        <f>AI38+AJ36-IF(AJ$4&gt;loan_tenor,INDEX($C$36:AI$36,1,AJ$4-loan_tenor+1),0)</f>
        <v/>
      </c>
      <c r="AK38" s="32">
        <f>AJ38+AK36-IF(AK$4&gt;loan_tenor,INDEX($C$36:AJ$36,1,AK$4-loan_tenor+1),0)</f>
        <v/>
      </c>
      <c r="AL38" s="32">
        <f>AK38+AL36-IF(AL$4&gt;loan_tenor,INDEX($C$36:AK$36,1,AL$4-loan_tenor+1),0)</f>
        <v/>
      </c>
      <c r="AM38" s="32">
        <f>AL38+AM36-IF(AM$4&gt;loan_tenor,INDEX($C$36:AL$36,1,AM$4-loan_tenor+1),0)</f>
        <v/>
      </c>
      <c r="AN38" s="32">
        <f>AM38+AN36-IF(AN$4&gt;loan_tenor,INDEX($C$36:AM$36,1,AN$4-loan_tenor+1),0)</f>
        <v/>
      </c>
      <c r="AO38" s="32">
        <f>AN38+AO36-IF(AO$4&gt;loan_tenor,INDEX($C$36:AN$36,1,AO$4-loan_tenor+1),0)</f>
        <v/>
      </c>
      <c r="AP38" s="32">
        <f>AO38+AP36-IF(AP$4&gt;loan_tenor,INDEX($C$36:AO$36,1,AP$4-loan_tenor+1),0)</f>
        <v/>
      </c>
      <c r="AQ38" s="32">
        <f>AP38+AQ36-IF(AQ$4&gt;loan_tenor,INDEX($C$36:AP$36,1,AQ$4-loan_tenor+1),0)</f>
        <v/>
      </c>
      <c r="AR38" s="32">
        <f>AQ38+AR36-IF(AR$4&gt;loan_tenor,INDEX($C$36:AQ$36,1,AR$4-loan_tenor+1),0)</f>
        <v/>
      </c>
      <c r="AS38" s="32">
        <f>AR38+AS36-IF(AS$4&gt;loan_tenor,INDEX($C$36:AR$36,1,AS$4-loan_tenor+1),0)</f>
        <v/>
      </c>
      <c r="AT38" s="32">
        <f>AS38+AT36-IF(AT$4&gt;loan_tenor,INDEX($C$36:AS$36,1,AT$4-loan_tenor+1),0)</f>
        <v/>
      </c>
      <c r="AU38" s="32">
        <f>AT38+AU36-IF(AU$4&gt;loan_tenor,INDEX($C$36:AT$36,1,AU$4-loan_tenor+1),0)</f>
        <v/>
      </c>
      <c r="AV38" s="32">
        <f>AU38+AV36-IF(AV$4&gt;loan_tenor,INDEX($C$36:AU$36,1,AV$4-loan_tenor+1),0)</f>
        <v/>
      </c>
      <c r="AW38" s="32">
        <f>AV38+AW36-IF(AW$4&gt;loan_tenor,INDEX($C$36:AV$36,1,AW$4-loan_tenor+1),0)</f>
        <v/>
      </c>
      <c r="AX38" s="32">
        <f>AW38+AX36-IF(AX$4&gt;loan_tenor,INDEX($C$36:AW$36,1,AX$4-loan_tenor+1),0)</f>
        <v/>
      </c>
      <c r="AY38" s="32">
        <f>AX38+AY36-IF(AY$4&gt;loan_tenor,INDEX($C$36:AX$36,1,AY$4-loan_tenor+1),0)</f>
        <v/>
      </c>
      <c r="AZ38" s="32">
        <f>AY38+AZ36-IF(AZ$4&gt;loan_tenor,INDEX($C$36:AY$36,1,AZ$4-loan_tenor+1),0)</f>
        <v/>
      </c>
      <c r="BA38" s="32">
        <f>AZ38+BA36-IF(BA$4&gt;loan_tenor,INDEX($C$36:AZ$36,1,BA$4-loan_tenor+1),0)</f>
        <v/>
      </c>
      <c r="BB38" s="32">
        <f>BA38+BB36-IF(BB$4&gt;loan_tenor,INDEX($C$36:BA$36,1,BB$4-loan_tenor+1),0)</f>
        <v/>
      </c>
      <c r="BC38" s="32">
        <f>BB38+BC36-IF(BC$4&gt;loan_tenor,INDEX($C$36:BB$36,1,BC$4-loan_tenor+1),0)</f>
        <v/>
      </c>
      <c r="BD38" s="32">
        <f>BC38+BD36-IF(BD$4&gt;loan_tenor,INDEX($C$36:BC$36,1,BD$4-loan_tenor+1),0)</f>
        <v/>
      </c>
      <c r="BE38" s="32">
        <f>BD38+BE36-IF(BE$4&gt;loan_tenor,INDEX($C$36:BD$36,1,BE$4-loan_tenor+1),0)</f>
        <v/>
      </c>
      <c r="BF38" s="32">
        <f>BE38+BF36-IF(BF$4&gt;loan_tenor,INDEX($C$36:BE$36,1,BF$4-loan_tenor+1),0)</f>
        <v/>
      </c>
      <c r="BG38" s="32">
        <f>BF38+BG36-IF(BG$4&gt;loan_tenor,INDEX($C$36:BF$36,1,BG$4-loan_tenor+1),0)</f>
        <v/>
      </c>
      <c r="BH38" s="32">
        <f>BG38+BH36-IF(BH$4&gt;loan_tenor,INDEX($C$36:BG$36,1,BH$4-loan_tenor+1),0)</f>
        <v/>
      </c>
      <c r="BI38" s="32">
        <f>BH38+BI36-IF(BI$4&gt;loan_tenor,INDEX($C$36:BH$36,1,BI$4-loan_tenor+1),0)</f>
        <v/>
      </c>
      <c r="BJ38" s="32">
        <f>BI38+BJ36-IF(BJ$4&gt;loan_tenor,INDEX($C$36:BI$36,1,BJ$4-loan_tenor+1),0)</f>
        <v/>
      </c>
      <c r="BK38" s="32">
        <f>BJ38+BK36-IF(BK$4&gt;loan_tenor,INDEX($C$36:BJ$36,1,BK$4-loan_tenor+1),0)</f>
        <v/>
      </c>
    </row>
    <row r="39">
      <c r="A39" s="25" t="inlineStr">
        <is>
          <t>Capital locked: guarantee deposit, or NBFC equity for the loan book</t>
        </is>
      </c>
      <c r="B39" s="28" t="inlineStr">
        <is>
          <t>₹</t>
        </is>
      </c>
      <c r="C39" s="30" t="n">
        <v>0</v>
      </c>
      <c r="D39" s="32">
        <f>IF(nbfc_on=1,nbfc_equity*nbfc_avg_frac*D38,dlg_on*dlg_cap*D37)</f>
        <v/>
      </c>
      <c r="E39" s="32">
        <f>IF(nbfc_on=1,nbfc_equity*nbfc_avg_frac*E38,dlg_on*dlg_cap*E37)</f>
        <v/>
      </c>
      <c r="F39" s="32">
        <f>IF(nbfc_on=1,nbfc_equity*nbfc_avg_frac*F38,dlg_on*dlg_cap*F37)</f>
        <v/>
      </c>
      <c r="G39" s="32">
        <f>IF(nbfc_on=1,nbfc_equity*nbfc_avg_frac*G38,dlg_on*dlg_cap*G37)</f>
        <v/>
      </c>
      <c r="H39" s="32">
        <f>IF(nbfc_on=1,nbfc_equity*nbfc_avg_frac*H38,dlg_on*dlg_cap*H37)</f>
        <v/>
      </c>
      <c r="I39" s="32">
        <f>IF(nbfc_on=1,nbfc_equity*nbfc_avg_frac*I38,dlg_on*dlg_cap*I37)</f>
        <v/>
      </c>
      <c r="J39" s="32">
        <f>IF(nbfc_on=1,nbfc_equity*nbfc_avg_frac*J38,dlg_on*dlg_cap*J37)</f>
        <v/>
      </c>
      <c r="K39" s="32">
        <f>IF(nbfc_on=1,nbfc_equity*nbfc_avg_frac*K38,dlg_on*dlg_cap*K37)</f>
        <v/>
      </c>
      <c r="L39" s="32">
        <f>IF(nbfc_on=1,nbfc_equity*nbfc_avg_frac*L38,dlg_on*dlg_cap*L37)</f>
        <v/>
      </c>
      <c r="M39" s="32">
        <f>IF(nbfc_on=1,nbfc_equity*nbfc_avg_frac*M38,dlg_on*dlg_cap*M37)</f>
        <v/>
      </c>
      <c r="N39" s="32">
        <f>IF(nbfc_on=1,nbfc_equity*nbfc_avg_frac*N38,dlg_on*dlg_cap*N37)</f>
        <v/>
      </c>
      <c r="O39" s="32">
        <f>IF(nbfc_on=1,nbfc_equity*nbfc_avg_frac*O38,dlg_on*dlg_cap*O37)</f>
        <v/>
      </c>
      <c r="P39" s="32">
        <f>IF(nbfc_on=1,nbfc_equity*nbfc_avg_frac*P38,dlg_on*dlg_cap*P37)</f>
        <v/>
      </c>
      <c r="Q39" s="32">
        <f>IF(nbfc_on=1,nbfc_equity*nbfc_avg_frac*Q38,dlg_on*dlg_cap*Q37)</f>
        <v/>
      </c>
      <c r="R39" s="32">
        <f>IF(nbfc_on=1,nbfc_equity*nbfc_avg_frac*R38,dlg_on*dlg_cap*R37)</f>
        <v/>
      </c>
      <c r="S39" s="32">
        <f>IF(nbfc_on=1,nbfc_equity*nbfc_avg_frac*S38,dlg_on*dlg_cap*S37)</f>
        <v/>
      </c>
      <c r="T39" s="32">
        <f>IF(nbfc_on=1,nbfc_equity*nbfc_avg_frac*T38,dlg_on*dlg_cap*T37)</f>
        <v/>
      </c>
      <c r="U39" s="32">
        <f>IF(nbfc_on=1,nbfc_equity*nbfc_avg_frac*U38,dlg_on*dlg_cap*U37)</f>
        <v/>
      </c>
      <c r="V39" s="32">
        <f>IF(nbfc_on=1,nbfc_equity*nbfc_avg_frac*V38,dlg_on*dlg_cap*V37)</f>
        <v/>
      </c>
      <c r="W39" s="32">
        <f>IF(nbfc_on=1,nbfc_equity*nbfc_avg_frac*W38,dlg_on*dlg_cap*W37)</f>
        <v/>
      </c>
      <c r="X39" s="32">
        <f>IF(nbfc_on=1,nbfc_equity*nbfc_avg_frac*X38,dlg_on*dlg_cap*X37)</f>
        <v/>
      </c>
      <c r="Y39" s="32">
        <f>IF(nbfc_on=1,nbfc_equity*nbfc_avg_frac*Y38,dlg_on*dlg_cap*Y37)</f>
        <v/>
      </c>
      <c r="Z39" s="32">
        <f>IF(nbfc_on=1,nbfc_equity*nbfc_avg_frac*Z38,dlg_on*dlg_cap*Z37)</f>
        <v/>
      </c>
      <c r="AA39" s="32">
        <f>IF(nbfc_on=1,nbfc_equity*nbfc_avg_frac*AA38,dlg_on*dlg_cap*AA37)</f>
        <v/>
      </c>
      <c r="AB39" s="32">
        <f>IF(nbfc_on=1,nbfc_equity*nbfc_avg_frac*AB38,dlg_on*dlg_cap*AB37)</f>
        <v/>
      </c>
      <c r="AC39" s="32">
        <f>IF(nbfc_on=1,nbfc_equity*nbfc_avg_frac*AC38,dlg_on*dlg_cap*AC37)</f>
        <v/>
      </c>
      <c r="AD39" s="32">
        <f>IF(nbfc_on=1,nbfc_equity*nbfc_avg_frac*AD38,dlg_on*dlg_cap*AD37)</f>
        <v/>
      </c>
      <c r="AE39" s="32">
        <f>IF(nbfc_on=1,nbfc_equity*nbfc_avg_frac*AE38,dlg_on*dlg_cap*AE37)</f>
        <v/>
      </c>
      <c r="AF39" s="32">
        <f>IF(nbfc_on=1,nbfc_equity*nbfc_avg_frac*AF38,dlg_on*dlg_cap*AF37)</f>
        <v/>
      </c>
      <c r="AG39" s="32">
        <f>IF(nbfc_on=1,nbfc_equity*nbfc_avg_frac*AG38,dlg_on*dlg_cap*AG37)</f>
        <v/>
      </c>
      <c r="AH39" s="32">
        <f>IF(nbfc_on=1,nbfc_equity*nbfc_avg_frac*AH38,dlg_on*dlg_cap*AH37)</f>
        <v/>
      </c>
      <c r="AI39" s="32">
        <f>IF(nbfc_on=1,nbfc_equity*nbfc_avg_frac*AI38,dlg_on*dlg_cap*AI37)</f>
        <v/>
      </c>
      <c r="AJ39" s="32">
        <f>IF(nbfc_on=1,nbfc_equity*nbfc_avg_frac*AJ38,dlg_on*dlg_cap*AJ37)</f>
        <v/>
      </c>
      <c r="AK39" s="32">
        <f>IF(nbfc_on=1,nbfc_equity*nbfc_avg_frac*AK38,dlg_on*dlg_cap*AK37)</f>
        <v/>
      </c>
      <c r="AL39" s="32">
        <f>IF(nbfc_on=1,nbfc_equity*nbfc_avg_frac*AL38,dlg_on*dlg_cap*AL37)</f>
        <v/>
      </c>
      <c r="AM39" s="32">
        <f>IF(nbfc_on=1,nbfc_equity*nbfc_avg_frac*AM38,dlg_on*dlg_cap*AM37)</f>
        <v/>
      </c>
      <c r="AN39" s="32">
        <f>IF(nbfc_on=1,nbfc_equity*nbfc_avg_frac*AN38,dlg_on*dlg_cap*AN37)</f>
        <v/>
      </c>
      <c r="AO39" s="32">
        <f>IF(nbfc_on=1,nbfc_equity*nbfc_avg_frac*AO38,dlg_on*dlg_cap*AO37)</f>
        <v/>
      </c>
      <c r="AP39" s="32">
        <f>IF(nbfc_on=1,nbfc_equity*nbfc_avg_frac*AP38,dlg_on*dlg_cap*AP37)</f>
        <v/>
      </c>
      <c r="AQ39" s="32">
        <f>IF(nbfc_on=1,nbfc_equity*nbfc_avg_frac*AQ38,dlg_on*dlg_cap*AQ37)</f>
        <v/>
      </c>
      <c r="AR39" s="32">
        <f>IF(nbfc_on=1,nbfc_equity*nbfc_avg_frac*AR38,dlg_on*dlg_cap*AR37)</f>
        <v/>
      </c>
      <c r="AS39" s="32">
        <f>IF(nbfc_on=1,nbfc_equity*nbfc_avg_frac*AS38,dlg_on*dlg_cap*AS37)</f>
        <v/>
      </c>
      <c r="AT39" s="32">
        <f>IF(nbfc_on=1,nbfc_equity*nbfc_avg_frac*AT38,dlg_on*dlg_cap*AT37)</f>
        <v/>
      </c>
      <c r="AU39" s="32">
        <f>IF(nbfc_on=1,nbfc_equity*nbfc_avg_frac*AU38,dlg_on*dlg_cap*AU37)</f>
        <v/>
      </c>
      <c r="AV39" s="32">
        <f>IF(nbfc_on=1,nbfc_equity*nbfc_avg_frac*AV38,dlg_on*dlg_cap*AV37)</f>
        <v/>
      </c>
      <c r="AW39" s="32">
        <f>IF(nbfc_on=1,nbfc_equity*nbfc_avg_frac*AW38,dlg_on*dlg_cap*AW37)</f>
        <v/>
      </c>
      <c r="AX39" s="32">
        <f>IF(nbfc_on=1,nbfc_equity*nbfc_avg_frac*AX38,dlg_on*dlg_cap*AX37)</f>
        <v/>
      </c>
      <c r="AY39" s="32">
        <f>IF(nbfc_on=1,nbfc_equity*nbfc_avg_frac*AY38,dlg_on*dlg_cap*AY37)</f>
        <v/>
      </c>
      <c r="AZ39" s="32">
        <f>IF(nbfc_on=1,nbfc_equity*nbfc_avg_frac*AZ38,dlg_on*dlg_cap*AZ37)</f>
        <v/>
      </c>
      <c r="BA39" s="32">
        <f>IF(nbfc_on=1,nbfc_equity*nbfc_avg_frac*BA38,dlg_on*dlg_cap*BA37)</f>
        <v/>
      </c>
      <c r="BB39" s="32">
        <f>IF(nbfc_on=1,nbfc_equity*nbfc_avg_frac*BB38,dlg_on*dlg_cap*BB37)</f>
        <v/>
      </c>
      <c r="BC39" s="32">
        <f>IF(nbfc_on=1,nbfc_equity*nbfc_avg_frac*BC38,dlg_on*dlg_cap*BC37)</f>
        <v/>
      </c>
      <c r="BD39" s="32">
        <f>IF(nbfc_on=1,nbfc_equity*nbfc_avg_frac*BD38,dlg_on*dlg_cap*BD37)</f>
        <v/>
      </c>
      <c r="BE39" s="32">
        <f>IF(nbfc_on=1,nbfc_equity*nbfc_avg_frac*BE38,dlg_on*dlg_cap*BE37)</f>
        <v/>
      </c>
      <c r="BF39" s="32">
        <f>IF(nbfc_on=1,nbfc_equity*nbfc_avg_frac*BF38,dlg_on*dlg_cap*BF37)</f>
        <v/>
      </c>
      <c r="BG39" s="32">
        <f>IF(nbfc_on=1,nbfc_equity*nbfc_avg_frac*BG38,dlg_on*dlg_cap*BG37)</f>
        <v/>
      </c>
      <c r="BH39" s="32">
        <f>IF(nbfc_on=1,nbfc_equity*nbfc_avg_frac*BH38,dlg_on*dlg_cap*BH37)</f>
        <v/>
      </c>
      <c r="BI39" s="32">
        <f>IF(nbfc_on=1,nbfc_equity*nbfc_avg_frac*BI38,dlg_on*dlg_cap*BI37)</f>
        <v/>
      </c>
      <c r="BJ39" s="32">
        <f>IF(nbfc_on=1,nbfc_equity*nbfc_avg_frac*BJ38,dlg_on*dlg_cap*BJ37)</f>
        <v/>
      </c>
      <c r="BK39" s="32">
        <f>IF(nbfc_on=1,nbfc_equity*nbfc_avg_frac*BK38,dlg_on*dlg_cap*BK37)</f>
        <v/>
      </c>
    </row>
    <row r="40">
      <c r="A40" s="6" t="inlineStr">
        <is>
          <t>Cards (issued by a partner bank)</t>
        </is>
      </c>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c r="AK40" s="7" t="n"/>
      <c r="AL40" s="7" t="n"/>
      <c r="AM40" s="7" t="n"/>
      <c r="AN40" s="7" t="n"/>
      <c r="AO40" s="7" t="n"/>
      <c r="AP40" s="7"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7" t="n"/>
    </row>
    <row r="41">
      <c r="A41" s="25" t="inlineStr">
        <is>
          <t>Share of active savers with an FD-secured card</t>
        </is>
      </c>
      <c r="B41" s="28" t="inlineStr">
        <is>
          <t>share</t>
        </is>
      </c>
      <c r="C41" s="29" t="n">
        <v>0</v>
      </c>
      <c r="D41" s="31">
        <f>IF(D$4&gt;=card_start,C41*(1-card_churn)+(card_eligible*(1-gold_on*gold_share)-C41)*card_uptake,0)</f>
        <v/>
      </c>
      <c r="E41" s="31">
        <f>IF(E$4&gt;=card_start,D41*(1-card_churn)+(card_eligible*(1-gold_on*gold_share)-D41)*card_uptake,0)</f>
        <v/>
      </c>
      <c r="F41" s="31">
        <f>IF(F$4&gt;=card_start,E41*(1-card_churn)+(card_eligible*(1-gold_on*gold_share)-E41)*card_uptake,0)</f>
        <v/>
      </c>
      <c r="G41" s="31">
        <f>IF(G$4&gt;=card_start,F41*(1-card_churn)+(card_eligible*(1-gold_on*gold_share)-F41)*card_uptake,0)</f>
        <v/>
      </c>
      <c r="H41" s="31">
        <f>IF(H$4&gt;=card_start,G41*(1-card_churn)+(card_eligible*(1-gold_on*gold_share)-G41)*card_uptake,0)</f>
        <v/>
      </c>
      <c r="I41" s="31">
        <f>IF(I$4&gt;=card_start,H41*(1-card_churn)+(card_eligible*(1-gold_on*gold_share)-H41)*card_uptake,0)</f>
        <v/>
      </c>
      <c r="J41" s="31">
        <f>IF(J$4&gt;=card_start,I41*(1-card_churn)+(card_eligible*(1-gold_on*gold_share)-I41)*card_uptake,0)</f>
        <v/>
      </c>
      <c r="K41" s="31">
        <f>IF(K$4&gt;=card_start,J41*(1-card_churn)+(card_eligible*(1-gold_on*gold_share)-J41)*card_uptake,0)</f>
        <v/>
      </c>
      <c r="L41" s="31">
        <f>IF(L$4&gt;=card_start,K41*(1-card_churn)+(card_eligible*(1-gold_on*gold_share)-K41)*card_uptake,0)</f>
        <v/>
      </c>
      <c r="M41" s="31">
        <f>IF(M$4&gt;=card_start,L41*(1-card_churn)+(card_eligible*(1-gold_on*gold_share)-L41)*card_uptake,0)</f>
        <v/>
      </c>
      <c r="N41" s="31">
        <f>IF(N$4&gt;=card_start,M41*(1-card_churn)+(card_eligible*(1-gold_on*gold_share)-M41)*card_uptake,0)</f>
        <v/>
      </c>
      <c r="O41" s="31">
        <f>IF(O$4&gt;=card_start,N41*(1-card_churn)+(card_eligible*(1-gold_on*gold_share)-N41)*card_uptake,0)</f>
        <v/>
      </c>
      <c r="P41" s="31">
        <f>IF(P$4&gt;=card_start,O41*(1-card_churn)+(card_eligible*(1-gold_on*gold_share)-O41)*card_uptake,0)</f>
        <v/>
      </c>
      <c r="Q41" s="31">
        <f>IF(Q$4&gt;=card_start,P41*(1-card_churn)+(card_eligible*(1-gold_on*gold_share)-P41)*card_uptake,0)</f>
        <v/>
      </c>
      <c r="R41" s="31">
        <f>IF(R$4&gt;=card_start,Q41*(1-card_churn)+(card_eligible*(1-gold_on*gold_share)-Q41)*card_uptake,0)</f>
        <v/>
      </c>
      <c r="S41" s="31">
        <f>IF(S$4&gt;=card_start,R41*(1-card_churn)+(card_eligible*(1-gold_on*gold_share)-R41)*card_uptake,0)</f>
        <v/>
      </c>
      <c r="T41" s="31">
        <f>IF(T$4&gt;=card_start,S41*(1-card_churn)+(card_eligible*(1-gold_on*gold_share)-S41)*card_uptake,0)</f>
        <v/>
      </c>
      <c r="U41" s="31">
        <f>IF(U$4&gt;=card_start,T41*(1-card_churn)+(card_eligible*(1-gold_on*gold_share)-T41)*card_uptake,0)</f>
        <v/>
      </c>
      <c r="V41" s="31">
        <f>IF(V$4&gt;=card_start,U41*(1-card_churn)+(card_eligible*(1-gold_on*gold_share)-U41)*card_uptake,0)</f>
        <v/>
      </c>
      <c r="W41" s="31">
        <f>IF(W$4&gt;=card_start,V41*(1-card_churn)+(card_eligible*(1-gold_on*gold_share)-V41)*card_uptake,0)</f>
        <v/>
      </c>
      <c r="X41" s="31">
        <f>IF(X$4&gt;=card_start,W41*(1-card_churn)+(card_eligible*(1-gold_on*gold_share)-W41)*card_uptake,0)</f>
        <v/>
      </c>
      <c r="Y41" s="31">
        <f>IF(Y$4&gt;=card_start,X41*(1-card_churn)+(card_eligible*(1-gold_on*gold_share)-X41)*card_uptake,0)</f>
        <v/>
      </c>
      <c r="Z41" s="31">
        <f>IF(Z$4&gt;=card_start,Y41*(1-card_churn)+(card_eligible*(1-gold_on*gold_share)-Y41)*card_uptake,0)</f>
        <v/>
      </c>
      <c r="AA41" s="31">
        <f>IF(AA$4&gt;=card_start,Z41*(1-card_churn)+(card_eligible*(1-gold_on*gold_share)-Z41)*card_uptake,0)</f>
        <v/>
      </c>
      <c r="AB41" s="31">
        <f>IF(AB$4&gt;=card_start,AA41*(1-card_churn)+(card_eligible*(1-gold_on*gold_share)-AA41)*card_uptake,0)</f>
        <v/>
      </c>
      <c r="AC41" s="31">
        <f>IF(AC$4&gt;=card_start,AB41*(1-card_churn)+(card_eligible*(1-gold_on*gold_share)-AB41)*card_uptake,0)</f>
        <v/>
      </c>
      <c r="AD41" s="31">
        <f>IF(AD$4&gt;=card_start,AC41*(1-card_churn)+(card_eligible*(1-gold_on*gold_share)-AC41)*card_uptake,0)</f>
        <v/>
      </c>
      <c r="AE41" s="31">
        <f>IF(AE$4&gt;=card_start,AD41*(1-card_churn)+(card_eligible*(1-gold_on*gold_share)-AD41)*card_uptake,0)</f>
        <v/>
      </c>
      <c r="AF41" s="31">
        <f>IF(AF$4&gt;=card_start,AE41*(1-card_churn)+(card_eligible*(1-gold_on*gold_share)-AE41)*card_uptake,0)</f>
        <v/>
      </c>
      <c r="AG41" s="31">
        <f>IF(AG$4&gt;=card_start,AF41*(1-card_churn)+(card_eligible*(1-gold_on*gold_share)-AF41)*card_uptake,0)</f>
        <v/>
      </c>
      <c r="AH41" s="31">
        <f>IF(AH$4&gt;=card_start,AG41*(1-card_churn)+(card_eligible*(1-gold_on*gold_share)-AG41)*card_uptake,0)</f>
        <v/>
      </c>
      <c r="AI41" s="31">
        <f>IF(AI$4&gt;=card_start,AH41*(1-card_churn)+(card_eligible*(1-gold_on*gold_share)-AH41)*card_uptake,0)</f>
        <v/>
      </c>
      <c r="AJ41" s="31">
        <f>IF(AJ$4&gt;=card_start,AI41*(1-card_churn)+(card_eligible*(1-gold_on*gold_share)-AI41)*card_uptake,0)</f>
        <v/>
      </c>
      <c r="AK41" s="31">
        <f>IF(AK$4&gt;=card_start,AJ41*(1-card_churn)+(card_eligible*(1-gold_on*gold_share)-AJ41)*card_uptake,0)</f>
        <v/>
      </c>
      <c r="AL41" s="31">
        <f>IF(AL$4&gt;=card_start,AK41*(1-card_churn)+(card_eligible*(1-gold_on*gold_share)-AK41)*card_uptake,0)</f>
        <v/>
      </c>
      <c r="AM41" s="31">
        <f>IF(AM$4&gt;=card_start,AL41*(1-card_churn)+(card_eligible*(1-gold_on*gold_share)-AL41)*card_uptake,0)</f>
        <v/>
      </c>
      <c r="AN41" s="31">
        <f>IF(AN$4&gt;=card_start,AM41*(1-card_churn)+(card_eligible*(1-gold_on*gold_share)-AM41)*card_uptake,0)</f>
        <v/>
      </c>
      <c r="AO41" s="31">
        <f>IF(AO$4&gt;=card_start,AN41*(1-card_churn)+(card_eligible*(1-gold_on*gold_share)-AN41)*card_uptake,0)</f>
        <v/>
      </c>
      <c r="AP41" s="31">
        <f>IF(AP$4&gt;=card_start,AO41*(1-card_churn)+(card_eligible*(1-gold_on*gold_share)-AO41)*card_uptake,0)</f>
        <v/>
      </c>
      <c r="AQ41" s="31">
        <f>IF(AQ$4&gt;=card_start,AP41*(1-card_churn)+(card_eligible*(1-gold_on*gold_share)-AP41)*card_uptake,0)</f>
        <v/>
      </c>
      <c r="AR41" s="31">
        <f>IF(AR$4&gt;=card_start,AQ41*(1-card_churn)+(card_eligible*(1-gold_on*gold_share)-AQ41)*card_uptake,0)</f>
        <v/>
      </c>
      <c r="AS41" s="31">
        <f>IF(AS$4&gt;=card_start,AR41*(1-card_churn)+(card_eligible*(1-gold_on*gold_share)-AR41)*card_uptake,0)</f>
        <v/>
      </c>
      <c r="AT41" s="31">
        <f>IF(AT$4&gt;=card_start,AS41*(1-card_churn)+(card_eligible*(1-gold_on*gold_share)-AS41)*card_uptake,0)</f>
        <v/>
      </c>
      <c r="AU41" s="31">
        <f>IF(AU$4&gt;=card_start,AT41*(1-card_churn)+(card_eligible*(1-gold_on*gold_share)-AT41)*card_uptake,0)</f>
        <v/>
      </c>
      <c r="AV41" s="31">
        <f>IF(AV$4&gt;=card_start,AU41*(1-card_churn)+(card_eligible*(1-gold_on*gold_share)-AU41)*card_uptake,0)</f>
        <v/>
      </c>
      <c r="AW41" s="31">
        <f>IF(AW$4&gt;=card_start,AV41*(1-card_churn)+(card_eligible*(1-gold_on*gold_share)-AV41)*card_uptake,0)</f>
        <v/>
      </c>
      <c r="AX41" s="31">
        <f>IF(AX$4&gt;=card_start,AW41*(1-card_churn)+(card_eligible*(1-gold_on*gold_share)-AW41)*card_uptake,0)</f>
        <v/>
      </c>
      <c r="AY41" s="31">
        <f>IF(AY$4&gt;=card_start,AX41*(1-card_churn)+(card_eligible*(1-gold_on*gold_share)-AX41)*card_uptake,0)</f>
        <v/>
      </c>
      <c r="AZ41" s="31">
        <f>IF(AZ$4&gt;=card_start,AY41*(1-card_churn)+(card_eligible*(1-gold_on*gold_share)-AY41)*card_uptake,0)</f>
        <v/>
      </c>
      <c r="BA41" s="31">
        <f>IF(BA$4&gt;=card_start,AZ41*(1-card_churn)+(card_eligible*(1-gold_on*gold_share)-AZ41)*card_uptake,0)</f>
        <v/>
      </c>
      <c r="BB41" s="31">
        <f>IF(BB$4&gt;=card_start,BA41*(1-card_churn)+(card_eligible*(1-gold_on*gold_share)-BA41)*card_uptake,0)</f>
        <v/>
      </c>
      <c r="BC41" s="31">
        <f>IF(BC$4&gt;=card_start,BB41*(1-card_churn)+(card_eligible*(1-gold_on*gold_share)-BB41)*card_uptake,0)</f>
        <v/>
      </c>
      <c r="BD41" s="31">
        <f>IF(BD$4&gt;=card_start,BC41*(1-card_churn)+(card_eligible*(1-gold_on*gold_share)-BC41)*card_uptake,0)</f>
        <v/>
      </c>
      <c r="BE41" s="31">
        <f>IF(BE$4&gt;=card_start,BD41*(1-card_churn)+(card_eligible*(1-gold_on*gold_share)-BD41)*card_uptake,0)</f>
        <v/>
      </c>
      <c r="BF41" s="31">
        <f>IF(BF$4&gt;=card_start,BE41*(1-card_churn)+(card_eligible*(1-gold_on*gold_share)-BE41)*card_uptake,0)</f>
        <v/>
      </c>
      <c r="BG41" s="31">
        <f>IF(BG$4&gt;=card_start,BF41*(1-card_churn)+(card_eligible*(1-gold_on*gold_share)-BF41)*card_uptake,0)</f>
        <v/>
      </c>
      <c r="BH41" s="31">
        <f>IF(BH$4&gt;=card_start,BG41*(1-card_churn)+(card_eligible*(1-gold_on*gold_share)-BG41)*card_uptake,0)</f>
        <v/>
      </c>
      <c r="BI41" s="31">
        <f>IF(BI$4&gt;=card_start,BH41*(1-card_churn)+(card_eligible*(1-gold_on*gold_share)-BH41)*card_uptake,0)</f>
        <v/>
      </c>
      <c r="BJ41" s="31">
        <f>IF(BJ$4&gt;=card_start,BI41*(1-card_churn)+(card_eligible*(1-gold_on*gold_share)-BI41)*card_uptake,0)</f>
        <v/>
      </c>
      <c r="BK41" s="31">
        <f>IF(BK$4&gt;=card_start,BJ41*(1-card_churn)+(card_eligible*(1-gold_on*gold_share)-BJ41)*card_uptake,0)</f>
        <v/>
      </c>
    </row>
    <row r="42">
      <c r="A42" s="25" t="inlineStr">
        <is>
          <t>New FD-secured cards (only FD money, not gold, can back a card)</t>
        </is>
      </c>
      <c r="B42" s="28" t="inlineStr">
        <is>
          <t>cards</t>
        </is>
      </c>
      <c r="C42" s="42" t="n">
        <v>0</v>
      </c>
      <c r="D42" s="43">
        <f>IF(D$4&gt;=card_start,D7*(card_eligible*(1-gold_on*gold_share)-C41)*card_uptake,0)</f>
        <v/>
      </c>
      <c r="E42" s="43">
        <f>IF(E$4&gt;=card_start,E7*(card_eligible*(1-gold_on*gold_share)-D41)*card_uptake,0)</f>
        <v/>
      </c>
      <c r="F42" s="43">
        <f>IF(F$4&gt;=card_start,F7*(card_eligible*(1-gold_on*gold_share)-E41)*card_uptake,0)</f>
        <v/>
      </c>
      <c r="G42" s="43">
        <f>IF(G$4&gt;=card_start,G7*(card_eligible*(1-gold_on*gold_share)-F41)*card_uptake,0)</f>
        <v/>
      </c>
      <c r="H42" s="43">
        <f>IF(H$4&gt;=card_start,H7*(card_eligible*(1-gold_on*gold_share)-G41)*card_uptake,0)</f>
        <v/>
      </c>
      <c r="I42" s="43">
        <f>IF(I$4&gt;=card_start,I7*(card_eligible*(1-gold_on*gold_share)-H41)*card_uptake,0)</f>
        <v/>
      </c>
      <c r="J42" s="43">
        <f>IF(J$4&gt;=card_start,J7*(card_eligible*(1-gold_on*gold_share)-I41)*card_uptake,0)</f>
        <v/>
      </c>
      <c r="K42" s="43">
        <f>IF(K$4&gt;=card_start,K7*(card_eligible*(1-gold_on*gold_share)-J41)*card_uptake,0)</f>
        <v/>
      </c>
      <c r="L42" s="43">
        <f>IF(L$4&gt;=card_start,L7*(card_eligible*(1-gold_on*gold_share)-K41)*card_uptake,0)</f>
        <v/>
      </c>
      <c r="M42" s="43">
        <f>IF(M$4&gt;=card_start,M7*(card_eligible*(1-gold_on*gold_share)-L41)*card_uptake,0)</f>
        <v/>
      </c>
      <c r="N42" s="43">
        <f>IF(N$4&gt;=card_start,N7*(card_eligible*(1-gold_on*gold_share)-M41)*card_uptake,0)</f>
        <v/>
      </c>
      <c r="O42" s="43">
        <f>IF(O$4&gt;=card_start,O7*(card_eligible*(1-gold_on*gold_share)-N41)*card_uptake,0)</f>
        <v/>
      </c>
      <c r="P42" s="43">
        <f>IF(P$4&gt;=card_start,P7*(card_eligible*(1-gold_on*gold_share)-O41)*card_uptake,0)</f>
        <v/>
      </c>
      <c r="Q42" s="43">
        <f>IF(Q$4&gt;=card_start,Q7*(card_eligible*(1-gold_on*gold_share)-P41)*card_uptake,0)</f>
        <v/>
      </c>
      <c r="R42" s="43">
        <f>IF(R$4&gt;=card_start,R7*(card_eligible*(1-gold_on*gold_share)-Q41)*card_uptake,0)</f>
        <v/>
      </c>
      <c r="S42" s="43">
        <f>IF(S$4&gt;=card_start,S7*(card_eligible*(1-gold_on*gold_share)-R41)*card_uptake,0)</f>
        <v/>
      </c>
      <c r="T42" s="43">
        <f>IF(T$4&gt;=card_start,T7*(card_eligible*(1-gold_on*gold_share)-S41)*card_uptake,0)</f>
        <v/>
      </c>
      <c r="U42" s="43">
        <f>IF(U$4&gt;=card_start,U7*(card_eligible*(1-gold_on*gold_share)-T41)*card_uptake,0)</f>
        <v/>
      </c>
      <c r="V42" s="43">
        <f>IF(V$4&gt;=card_start,V7*(card_eligible*(1-gold_on*gold_share)-U41)*card_uptake,0)</f>
        <v/>
      </c>
      <c r="W42" s="43">
        <f>IF(W$4&gt;=card_start,W7*(card_eligible*(1-gold_on*gold_share)-V41)*card_uptake,0)</f>
        <v/>
      </c>
      <c r="X42" s="43">
        <f>IF(X$4&gt;=card_start,X7*(card_eligible*(1-gold_on*gold_share)-W41)*card_uptake,0)</f>
        <v/>
      </c>
      <c r="Y42" s="43">
        <f>IF(Y$4&gt;=card_start,Y7*(card_eligible*(1-gold_on*gold_share)-X41)*card_uptake,0)</f>
        <v/>
      </c>
      <c r="Z42" s="43">
        <f>IF(Z$4&gt;=card_start,Z7*(card_eligible*(1-gold_on*gold_share)-Y41)*card_uptake,0)</f>
        <v/>
      </c>
      <c r="AA42" s="43">
        <f>IF(AA$4&gt;=card_start,AA7*(card_eligible*(1-gold_on*gold_share)-Z41)*card_uptake,0)</f>
        <v/>
      </c>
      <c r="AB42" s="43">
        <f>IF(AB$4&gt;=card_start,AB7*(card_eligible*(1-gold_on*gold_share)-AA41)*card_uptake,0)</f>
        <v/>
      </c>
      <c r="AC42" s="43">
        <f>IF(AC$4&gt;=card_start,AC7*(card_eligible*(1-gold_on*gold_share)-AB41)*card_uptake,0)</f>
        <v/>
      </c>
      <c r="AD42" s="43">
        <f>IF(AD$4&gt;=card_start,AD7*(card_eligible*(1-gold_on*gold_share)-AC41)*card_uptake,0)</f>
        <v/>
      </c>
      <c r="AE42" s="43">
        <f>IF(AE$4&gt;=card_start,AE7*(card_eligible*(1-gold_on*gold_share)-AD41)*card_uptake,0)</f>
        <v/>
      </c>
      <c r="AF42" s="43">
        <f>IF(AF$4&gt;=card_start,AF7*(card_eligible*(1-gold_on*gold_share)-AE41)*card_uptake,0)</f>
        <v/>
      </c>
      <c r="AG42" s="43">
        <f>IF(AG$4&gt;=card_start,AG7*(card_eligible*(1-gold_on*gold_share)-AF41)*card_uptake,0)</f>
        <v/>
      </c>
      <c r="AH42" s="43">
        <f>IF(AH$4&gt;=card_start,AH7*(card_eligible*(1-gold_on*gold_share)-AG41)*card_uptake,0)</f>
        <v/>
      </c>
      <c r="AI42" s="43">
        <f>IF(AI$4&gt;=card_start,AI7*(card_eligible*(1-gold_on*gold_share)-AH41)*card_uptake,0)</f>
        <v/>
      </c>
      <c r="AJ42" s="43">
        <f>IF(AJ$4&gt;=card_start,AJ7*(card_eligible*(1-gold_on*gold_share)-AI41)*card_uptake,0)</f>
        <v/>
      </c>
      <c r="AK42" s="43">
        <f>IF(AK$4&gt;=card_start,AK7*(card_eligible*(1-gold_on*gold_share)-AJ41)*card_uptake,0)</f>
        <v/>
      </c>
      <c r="AL42" s="43">
        <f>IF(AL$4&gt;=card_start,AL7*(card_eligible*(1-gold_on*gold_share)-AK41)*card_uptake,0)</f>
        <v/>
      </c>
      <c r="AM42" s="43">
        <f>IF(AM$4&gt;=card_start,AM7*(card_eligible*(1-gold_on*gold_share)-AL41)*card_uptake,0)</f>
        <v/>
      </c>
      <c r="AN42" s="43">
        <f>IF(AN$4&gt;=card_start,AN7*(card_eligible*(1-gold_on*gold_share)-AM41)*card_uptake,0)</f>
        <v/>
      </c>
      <c r="AO42" s="43">
        <f>IF(AO$4&gt;=card_start,AO7*(card_eligible*(1-gold_on*gold_share)-AN41)*card_uptake,0)</f>
        <v/>
      </c>
      <c r="AP42" s="43">
        <f>IF(AP$4&gt;=card_start,AP7*(card_eligible*(1-gold_on*gold_share)-AO41)*card_uptake,0)</f>
        <v/>
      </c>
      <c r="AQ42" s="43">
        <f>IF(AQ$4&gt;=card_start,AQ7*(card_eligible*(1-gold_on*gold_share)-AP41)*card_uptake,0)</f>
        <v/>
      </c>
      <c r="AR42" s="43">
        <f>IF(AR$4&gt;=card_start,AR7*(card_eligible*(1-gold_on*gold_share)-AQ41)*card_uptake,0)</f>
        <v/>
      </c>
      <c r="AS42" s="43">
        <f>IF(AS$4&gt;=card_start,AS7*(card_eligible*(1-gold_on*gold_share)-AR41)*card_uptake,0)</f>
        <v/>
      </c>
      <c r="AT42" s="43">
        <f>IF(AT$4&gt;=card_start,AT7*(card_eligible*(1-gold_on*gold_share)-AS41)*card_uptake,0)</f>
        <v/>
      </c>
      <c r="AU42" s="43">
        <f>IF(AU$4&gt;=card_start,AU7*(card_eligible*(1-gold_on*gold_share)-AT41)*card_uptake,0)</f>
        <v/>
      </c>
      <c r="AV42" s="43">
        <f>IF(AV$4&gt;=card_start,AV7*(card_eligible*(1-gold_on*gold_share)-AU41)*card_uptake,0)</f>
        <v/>
      </c>
      <c r="AW42" s="43">
        <f>IF(AW$4&gt;=card_start,AW7*(card_eligible*(1-gold_on*gold_share)-AV41)*card_uptake,0)</f>
        <v/>
      </c>
      <c r="AX42" s="43">
        <f>IF(AX$4&gt;=card_start,AX7*(card_eligible*(1-gold_on*gold_share)-AW41)*card_uptake,0)</f>
        <v/>
      </c>
      <c r="AY42" s="43">
        <f>IF(AY$4&gt;=card_start,AY7*(card_eligible*(1-gold_on*gold_share)-AX41)*card_uptake,0)</f>
        <v/>
      </c>
      <c r="AZ42" s="43">
        <f>IF(AZ$4&gt;=card_start,AZ7*(card_eligible*(1-gold_on*gold_share)-AY41)*card_uptake,0)</f>
        <v/>
      </c>
      <c r="BA42" s="43">
        <f>IF(BA$4&gt;=card_start,BA7*(card_eligible*(1-gold_on*gold_share)-AZ41)*card_uptake,0)</f>
        <v/>
      </c>
      <c r="BB42" s="43">
        <f>IF(BB$4&gt;=card_start,BB7*(card_eligible*(1-gold_on*gold_share)-BA41)*card_uptake,0)</f>
        <v/>
      </c>
      <c r="BC42" s="43">
        <f>IF(BC$4&gt;=card_start,BC7*(card_eligible*(1-gold_on*gold_share)-BB41)*card_uptake,0)</f>
        <v/>
      </c>
      <c r="BD42" s="43">
        <f>IF(BD$4&gt;=card_start,BD7*(card_eligible*(1-gold_on*gold_share)-BC41)*card_uptake,0)</f>
        <v/>
      </c>
      <c r="BE42" s="43">
        <f>IF(BE$4&gt;=card_start,BE7*(card_eligible*(1-gold_on*gold_share)-BD41)*card_uptake,0)</f>
        <v/>
      </c>
      <c r="BF42" s="43">
        <f>IF(BF$4&gt;=card_start,BF7*(card_eligible*(1-gold_on*gold_share)-BE41)*card_uptake,0)</f>
        <v/>
      </c>
      <c r="BG42" s="43">
        <f>IF(BG$4&gt;=card_start,BG7*(card_eligible*(1-gold_on*gold_share)-BF41)*card_uptake,0)</f>
        <v/>
      </c>
      <c r="BH42" s="43">
        <f>IF(BH$4&gt;=card_start,BH7*(card_eligible*(1-gold_on*gold_share)-BG41)*card_uptake,0)</f>
        <v/>
      </c>
      <c r="BI42" s="43">
        <f>IF(BI$4&gt;=card_start,BI7*(card_eligible*(1-gold_on*gold_share)-BH41)*card_uptake,0)</f>
        <v/>
      </c>
      <c r="BJ42" s="43">
        <f>IF(BJ$4&gt;=card_start,BJ7*(card_eligible*(1-gold_on*gold_share)-BI41)*card_uptake,0)</f>
        <v/>
      </c>
      <c r="BK42" s="43">
        <f>IF(BK$4&gt;=card_start,BK7*(card_eligible*(1-gold_on*gold_share)-BJ41)*card_uptake,0)</f>
        <v/>
      </c>
    </row>
    <row r="43">
      <c r="A43" s="25" t="inlineStr">
        <is>
          <t>Card holders</t>
        </is>
      </c>
      <c r="B43" s="28" t="inlineStr">
        <is>
          <t>cards</t>
        </is>
      </c>
      <c r="C43" s="42" t="n">
        <v>0</v>
      </c>
      <c r="D43" s="43">
        <f>D7*D41</f>
        <v/>
      </c>
      <c r="E43" s="43">
        <f>E7*E41</f>
        <v/>
      </c>
      <c r="F43" s="43">
        <f>F7*F41</f>
        <v/>
      </c>
      <c r="G43" s="43">
        <f>G7*G41</f>
        <v/>
      </c>
      <c r="H43" s="43">
        <f>H7*H41</f>
        <v/>
      </c>
      <c r="I43" s="43">
        <f>I7*I41</f>
        <v/>
      </c>
      <c r="J43" s="43">
        <f>J7*J41</f>
        <v/>
      </c>
      <c r="K43" s="43">
        <f>K7*K41</f>
        <v/>
      </c>
      <c r="L43" s="43">
        <f>L7*L41</f>
        <v/>
      </c>
      <c r="M43" s="43">
        <f>M7*M41</f>
        <v/>
      </c>
      <c r="N43" s="43">
        <f>N7*N41</f>
        <v/>
      </c>
      <c r="O43" s="43">
        <f>O7*O41</f>
        <v/>
      </c>
      <c r="P43" s="43">
        <f>P7*P41</f>
        <v/>
      </c>
      <c r="Q43" s="43">
        <f>Q7*Q41</f>
        <v/>
      </c>
      <c r="R43" s="43">
        <f>R7*R41</f>
        <v/>
      </c>
      <c r="S43" s="43">
        <f>S7*S41</f>
        <v/>
      </c>
      <c r="T43" s="43">
        <f>T7*T41</f>
        <v/>
      </c>
      <c r="U43" s="43">
        <f>U7*U41</f>
        <v/>
      </c>
      <c r="V43" s="43">
        <f>V7*V41</f>
        <v/>
      </c>
      <c r="W43" s="43">
        <f>W7*W41</f>
        <v/>
      </c>
      <c r="X43" s="43">
        <f>X7*X41</f>
        <v/>
      </c>
      <c r="Y43" s="43">
        <f>Y7*Y41</f>
        <v/>
      </c>
      <c r="Z43" s="43">
        <f>Z7*Z41</f>
        <v/>
      </c>
      <c r="AA43" s="43">
        <f>AA7*AA41</f>
        <v/>
      </c>
      <c r="AB43" s="43">
        <f>AB7*AB41</f>
        <v/>
      </c>
      <c r="AC43" s="43">
        <f>AC7*AC41</f>
        <v/>
      </c>
      <c r="AD43" s="43">
        <f>AD7*AD41</f>
        <v/>
      </c>
      <c r="AE43" s="43">
        <f>AE7*AE41</f>
        <v/>
      </c>
      <c r="AF43" s="43">
        <f>AF7*AF41</f>
        <v/>
      </c>
      <c r="AG43" s="43">
        <f>AG7*AG41</f>
        <v/>
      </c>
      <c r="AH43" s="43">
        <f>AH7*AH41</f>
        <v/>
      </c>
      <c r="AI43" s="43">
        <f>AI7*AI41</f>
        <v/>
      </c>
      <c r="AJ43" s="43">
        <f>AJ7*AJ41</f>
        <v/>
      </c>
      <c r="AK43" s="43">
        <f>AK7*AK41</f>
        <v/>
      </c>
      <c r="AL43" s="43">
        <f>AL7*AL41</f>
        <v/>
      </c>
      <c r="AM43" s="43">
        <f>AM7*AM41</f>
        <v/>
      </c>
      <c r="AN43" s="43">
        <f>AN7*AN41</f>
        <v/>
      </c>
      <c r="AO43" s="43">
        <f>AO7*AO41</f>
        <v/>
      </c>
      <c r="AP43" s="43">
        <f>AP7*AP41</f>
        <v/>
      </c>
      <c r="AQ43" s="43">
        <f>AQ7*AQ41</f>
        <v/>
      </c>
      <c r="AR43" s="43">
        <f>AR7*AR41</f>
        <v/>
      </c>
      <c r="AS43" s="43">
        <f>AS7*AS41</f>
        <v/>
      </c>
      <c r="AT43" s="43">
        <f>AT7*AT41</f>
        <v/>
      </c>
      <c r="AU43" s="43">
        <f>AU7*AU41</f>
        <v/>
      </c>
      <c r="AV43" s="43">
        <f>AV7*AV41</f>
        <v/>
      </c>
      <c r="AW43" s="43">
        <f>AW7*AW41</f>
        <v/>
      </c>
      <c r="AX43" s="43">
        <f>AX7*AX41</f>
        <v/>
      </c>
      <c r="AY43" s="43">
        <f>AY7*AY41</f>
        <v/>
      </c>
      <c r="AZ43" s="43">
        <f>AZ7*AZ41</f>
        <v/>
      </c>
      <c r="BA43" s="43">
        <f>BA7*BA41</f>
        <v/>
      </c>
      <c r="BB43" s="43">
        <f>BB7*BB41</f>
        <v/>
      </c>
      <c r="BC43" s="43">
        <f>BC7*BC41</f>
        <v/>
      </c>
      <c r="BD43" s="43">
        <f>BD7*BD41</f>
        <v/>
      </c>
      <c r="BE43" s="43">
        <f>BE7*BE41</f>
        <v/>
      </c>
      <c r="BF43" s="43">
        <f>BF7*BF41</f>
        <v/>
      </c>
      <c r="BG43" s="43">
        <f>BG7*BG41</f>
        <v/>
      </c>
      <c r="BH43" s="43">
        <f>BH7*BH41</f>
        <v/>
      </c>
      <c r="BI43" s="43">
        <f>BI7*BI41</f>
        <v/>
      </c>
      <c r="BJ43" s="43">
        <f>BJ7*BJ41</f>
        <v/>
      </c>
      <c r="BK43" s="43">
        <f>BK7*BK41</f>
        <v/>
      </c>
    </row>
    <row r="44">
      <c r="A44" s="25" t="inlineStr">
        <is>
          <t>Share moved to an unsecured card</t>
        </is>
      </c>
      <c r="B44" s="28" t="inlineStr">
        <is>
          <t>share</t>
        </is>
      </c>
      <c r="C44" s="29" t="n">
        <v>0</v>
      </c>
      <c r="D44" s="31">
        <f>IF(D$4&gt;=unsec_start,C44+MAX(0,C41-C44)*unsec_grad,C44)</f>
        <v/>
      </c>
      <c r="E44" s="31">
        <f>IF(E$4&gt;=unsec_start,D44+MAX(0,D41-D44)*unsec_grad,D44)</f>
        <v/>
      </c>
      <c r="F44" s="31">
        <f>IF(F$4&gt;=unsec_start,E44+MAX(0,E41-E44)*unsec_grad,E44)</f>
        <v/>
      </c>
      <c r="G44" s="31">
        <f>IF(G$4&gt;=unsec_start,F44+MAX(0,F41-F44)*unsec_grad,F44)</f>
        <v/>
      </c>
      <c r="H44" s="31">
        <f>IF(H$4&gt;=unsec_start,G44+MAX(0,G41-G44)*unsec_grad,G44)</f>
        <v/>
      </c>
      <c r="I44" s="31">
        <f>IF(I$4&gt;=unsec_start,H44+MAX(0,H41-H44)*unsec_grad,H44)</f>
        <v/>
      </c>
      <c r="J44" s="31">
        <f>IF(J$4&gt;=unsec_start,I44+MAX(0,I41-I44)*unsec_grad,I44)</f>
        <v/>
      </c>
      <c r="K44" s="31">
        <f>IF(K$4&gt;=unsec_start,J44+MAX(0,J41-J44)*unsec_grad,J44)</f>
        <v/>
      </c>
      <c r="L44" s="31">
        <f>IF(L$4&gt;=unsec_start,K44+MAX(0,K41-K44)*unsec_grad,K44)</f>
        <v/>
      </c>
      <c r="M44" s="31">
        <f>IF(M$4&gt;=unsec_start,L44+MAX(0,L41-L44)*unsec_grad,L44)</f>
        <v/>
      </c>
      <c r="N44" s="31">
        <f>IF(N$4&gt;=unsec_start,M44+MAX(0,M41-M44)*unsec_grad,M44)</f>
        <v/>
      </c>
      <c r="O44" s="31">
        <f>IF(O$4&gt;=unsec_start,N44+MAX(0,N41-N44)*unsec_grad,N44)</f>
        <v/>
      </c>
      <c r="P44" s="31">
        <f>IF(P$4&gt;=unsec_start,O44+MAX(0,O41-O44)*unsec_grad,O44)</f>
        <v/>
      </c>
      <c r="Q44" s="31">
        <f>IF(Q$4&gt;=unsec_start,P44+MAX(0,P41-P44)*unsec_grad,P44)</f>
        <v/>
      </c>
      <c r="R44" s="31">
        <f>IF(R$4&gt;=unsec_start,Q44+MAX(0,Q41-Q44)*unsec_grad,Q44)</f>
        <v/>
      </c>
      <c r="S44" s="31">
        <f>IF(S$4&gt;=unsec_start,R44+MAX(0,R41-R44)*unsec_grad,R44)</f>
        <v/>
      </c>
      <c r="T44" s="31">
        <f>IF(T$4&gt;=unsec_start,S44+MAX(0,S41-S44)*unsec_grad,S44)</f>
        <v/>
      </c>
      <c r="U44" s="31">
        <f>IF(U$4&gt;=unsec_start,T44+MAX(0,T41-T44)*unsec_grad,T44)</f>
        <v/>
      </c>
      <c r="V44" s="31">
        <f>IF(V$4&gt;=unsec_start,U44+MAX(0,U41-U44)*unsec_grad,U44)</f>
        <v/>
      </c>
      <c r="W44" s="31">
        <f>IF(W$4&gt;=unsec_start,V44+MAX(0,V41-V44)*unsec_grad,V44)</f>
        <v/>
      </c>
      <c r="X44" s="31">
        <f>IF(X$4&gt;=unsec_start,W44+MAX(0,W41-W44)*unsec_grad,W44)</f>
        <v/>
      </c>
      <c r="Y44" s="31">
        <f>IF(Y$4&gt;=unsec_start,X44+MAX(0,X41-X44)*unsec_grad,X44)</f>
        <v/>
      </c>
      <c r="Z44" s="31">
        <f>IF(Z$4&gt;=unsec_start,Y44+MAX(0,Y41-Y44)*unsec_grad,Y44)</f>
        <v/>
      </c>
      <c r="AA44" s="31">
        <f>IF(AA$4&gt;=unsec_start,Z44+MAX(0,Z41-Z44)*unsec_grad,Z44)</f>
        <v/>
      </c>
      <c r="AB44" s="31">
        <f>IF(AB$4&gt;=unsec_start,AA44+MAX(0,AA41-AA44)*unsec_grad,AA44)</f>
        <v/>
      </c>
      <c r="AC44" s="31">
        <f>IF(AC$4&gt;=unsec_start,AB44+MAX(0,AB41-AB44)*unsec_grad,AB44)</f>
        <v/>
      </c>
      <c r="AD44" s="31">
        <f>IF(AD$4&gt;=unsec_start,AC44+MAX(0,AC41-AC44)*unsec_grad,AC44)</f>
        <v/>
      </c>
      <c r="AE44" s="31">
        <f>IF(AE$4&gt;=unsec_start,AD44+MAX(0,AD41-AD44)*unsec_grad,AD44)</f>
        <v/>
      </c>
      <c r="AF44" s="31">
        <f>IF(AF$4&gt;=unsec_start,AE44+MAX(0,AE41-AE44)*unsec_grad,AE44)</f>
        <v/>
      </c>
      <c r="AG44" s="31">
        <f>IF(AG$4&gt;=unsec_start,AF44+MAX(0,AF41-AF44)*unsec_grad,AF44)</f>
        <v/>
      </c>
      <c r="AH44" s="31">
        <f>IF(AH$4&gt;=unsec_start,AG44+MAX(0,AG41-AG44)*unsec_grad,AG44)</f>
        <v/>
      </c>
      <c r="AI44" s="31">
        <f>IF(AI$4&gt;=unsec_start,AH44+MAX(0,AH41-AH44)*unsec_grad,AH44)</f>
        <v/>
      </c>
      <c r="AJ44" s="31">
        <f>IF(AJ$4&gt;=unsec_start,AI44+MAX(0,AI41-AI44)*unsec_grad,AI44)</f>
        <v/>
      </c>
      <c r="AK44" s="31">
        <f>IF(AK$4&gt;=unsec_start,AJ44+MAX(0,AJ41-AJ44)*unsec_grad,AJ44)</f>
        <v/>
      </c>
      <c r="AL44" s="31">
        <f>IF(AL$4&gt;=unsec_start,AK44+MAX(0,AK41-AK44)*unsec_grad,AK44)</f>
        <v/>
      </c>
      <c r="AM44" s="31">
        <f>IF(AM$4&gt;=unsec_start,AL44+MAX(0,AL41-AL44)*unsec_grad,AL44)</f>
        <v/>
      </c>
      <c r="AN44" s="31">
        <f>IF(AN$4&gt;=unsec_start,AM44+MAX(0,AM41-AM44)*unsec_grad,AM44)</f>
        <v/>
      </c>
      <c r="AO44" s="31">
        <f>IF(AO$4&gt;=unsec_start,AN44+MAX(0,AN41-AN44)*unsec_grad,AN44)</f>
        <v/>
      </c>
      <c r="AP44" s="31">
        <f>IF(AP$4&gt;=unsec_start,AO44+MAX(0,AO41-AO44)*unsec_grad,AO44)</f>
        <v/>
      </c>
      <c r="AQ44" s="31">
        <f>IF(AQ$4&gt;=unsec_start,AP44+MAX(0,AP41-AP44)*unsec_grad,AP44)</f>
        <v/>
      </c>
      <c r="AR44" s="31">
        <f>IF(AR$4&gt;=unsec_start,AQ44+MAX(0,AQ41-AQ44)*unsec_grad,AQ44)</f>
        <v/>
      </c>
      <c r="AS44" s="31">
        <f>IF(AS$4&gt;=unsec_start,AR44+MAX(0,AR41-AR44)*unsec_grad,AR44)</f>
        <v/>
      </c>
      <c r="AT44" s="31">
        <f>IF(AT$4&gt;=unsec_start,AS44+MAX(0,AS41-AS44)*unsec_grad,AS44)</f>
        <v/>
      </c>
      <c r="AU44" s="31">
        <f>IF(AU$4&gt;=unsec_start,AT44+MAX(0,AT41-AT44)*unsec_grad,AT44)</f>
        <v/>
      </c>
      <c r="AV44" s="31">
        <f>IF(AV$4&gt;=unsec_start,AU44+MAX(0,AU41-AU44)*unsec_grad,AU44)</f>
        <v/>
      </c>
      <c r="AW44" s="31">
        <f>IF(AW$4&gt;=unsec_start,AV44+MAX(0,AV41-AV44)*unsec_grad,AV44)</f>
        <v/>
      </c>
      <c r="AX44" s="31">
        <f>IF(AX$4&gt;=unsec_start,AW44+MAX(0,AW41-AW44)*unsec_grad,AW44)</f>
        <v/>
      </c>
      <c r="AY44" s="31">
        <f>IF(AY$4&gt;=unsec_start,AX44+MAX(0,AX41-AX44)*unsec_grad,AX44)</f>
        <v/>
      </c>
      <c r="AZ44" s="31">
        <f>IF(AZ$4&gt;=unsec_start,AY44+MAX(0,AY41-AY44)*unsec_grad,AY44)</f>
        <v/>
      </c>
      <c r="BA44" s="31">
        <f>IF(BA$4&gt;=unsec_start,AZ44+MAX(0,AZ41-AZ44)*unsec_grad,AZ44)</f>
        <v/>
      </c>
      <c r="BB44" s="31">
        <f>IF(BB$4&gt;=unsec_start,BA44+MAX(0,BA41-BA44)*unsec_grad,BA44)</f>
        <v/>
      </c>
      <c r="BC44" s="31">
        <f>IF(BC$4&gt;=unsec_start,BB44+MAX(0,BB41-BB44)*unsec_grad,BB44)</f>
        <v/>
      </c>
      <c r="BD44" s="31">
        <f>IF(BD$4&gt;=unsec_start,BC44+MAX(0,BC41-BC44)*unsec_grad,BC44)</f>
        <v/>
      </c>
      <c r="BE44" s="31">
        <f>IF(BE$4&gt;=unsec_start,BD44+MAX(0,BD41-BD44)*unsec_grad,BD44)</f>
        <v/>
      </c>
      <c r="BF44" s="31">
        <f>IF(BF$4&gt;=unsec_start,BE44+MAX(0,BE41-BE44)*unsec_grad,BE44)</f>
        <v/>
      </c>
      <c r="BG44" s="31">
        <f>IF(BG$4&gt;=unsec_start,BF44+MAX(0,BF41-BF44)*unsec_grad,BF44)</f>
        <v/>
      </c>
      <c r="BH44" s="31">
        <f>IF(BH$4&gt;=unsec_start,BG44+MAX(0,BG41-BG44)*unsec_grad,BG44)</f>
        <v/>
      </c>
      <c r="BI44" s="31">
        <f>IF(BI$4&gt;=unsec_start,BH44+MAX(0,BH41-BH44)*unsec_grad,BH44)</f>
        <v/>
      </c>
      <c r="BJ44" s="31">
        <f>IF(BJ$4&gt;=unsec_start,BI44+MAX(0,BI41-BI44)*unsec_grad,BI44)</f>
        <v/>
      </c>
      <c r="BK44" s="31">
        <f>IF(BK$4&gt;=unsec_start,BJ44+MAX(0,BJ41-BJ44)*unsec_grad,BJ44)</f>
        <v/>
      </c>
    </row>
    <row r="45">
      <c r="A45" s="25" t="inlineStr">
        <is>
          <t>New unsecured cards</t>
        </is>
      </c>
      <c r="B45" s="28" t="inlineStr">
        <is>
          <t>cards</t>
        </is>
      </c>
      <c r="C45" s="42" t="n">
        <v>0</v>
      </c>
      <c r="D45" s="43">
        <f>D7*(D44-C44)</f>
        <v/>
      </c>
      <c r="E45" s="43">
        <f>E7*(E44-D44)</f>
        <v/>
      </c>
      <c r="F45" s="43">
        <f>F7*(F44-E44)</f>
        <v/>
      </c>
      <c r="G45" s="43">
        <f>G7*(G44-F44)</f>
        <v/>
      </c>
      <c r="H45" s="43">
        <f>H7*(H44-G44)</f>
        <v/>
      </c>
      <c r="I45" s="43">
        <f>I7*(I44-H44)</f>
        <v/>
      </c>
      <c r="J45" s="43">
        <f>J7*(J44-I44)</f>
        <v/>
      </c>
      <c r="K45" s="43">
        <f>K7*(K44-J44)</f>
        <v/>
      </c>
      <c r="L45" s="43">
        <f>L7*(L44-K44)</f>
        <v/>
      </c>
      <c r="M45" s="43">
        <f>M7*(M44-L44)</f>
        <v/>
      </c>
      <c r="N45" s="43">
        <f>N7*(N44-M44)</f>
        <v/>
      </c>
      <c r="O45" s="43">
        <f>O7*(O44-N44)</f>
        <v/>
      </c>
      <c r="P45" s="43">
        <f>P7*(P44-O44)</f>
        <v/>
      </c>
      <c r="Q45" s="43">
        <f>Q7*(Q44-P44)</f>
        <v/>
      </c>
      <c r="R45" s="43">
        <f>R7*(R44-Q44)</f>
        <v/>
      </c>
      <c r="S45" s="43">
        <f>S7*(S44-R44)</f>
        <v/>
      </c>
      <c r="T45" s="43">
        <f>T7*(T44-S44)</f>
        <v/>
      </c>
      <c r="U45" s="43">
        <f>U7*(U44-T44)</f>
        <v/>
      </c>
      <c r="V45" s="43">
        <f>V7*(V44-U44)</f>
        <v/>
      </c>
      <c r="W45" s="43">
        <f>W7*(W44-V44)</f>
        <v/>
      </c>
      <c r="X45" s="43">
        <f>X7*(X44-W44)</f>
        <v/>
      </c>
      <c r="Y45" s="43">
        <f>Y7*(Y44-X44)</f>
        <v/>
      </c>
      <c r="Z45" s="43">
        <f>Z7*(Z44-Y44)</f>
        <v/>
      </c>
      <c r="AA45" s="43">
        <f>AA7*(AA44-Z44)</f>
        <v/>
      </c>
      <c r="AB45" s="43">
        <f>AB7*(AB44-AA44)</f>
        <v/>
      </c>
      <c r="AC45" s="43">
        <f>AC7*(AC44-AB44)</f>
        <v/>
      </c>
      <c r="AD45" s="43">
        <f>AD7*(AD44-AC44)</f>
        <v/>
      </c>
      <c r="AE45" s="43">
        <f>AE7*(AE44-AD44)</f>
        <v/>
      </c>
      <c r="AF45" s="43">
        <f>AF7*(AF44-AE44)</f>
        <v/>
      </c>
      <c r="AG45" s="43">
        <f>AG7*(AG44-AF44)</f>
        <v/>
      </c>
      <c r="AH45" s="43">
        <f>AH7*(AH44-AG44)</f>
        <v/>
      </c>
      <c r="AI45" s="43">
        <f>AI7*(AI44-AH44)</f>
        <v/>
      </c>
      <c r="AJ45" s="43">
        <f>AJ7*(AJ44-AI44)</f>
        <v/>
      </c>
      <c r="AK45" s="43">
        <f>AK7*(AK44-AJ44)</f>
        <v/>
      </c>
      <c r="AL45" s="43">
        <f>AL7*(AL44-AK44)</f>
        <v/>
      </c>
      <c r="AM45" s="43">
        <f>AM7*(AM44-AL44)</f>
        <v/>
      </c>
      <c r="AN45" s="43">
        <f>AN7*(AN44-AM44)</f>
        <v/>
      </c>
      <c r="AO45" s="43">
        <f>AO7*(AO44-AN44)</f>
        <v/>
      </c>
      <c r="AP45" s="43">
        <f>AP7*(AP44-AO44)</f>
        <v/>
      </c>
      <c r="AQ45" s="43">
        <f>AQ7*(AQ44-AP44)</f>
        <v/>
      </c>
      <c r="AR45" s="43">
        <f>AR7*(AR44-AQ44)</f>
        <v/>
      </c>
      <c r="AS45" s="43">
        <f>AS7*(AS44-AR44)</f>
        <v/>
      </c>
      <c r="AT45" s="43">
        <f>AT7*(AT44-AS44)</f>
        <v/>
      </c>
      <c r="AU45" s="43">
        <f>AU7*(AU44-AT44)</f>
        <v/>
      </c>
      <c r="AV45" s="43">
        <f>AV7*(AV44-AU44)</f>
        <v/>
      </c>
      <c r="AW45" s="43">
        <f>AW7*(AW44-AV44)</f>
        <v/>
      </c>
      <c r="AX45" s="43">
        <f>AX7*(AX44-AW44)</f>
        <v/>
      </c>
      <c r="AY45" s="43">
        <f>AY7*(AY44-AX44)</f>
        <v/>
      </c>
      <c r="AZ45" s="43">
        <f>AZ7*(AZ44-AY44)</f>
        <v/>
      </c>
      <c r="BA45" s="43">
        <f>BA7*(BA44-AZ44)</f>
        <v/>
      </c>
      <c r="BB45" s="43">
        <f>BB7*(BB44-BA44)</f>
        <v/>
      </c>
      <c r="BC45" s="43">
        <f>BC7*(BC44-BB44)</f>
        <v/>
      </c>
      <c r="BD45" s="43">
        <f>BD7*(BD44-BC44)</f>
        <v/>
      </c>
      <c r="BE45" s="43">
        <f>BE7*(BE44-BD44)</f>
        <v/>
      </c>
      <c r="BF45" s="43">
        <f>BF7*(BF44-BE44)</f>
        <v/>
      </c>
      <c r="BG45" s="43">
        <f>BG7*(BG44-BF44)</f>
        <v/>
      </c>
      <c r="BH45" s="43">
        <f>BH7*(BH44-BG44)</f>
        <v/>
      </c>
      <c r="BI45" s="43">
        <f>BI7*(BI44-BH44)</f>
        <v/>
      </c>
      <c r="BJ45" s="43">
        <f>BJ7*(BJ44-BI44)</f>
        <v/>
      </c>
      <c r="BK45" s="43">
        <f>BK7*(BK44-BJ44)</f>
        <v/>
      </c>
    </row>
    <row r="46">
      <c r="A46" s="6" t="inlineStr">
        <is>
          <t>Equity SIPs beyond the daily savings</t>
        </is>
      </c>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c r="AK46" s="7" t="n"/>
      <c r="AL46" s="7" t="n"/>
      <c r="AM46" s="7" t="n"/>
      <c r="AN46" s="7" t="n"/>
      <c r="AO46" s="7" t="n"/>
      <c r="AP46" s="7" t="n"/>
      <c r="AQ46" s="7" t="n"/>
      <c r="AR46" s="7" t="n"/>
      <c r="AS46" s="7" t="n"/>
      <c r="AT46" s="7" t="n"/>
      <c r="AU46" s="7" t="n"/>
      <c r="AV46" s="7" t="n"/>
      <c r="AW46" s="7" t="n"/>
      <c r="AX46" s="7" t="n"/>
      <c r="AY46" s="7" t="n"/>
      <c r="AZ46" s="7" t="n"/>
      <c r="BA46" s="7" t="n"/>
      <c r="BB46" s="7" t="n"/>
      <c r="BC46" s="7" t="n"/>
      <c r="BD46" s="7" t="n"/>
      <c r="BE46" s="7" t="n"/>
      <c r="BF46" s="7" t="n"/>
      <c r="BG46" s="7" t="n"/>
      <c r="BH46" s="7" t="n"/>
      <c r="BI46" s="7" t="n"/>
      <c r="BJ46" s="7" t="n"/>
      <c r="BK46" s="7" t="n"/>
    </row>
    <row r="47">
      <c r="A47" s="25" t="inlineStr">
        <is>
          <t>Share of active savers with an equity SIP</t>
        </is>
      </c>
      <c r="B47" s="28" t="inlineStr">
        <is>
          <t>share</t>
        </is>
      </c>
      <c r="C47" s="29" t="n">
        <v>0</v>
      </c>
      <c r="D47" s="31">
        <f>IF(D$4&gt;=sip_start,C47*(1-sip_stop)+(sip_eligible-C47)*sip_uptake,0)</f>
        <v/>
      </c>
      <c r="E47" s="31">
        <f>IF(E$4&gt;=sip_start,D47*(1-sip_stop)+(sip_eligible-D47)*sip_uptake,0)</f>
        <v/>
      </c>
      <c r="F47" s="31">
        <f>IF(F$4&gt;=sip_start,E47*(1-sip_stop)+(sip_eligible-E47)*sip_uptake,0)</f>
        <v/>
      </c>
      <c r="G47" s="31">
        <f>IF(G$4&gt;=sip_start,F47*(1-sip_stop)+(sip_eligible-F47)*sip_uptake,0)</f>
        <v/>
      </c>
      <c r="H47" s="31">
        <f>IF(H$4&gt;=sip_start,G47*(1-sip_stop)+(sip_eligible-G47)*sip_uptake,0)</f>
        <v/>
      </c>
      <c r="I47" s="31">
        <f>IF(I$4&gt;=sip_start,H47*(1-sip_stop)+(sip_eligible-H47)*sip_uptake,0)</f>
        <v/>
      </c>
      <c r="J47" s="31">
        <f>IF(J$4&gt;=sip_start,I47*(1-sip_stop)+(sip_eligible-I47)*sip_uptake,0)</f>
        <v/>
      </c>
      <c r="K47" s="31">
        <f>IF(K$4&gt;=sip_start,J47*(1-sip_stop)+(sip_eligible-J47)*sip_uptake,0)</f>
        <v/>
      </c>
      <c r="L47" s="31">
        <f>IF(L$4&gt;=sip_start,K47*(1-sip_stop)+(sip_eligible-K47)*sip_uptake,0)</f>
        <v/>
      </c>
      <c r="M47" s="31">
        <f>IF(M$4&gt;=sip_start,L47*(1-sip_stop)+(sip_eligible-L47)*sip_uptake,0)</f>
        <v/>
      </c>
      <c r="N47" s="31">
        <f>IF(N$4&gt;=sip_start,M47*(1-sip_stop)+(sip_eligible-M47)*sip_uptake,0)</f>
        <v/>
      </c>
      <c r="O47" s="31">
        <f>IF(O$4&gt;=sip_start,N47*(1-sip_stop)+(sip_eligible-N47)*sip_uptake,0)</f>
        <v/>
      </c>
      <c r="P47" s="31">
        <f>IF(P$4&gt;=sip_start,O47*(1-sip_stop)+(sip_eligible-O47)*sip_uptake,0)</f>
        <v/>
      </c>
      <c r="Q47" s="31">
        <f>IF(Q$4&gt;=sip_start,P47*(1-sip_stop)+(sip_eligible-P47)*sip_uptake,0)</f>
        <v/>
      </c>
      <c r="R47" s="31">
        <f>IF(R$4&gt;=sip_start,Q47*(1-sip_stop)+(sip_eligible-Q47)*sip_uptake,0)</f>
        <v/>
      </c>
      <c r="S47" s="31">
        <f>IF(S$4&gt;=sip_start,R47*(1-sip_stop)+(sip_eligible-R47)*sip_uptake,0)</f>
        <v/>
      </c>
      <c r="T47" s="31">
        <f>IF(T$4&gt;=sip_start,S47*(1-sip_stop)+(sip_eligible-S47)*sip_uptake,0)</f>
        <v/>
      </c>
      <c r="U47" s="31">
        <f>IF(U$4&gt;=sip_start,T47*(1-sip_stop)+(sip_eligible-T47)*sip_uptake,0)</f>
        <v/>
      </c>
      <c r="V47" s="31">
        <f>IF(V$4&gt;=sip_start,U47*(1-sip_stop)+(sip_eligible-U47)*sip_uptake,0)</f>
        <v/>
      </c>
      <c r="W47" s="31">
        <f>IF(W$4&gt;=sip_start,V47*(1-sip_stop)+(sip_eligible-V47)*sip_uptake,0)</f>
        <v/>
      </c>
      <c r="X47" s="31">
        <f>IF(X$4&gt;=sip_start,W47*(1-sip_stop)+(sip_eligible-W47)*sip_uptake,0)</f>
        <v/>
      </c>
      <c r="Y47" s="31">
        <f>IF(Y$4&gt;=sip_start,X47*(1-sip_stop)+(sip_eligible-X47)*sip_uptake,0)</f>
        <v/>
      </c>
      <c r="Z47" s="31">
        <f>IF(Z$4&gt;=sip_start,Y47*(1-sip_stop)+(sip_eligible-Y47)*sip_uptake,0)</f>
        <v/>
      </c>
      <c r="AA47" s="31">
        <f>IF(AA$4&gt;=sip_start,Z47*(1-sip_stop)+(sip_eligible-Z47)*sip_uptake,0)</f>
        <v/>
      </c>
      <c r="AB47" s="31">
        <f>IF(AB$4&gt;=sip_start,AA47*(1-sip_stop)+(sip_eligible-AA47)*sip_uptake,0)</f>
        <v/>
      </c>
      <c r="AC47" s="31">
        <f>IF(AC$4&gt;=sip_start,AB47*(1-sip_stop)+(sip_eligible-AB47)*sip_uptake,0)</f>
        <v/>
      </c>
      <c r="AD47" s="31">
        <f>IF(AD$4&gt;=sip_start,AC47*(1-sip_stop)+(sip_eligible-AC47)*sip_uptake,0)</f>
        <v/>
      </c>
      <c r="AE47" s="31">
        <f>IF(AE$4&gt;=sip_start,AD47*(1-sip_stop)+(sip_eligible-AD47)*sip_uptake,0)</f>
        <v/>
      </c>
      <c r="AF47" s="31">
        <f>IF(AF$4&gt;=sip_start,AE47*(1-sip_stop)+(sip_eligible-AE47)*sip_uptake,0)</f>
        <v/>
      </c>
      <c r="AG47" s="31">
        <f>IF(AG$4&gt;=sip_start,AF47*(1-sip_stop)+(sip_eligible-AF47)*sip_uptake,0)</f>
        <v/>
      </c>
      <c r="AH47" s="31">
        <f>IF(AH$4&gt;=sip_start,AG47*(1-sip_stop)+(sip_eligible-AG47)*sip_uptake,0)</f>
        <v/>
      </c>
      <c r="AI47" s="31">
        <f>IF(AI$4&gt;=sip_start,AH47*(1-sip_stop)+(sip_eligible-AH47)*sip_uptake,0)</f>
        <v/>
      </c>
      <c r="AJ47" s="31">
        <f>IF(AJ$4&gt;=sip_start,AI47*(1-sip_stop)+(sip_eligible-AI47)*sip_uptake,0)</f>
        <v/>
      </c>
      <c r="AK47" s="31">
        <f>IF(AK$4&gt;=sip_start,AJ47*(1-sip_stop)+(sip_eligible-AJ47)*sip_uptake,0)</f>
        <v/>
      </c>
      <c r="AL47" s="31">
        <f>IF(AL$4&gt;=sip_start,AK47*(1-sip_stop)+(sip_eligible-AK47)*sip_uptake,0)</f>
        <v/>
      </c>
      <c r="AM47" s="31">
        <f>IF(AM$4&gt;=sip_start,AL47*(1-sip_stop)+(sip_eligible-AL47)*sip_uptake,0)</f>
        <v/>
      </c>
      <c r="AN47" s="31">
        <f>IF(AN$4&gt;=sip_start,AM47*(1-sip_stop)+(sip_eligible-AM47)*sip_uptake,0)</f>
        <v/>
      </c>
      <c r="AO47" s="31">
        <f>IF(AO$4&gt;=sip_start,AN47*(1-sip_stop)+(sip_eligible-AN47)*sip_uptake,0)</f>
        <v/>
      </c>
      <c r="AP47" s="31">
        <f>IF(AP$4&gt;=sip_start,AO47*(1-sip_stop)+(sip_eligible-AO47)*sip_uptake,0)</f>
        <v/>
      </c>
      <c r="AQ47" s="31">
        <f>IF(AQ$4&gt;=sip_start,AP47*(1-sip_stop)+(sip_eligible-AP47)*sip_uptake,0)</f>
        <v/>
      </c>
      <c r="AR47" s="31">
        <f>IF(AR$4&gt;=sip_start,AQ47*(1-sip_stop)+(sip_eligible-AQ47)*sip_uptake,0)</f>
        <v/>
      </c>
      <c r="AS47" s="31">
        <f>IF(AS$4&gt;=sip_start,AR47*(1-sip_stop)+(sip_eligible-AR47)*sip_uptake,0)</f>
        <v/>
      </c>
      <c r="AT47" s="31">
        <f>IF(AT$4&gt;=sip_start,AS47*(1-sip_stop)+(sip_eligible-AS47)*sip_uptake,0)</f>
        <v/>
      </c>
      <c r="AU47" s="31">
        <f>IF(AU$4&gt;=sip_start,AT47*(1-sip_stop)+(sip_eligible-AT47)*sip_uptake,0)</f>
        <v/>
      </c>
      <c r="AV47" s="31">
        <f>IF(AV$4&gt;=sip_start,AU47*(1-sip_stop)+(sip_eligible-AU47)*sip_uptake,0)</f>
        <v/>
      </c>
      <c r="AW47" s="31">
        <f>IF(AW$4&gt;=sip_start,AV47*(1-sip_stop)+(sip_eligible-AV47)*sip_uptake,0)</f>
        <v/>
      </c>
      <c r="AX47" s="31">
        <f>IF(AX$4&gt;=sip_start,AW47*(1-sip_stop)+(sip_eligible-AW47)*sip_uptake,0)</f>
        <v/>
      </c>
      <c r="AY47" s="31">
        <f>IF(AY$4&gt;=sip_start,AX47*(1-sip_stop)+(sip_eligible-AX47)*sip_uptake,0)</f>
        <v/>
      </c>
      <c r="AZ47" s="31">
        <f>IF(AZ$4&gt;=sip_start,AY47*(1-sip_stop)+(sip_eligible-AY47)*sip_uptake,0)</f>
        <v/>
      </c>
      <c r="BA47" s="31">
        <f>IF(BA$4&gt;=sip_start,AZ47*(1-sip_stop)+(sip_eligible-AZ47)*sip_uptake,0)</f>
        <v/>
      </c>
      <c r="BB47" s="31">
        <f>IF(BB$4&gt;=sip_start,BA47*(1-sip_stop)+(sip_eligible-BA47)*sip_uptake,0)</f>
        <v/>
      </c>
      <c r="BC47" s="31">
        <f>IF(BC$4&gt;=sip_start,BB47*(1-sip_stop)+(sip_eligible-BB47)*sip_uptake,0)</f>
        <v/>
      </c>
      <c r="BD47" s="31">
        <f>IF(BD$4&gt;=sip_start,BC47*(1-sip_stop)+(sip_eligible-BC47)*sip_uptake,0)</f>
        <v/>
      </c>
      <c r="BE47" s="31">
        <f>IF(BE$4&gt;=sip_start,BD47*(1-sip_stop)+(sip_eligible-BD47)*sip_uptake,0)</f>
        <v/>
      </c>
      <c r="BF47" s="31">
        <f>IF(BF$4&gt;=sip_start,BE47*(1-sip_stop)+(sip_eligible-BE47)*sip_uptake,0)</f>
        <v/>
      </c>
      <c r="BG47" s="31">
        <f>IF(BG$4&gt;=sip_start,BF47*(1-sip_stop)+(sip_eligible-BF47)*sip_uptake,0)</f>
        <v/>
      </c>
      <c r="BH47" s="31">
        <f>IF(BH$4&gt;=sip_start,BG47*(1-sip_stop)+(sip_eligible-BG47)*sip_uptake,0)</f>
        <v/>
      </c>
      <c r="BI47" s="31">
        <f>IF(BI$4&gt;=sip_start,BH47*(1-sip_stop)+(sip_eligible-BH47)*sip_uptake,0)</f>
        <v/>
      </c>
      <c r="BJ47" s="31">
        <f>IF(BJ$4&gt;=sip_start,BI47*(1-sip_stop)+(sip_eligible-BI47)*sip_uptake,0)</f>
        <v/>
      </c>
      <c r="BK47" s="31">
        <f>IF(BK$4&gt;=sip_start,BJ47*(1-sip_stop)+(sip_eligible-BJ47)*sip_uptake,0)</f>
        <v/>
      </c>
    </row>
    <row r="48">
      <c r="A48" s="25" t="inlineStr">
        <is>
          <t>New SIPs</t>
        </is>
      </c>
      <c r="B48" s="28" t="inlineStr">
        <is>
          <t>SIPs</t>
        </is>
      </c>
      <c r="C48" s="42" t="n">
        <v>0</v>
      </c>
      <c r="D48" s="43">
        <f>IF(D$4&gt;=sip_start,D7*(sip_eligible-C47)*sip_uptake,0)</f>
        <v/>
      </c>
      <c r="E48" s="43">
        <f>IF(E$4&gt;=sip_start,E7*(sip_eligible-D47)*sip_uptake,0)</f>
        <v/>
      </c>
      <c r="F48" s="43">
        <f>IF(F$4&gt;=sip_start,F7*(sip_eligible-E47)*sip_uptake,0)</f>
        <v/>
      </c>
      <c r="G48" s="43">
        <f>IF(G$4&gt;=sip_start,G7*(sip_eligible-F47)*sip_uptake,0)</f>
        <v/>
      </c>
      <c r="H48" s="43">
        <f>IF(H$4&gt;=sip_start,H7*(sip_eligible-G47)*sip_uptake,0)</f>
        <v/>
      </c>
      <c r="I48" s="43">
        <f>IF(I$4&gt;=sip_start,I7*(sip_eligible-H47)*sip_uptake,0)</f>
        <v/>
      </c>
      <c r="J48" s="43">
        <f>IF(J$4&gt;=sip_start,J7*(sip_eligible-I47)*sip_uptake,0)</f>
        <v/>
      </c>
      <c r="K48" s="43">
        <f>IF(K$4&gt;=sip_start,K7*(sip_eligible-J47)*sip_uptake,0)</f>
        <v/>
      </c>
      <c r="L48" s="43">
        <f>IF(L$4&gt;=sip_start,L7*(sip_eligible-K47)*sip_uptake,0)</f>
        <v/>
      </c>
      <c r="M48" s="43">
        <f>IF(M$4&gt;=sip_start,M7*(sip_eligible-L47)*sip_uptake,0)</f>
        <v/>
      </c>
      <c r="N48" s="43">
        <f>IF(N$4&gt;=sip_start,N7*(sip_eligible-M47)*sip_uptake,0)</f>
        <v/>
      </c>
      <c r="O48" s="43">
        <f>IF(O$4&gt;=sip_start,O7*(sip_eligible-N47)*sip_uptake,0)</f>
        <v/>
      </c>
      <c r="P48" s="43">
        <f>IF(P$4&gt;=sip_start,P7*(sip_eligible-O47)*sip_uptake,0)</f>
        <v/>
      </c>
      <c r="Q48" s="43">
        <f>IF(Q$4&gt;=sip_start,Q7*(sip_eligible-P47)*sip_uptake,0)</f>
        <v/>
      </c>
      <c r="R48" s="43">
        <f>IF(R$4&gt;=sip_start,R7*(sip_eligible-Q47)*sip_uptake,0)</f>
        <v/>
      </c>
      <c r="S48" s="43">
        <f>IF(S$4&gt;=sip_start,S7*(sip_eligible-R47)*sip_uptake,0)</f>
        <v/>
      </c>
      <c r="T48" s="43">
        <f>IF(T$4&gt;=sip_start,T7*(sip_eligible-S47)*sip_uptake,0)</f>
        <v/>
      </c>
      <c r="U48" s="43">
        <f>IF(U$4&gt;=sip_start,U7*(sip_eligible-T47)*sip_uptake,0)</f>
        <v/>
      </c>
      <c r="V48" s="43">
        <f>IF(V$4&gt;=sip_start,V7*(sip_eligible-U47)*sip_uptake,0)</f>
        <v/>
      </c>
      <c r="W48" s="43">
        <f>IF(W$4&gt;=sip_start,W7*(sip_eligible-V47)*sip_uptake,0)</f>
        <v/>
      </c>
      <c r="X48" s="43">
        <f>IF(X$4&gt;=sip_start,X7*(sip_eligible-W47)*sip_uptake,0)</f>
        <v/>
      </c>
      <c r="Y48" s="43">
        <f>IF(Y$4&gt;=sip_start,Y7*(sip_eligible-X47)*sip_uptake,0)</f>
        <v/>
      </c>
      <c r="Z48" s="43">
        <f>IF(Z$4&gt;=sip_start,Z7*(sip_eligible-Y47)*sip_uptake,0)</f>
        <v/>
      </c>
      <c r="AA48" s="43">
        <f>IF(AA$4&gt;=sip_start,AA7*(sip_eligible-Z47)*sip_uptake,0)</f>
        <v/>
      </c>
      <c r="AB48" s="43">
        <f>IF(AB$4&gt;=sip_start,AB7*(sip_eligible-AA47)*sip_uptake,0)</f>
        <v/>
      </c>
      <c r="AC48" s="43">
        <f>IF(AC$4&gt;=sip_start,AC7*(sip_eligible-AB47)*sip_uptake,0)</f>
        <v/>
      </c>
      <c r="AD48" s="43">
        <f>IF(AD$4&gt;=sip_start,AD7*(sip_eligible-AC47)*sip_uptake,0)</f>
        <v/>
      </c>
      <c r="AE48" s="43">
        <f>IF(AE$4&gt;=sip_start,AE7*(sip_eligible-AD47)*sip_uptake,0)</f>
        <v/>
      </c>
      <c r="AF48" s="43">
        <f>IF(AF$4&gt;=sip_start,AF7*(sip_eligible-AE47)*sip_uptake,0)</f>
        <v/>
      </c>
      <c r="AG48" s="43">
        <f>IF(AG$4&gt;=sip_start,AG7*(sip_eligible-AF47)*sip_uptake,0)</f>
        <v/>
      </c>
      <c r="AH48" s="43">
        <f>IF(AH$4&gt;=sip_start,AH7*(sip_eligible-AG47)*sip_uptake,0)</f>
        <v/>
      </c>
      <c r="AI48" s="43">
        <f>IF(AI$4&gt;=sip_start,AI7*(sip_eligible-AH47)*sip_uptake,0)</f>
        <v/>
      </c>
      <c r="AJ48" s="43">
        <f>IF(AJ$4&gt;=sip_start,AJ7*(sip_eligible-AI47)*sip_uptake,0)</f>
        <v/>
      </c>
      <c r="AK48" s="43">
        <f>IF(AK$4&gt;=sip_start,AK7*(sip_eligible-AJ47)*sip_uptake,0)</f>
        <v/>
      </c>
      <c r="AL48" s="43">
        <f>IF(AL$4&gt;=sip_start,AL7*(sip_eligible-AK47)*sip_uptake,0)</f>
        <v/>
      </c>
      <c r="AM48" s="43">
        <f>IF(AM$4&gt;=sip_start,AM7*(sip_eligible-AL47)*sip_uptake,0)</f>
        <v/>
      </c>
      <c r="AN48" s="43">
        <f>IF(AN$4&gt;=sip_start,AN7*(sip_eligible-AM47)*sip_uptake,0)</f>
        <v/>
      </c>
      <c r="AO48" s="43">
        <f>IF(AO$4&gt;=sip_start,AO7*(sip_eligible-AN47)*sip_uptake,0)</f>
        <v/>
      </c>
      <c r="AP48" s="43">
        <f>IF(AP$4&gt;=sip_start,AP7*(sip_eligible-AO47)*sip_uptake,0)</f>
        <v/>
      </c>
      <c r="AQ48" s="43">
        <f>IF(AQ$4&gt;=sip_start,AQ7*(sip_eligible-AP47)*sip_uptake,0)</f>
        <v/>
      </c>
      <c r="AR48" s="43">
        <f>IF(AR$4&gt;=sip_start,AR7*(sip_eligible-AQ47)*sip_uptake,0)</f>
        <v/>
      </c>
      <c r="AS48" s="43">
        <f>IF(AS$4&gt;=sip_start,AS7*(sip_eligible-AR47)*sip_uptake,0)</f>
        <v/>
      </c>
      <c r="AT48" s="43">
        <f>IF(AT$4&gt;=sip_start,AT7*(sip_eligible-AS47)*sip_uptake,0)</f>
        <v/>
      </c>
      <c r="AU48" s="43">
        <f>IF(AU$4&gt;=sip_start,AU7*(sip_eligible-AT47)*sip_uptake,0)</f>
        <v/>
      </c>
      <c r="AV48" s="43">
        <f>IF(AV$4&gt;=sip_start,AV7*(sip_eligible-AU47)*sip_uptake,0)</f>
        <v/>
      </c>
      <c r="AW48" s="43">
        <f>IF(AW$4&gt;=sip_start,AW7*(sip_eligible-AV47)*sip_uptake,0)</f>
        <v/>
      </c>
      <c r="AX48" s="43">
        <f>IF(AX$4&gt;=sip_start,AX7*(sip_eligible-AW47)*sip_uptake,0)</f>
        <v/>
      </c>
      <c r="AY48" s="43">
        <f>IF(AY$4&gt;=sip_start,AY7*(sip_eligible-AX47)*sip_uptake,0)</f>
        <v/>
      </c>
      <c r="AZ48" s="43">
        <f>IF(AZ$4&gt;=sip_start,AZ7*(sip_eligible-AY47)*sip_uptake,0)</f>
        <v/>
      </c>
      <c r="BA48" s="43">
        <f>IF(BA$4&gt;=sip_start,BA7*(sip_eligible-AZ47)*sip_uptake,0)</f>
        <v/>
      </c>
      <c r="BB48" s="43">
        <f>IF(BB$4&gt;=sip_start,BB7*(sip_eligible-BA47)*sip_uptake,0)</f>
        <v/>
      </c>
      <c r="BC48" s="43">
        <f>IF(BC$4&gt;=sip_start,BC7*(sip_eligible-BB47)*sip_uptake,0)</f>
        <v/>
      </c>
      <c r="BD48" s="43">
        <f>IF(BD$4&gt;=sip_start,BD7*(sip_eligible-BC47)*sip_uptake,0)</f>
        <v/>
      </c>
      <c r="BE48" s="43">
        <f>IF(BE$4&gt;=sip_start,BE7*(sip_eligible-BD47)*sip_uptake,0)</f>
        <v/>
      </c>
      <c r="BF48" s="43">
        <f>IF(BF$4&gt;=sip_start,BF7*(sip_eligible-BE47)*sip_uptake,0)</f>
        <v/>
      </c>
      <c r="BG48" s="43">
        <f>IF(BG$4&gt;=sip_start,BG7*(sip_eligible-BF47)*sip_uptake,0)</f>
        <v/>
      </c>
      <c r="BH48" s="43">
        <f>IF(BH$4&gt;=sip_start,BH7*(sip_eligible-BG47)*sip_uptake,0)</f>
        <v/>
      </c>
      <c r="BI48" s="43">
        <f>IF(BI$4&gt;=sip_start,BI7*(sip_eligible-BH47)*sip_uptake,0)</f>
        <v/>
      </c>
      <c r="BJ48" s="43">
        <f>IF(BJ$4&gt;=sip_start,BJ7*(sip_eligible-BI47)*sip_uptake,0)</f>
        <v/>
      </c>
      <c r="BK48" s="43">
        <f>IF(BK$4&gt;=sip_start,BK7*(sip_eligible-BJ47)*sip_uptake,0)</f>
        <v/>
      </c>
    </row>
    <row r="49">
      <c r="A49" s="25" t="inlineStr">
        <is>
          <t>SIP balance</t>
        </is>
      </c>
      <c r="B49" s="28" t="inlineStr">
        <is>
          <t>₹</t>
        </is>
      </c>
      <c r="C49" s="30" t="n">
        <v>0</v>
      </c>
      <c r="D49" s="32">
        <f>C49*(1+sip_return/12)*(1-sip_redeem)+D7*D47*sip_amount</f>
        <v/>
      </c>
      <c r="E49" s="32">
        <f>D49*(1+sip_return/12)*(1-sip_redeem)+E7*E47*sip_amount</f>
        <v/>
      </c>
      <c r="F49" s="32">
        <f>E49*(1+sip_return/12)*(1-sip_redeem)+F7*F47*sip_amount</f>
        <v/>
      </c>
      <c r="G49" s="32">
        <f>F49*(1+sip_return/12)*(1-sip_redeem)+G7*G47*sip_amount</f>
        <v/>
      </c>
      <c r="H49" s="32">
        <f>G49*(1+sip_return/12)*(1-sip_redeem)+H7*H47*sip_amount</f>
        <v/>
      </c>
      <c r="I49" s="32">
        <f>H49*(1+sip_return/12)*(1-sip_redeem)+I7*I47*sip_amount</f>
        <v/>
      </c>
      <c r="J49" s="32">
        <f>I49*(1+sip_return/12)*(1-sip_redeem)+J7*J47*sip_amount</f>
        <v/>
      </c>
      <c r="K49" s="32">
        <f>J49*(1+sip_return/12)*(1-sip_redeem)+K7*K47*sip_amount</f>
        <v/>
      </c>
      <c r="L49" s="32">
        <f>K49*(1+sip_return/12)*(1-sip_redeem)+L7*L47*sip_amount</f>
        <v/>
      </c>
      <c r="M49" s="32">
        <f>L49*(1+sip_return/12)*(1-sip_redeem)+M7*M47*sip_amount</f>
        <v/>
      </c>
      <c r="N49" s="32">
        <f>M49*(1+sip_return/12)*(1-sip_redeem)+N7*N47*sip_amount</f>
        <v/>
      </c>
      <c r="O49" s="32">
        <f>N49*(1+sip_return/12)*(1-sip_redeem)+O7*O47*sip_amount</f>
        <v/>
      </c>
      <c r="P49" s="32">
        <f>O49*(1+sip_return/12)*(1-sip_redeem)+P7*P47*sip_amount</f>
        <v/>
      </c>
      <c r="Q49" s="32">
        <f>P49*(1+sip_return/12)*(1-sip_redeem)+Q7*Q47*sip_amount</f>
        <v/>
      </c>
      <c r="R49" s="32">
        <f>Q49*(1+sip_return/12)*(1-sip_redeem)+R7*R47*sip_amount</f>
        <v/>
      </c>
      <c r="S49" s="32">
        <f>R49*(1+sip_return/12)*(1-sip_redeem)+S7*S47*sip_amount</f>
        <v/>
      </c>
      <c r="T49" s="32">
        <f>S49*(1+sip_return/12)*(1-sip_redeem)+T7*T47*sip_amount</f>
        <v/>
      </c>
      <c r="U49" s="32">
        <f>T49*(1+sip_return/12)*(1-sip_redeem)+U7*U47*sip_amount</f>
        <v/>
      </c>
      <c r="V49" s="32">
        <f>U49*(1+sip_return/12)*(1-sip_redeem)+V7*V47*sip_amount</f>
        <v/>
      </c>
      <c r="W49" s="32">
        <f>V49*(1+sip_return/12)*(1-sip_redeem)+W7*W47*sip_amount</f>
        <v/>
      </c>
      <c r="X49" s="32">
        <f>W49*(1+sip_return/12)*(1-sip_redeem)+X7*X47*sip_amount</f>
        <v/>
      </c>
      <c r="Y49" s="32">
        <f>X49*(1+sip_return/12)*(1-sip_redeem)+Y7*Y47*sip_amount</f>
        <v/>
      </c>
      <c r="Z49" s="32">
        <f>Y49*(1+sip_return/12)*(1-sip_redeem)+Z7*Z47*sip_amount</f>
        <v/>
      </c>
      <c r="AA49" s="32">
        <f>Z49*(1+sip_return/12)*(1-sip_redeem)+AA7*AA47*sip_amount</f>
        <v/>
      </c>
      <c r="AB49" s="32">
        <f>AA49*(1+sip_return/12)*(1-sip_redeem)+AB7*AB47*sip_amount</f>
        <v/>
      </c>
      <c r="AC49" s="32">
        <f>AB49*(1+sip_return/12)*(1-sip_redeem)+AC7*AC47*sip_amount</f>
        <v/>
      </c>
      <c r="AD49" s="32">
        <f>AC49*(1+sip_return/12)*(1-sip_redeem)+AD7*AD47*sip_amount</f>
        <v/>
      </c>
      <c r="AE49" s="32">
        <f>AD49*(1+sip_return/12)*(1-sip_redeem)+AE7*AE47*sip_amount</f>
        <v/>
      </c>
      <c r="AF49" s="32">
        <f>AE49*(1+sip_return/12)*(1-sip_redeem)+AF7*AF47*sip_amount</f>
        <v/>
      </c>
      <c r="AG49" s="32">
        <f>AF49*(1+sip_return/12)*(1-sip_redeem)+AG7*AG47*sip_amount</f>
        <v/>
      </c>
      <c r="AH49" s="32">
        <f>AG49*(1+sip_return/12)*(1-sip_redeem)+AH7*AH47*sip_amount</f>
        <v/>
      </c>
      <c r="AI49" s="32">
        <f>AH49*(1+sip_return/12)*(1-sip_redeem)+AI7*AI47*sip_amount</f>
        <v/>
      </c>
      <c r="AJ49" s="32">
        <f>AI49*(1+sip_return/12)*(1-sip_redeem)+AJ7*AJ47*sip_amount</f>
        <v/>
      </c>
      <c r="AK49" s="32">
        <f>AJ49*(1+sip_return/12)*(1-sip_redeem)+AK7*AK47*sip_amount</f>
        <v/>
      </c>
      <c r="AL49" s="32">
        <f>AK49*(1+sip_return/12)*(1-sip_redeem)+AL7*AL47*sip_amount</f>
        <v/>
      </c>
      <c r="AM49" s="32">
        <f>AL49*(1+sip_return/12)*(1-sip_redeem)+AM7*AM47*sip_amount</f>
        <v/>
      </c>
      <c r="AN49" s="32">
        <f>AM49*(1+sip_return/12)*(1-sip_redeem)+AN7*AN47*sip_amount</f>
        <v/>
      </c>
      <c r="AO49" s="32">
        <f>AN49*(1+sip_return/12)*(1-sip_redeem)+AO7*AO47*sip_amount</f>
        <v/>
      </c>
      <c r="AP49" s="32">
        <f>AO49*(1+sip_return/12)*(1-sip_redeem)+AP7*AP47*sip_amount</f>
        <v/>
      </c>
      <c r="AQ49" s="32">
        <f>AP49*(1+sip_return/12)*(1-sip_redeem)+AQ7*AQ47*sip_amount</f>
        <v/>
      </c>
      <c r="AR49" s="32">
        <f>AQ49*(1+sip_return/12)*(1-sip_redeem)+AR7*AR47*sip_amount</f>
        <v/>
      </c>
      <c r="AS49" s="32">
        <f>AR49*(1+sip_return/12)*(1-sip_redeem)+AS7*AS47*sip_amount</f>
        <v/>
      </c>
      <c r="AT49" s="32">
        <f>AS49*(1+sip_return/12)*(1-sip_redeem)+AT7*AT47*sip_amount</f>
        <v/>
      </c>
      <c r="AU49" s="32">
        <f>AT49*(1+sip_return/12)*(1-sip_redeem)+AU7*AU47*sip_amount</f>
        <v/>
      </c>
      <c r="AV49" s="32">
        <f>AU49*(1+sip_return/12)*(1-sip_redeem)+AV7*AV47*sip_amount</f>
        <v/>
      </c>
      <c r="AW49" s="32">
        <f>AV49*(1+sip_return/12)*(1-sip_redeem)+AW7*AW47*sip_amount</f>
        <v/>
      </c>
      <c r="AX49" s="32">
        <f>AW49*(1+sip_return/12)*(1-sip_redeem)+AX7*AX47*sip_amount</f>
        <v/>
      </c>
      <c r="AY49" s="32">
        <f>AX49*(1+sip_return/12)*(1-sip_redeem)+AY7*AY47*sip_amount</f>
        <v/>
      </c>
      <c r="AZ49" s="32">
        <f>AY49*(1+sip_return/12)*(1-sip_redeem)+AZ7*AZ47*sip_amount</f>
        <v/>
      </c>
      <c r="BA49" s="32">
        <f>AZ49*(1+sip_return/12)*(1-sip_redeem)+BA7*BA47*sip_amount</f>
        <v/>
      </c>
      <c r="BB49" s="32">
        <f>BA49*(1+sip_return/12)*(1-sip_redeem)+BB7*BB47*sip_amount</f>
        <v/>
      </c>
      <c r="BC49" s="32">
        <f>BB49*(1+sip_return/12)*(1-sip_redeem)+BC7*BC47*sip_amount</f>
        <v/>
      </c>
      <c r="BD49" s="32">
        <f>BC49*(1+sip_return/12)*(1-sip_redeem)+BD7*BD47*sip_amount</f>
        <v/>
      </c>
      <c r="BE49" s="32">
        <f>BD49*(1+sip_return/12)*(1-sip_redeem)+BE7*BE47*sip_amount</f>
        <v/>
      </c>
      <c r="BF49" s="32">
        <f>BE49*(1+sip_return/12)*(1-sip_redeem)+BF7*BF47*sip_amount</f>
        <v/>
      </c>
      <c r="BG49" s="32">
        <f>BF49*(1+sip_return/12)*(1-sip_redeem)+BG7*BG47*sip_amount</f>
        <v/>
      </c>
      <c r="BH49" s="32">
        <f>BG49*(1+sip_return/12)*(1-sip_redeem)+BH7*BH47*sip_amount</f>
        <v/>
      </c>
      <c r="BI49" s="32">
        <f>BH49*(1+sip_return/12)*(1-sip_redeem)+BI7*BI47*sip_amount</f>
        <v/>
      </c>
      <c r="BJ49" s="32">
        <f>BI49*(1+sip_return/12)*(1-sip_redeem)+BJ7*BJ47*sip_amount</f>
        <v/>
      </c>
      <c r="BK49" s="32">
        <f>BJ49*(1+sip_return/12)*(1-sip_redeem)+BK7*BK47*sip_amount</f>
        <v/>
      </c>
    </row>
    <row r="50">
      <c r="A50" s="6" t="inlineStr">
        <is>
          <t>Insurance (annual policies from partner insurers)</t>
        </is>
      </c>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c r="AA50" s="7" t="n"/>
      <c r="AB50" s="7" t="n"/>
      <c r="AC50" s="7" t="n"/>
      <c r="AD50" s="7" t="n"/>
      <c r="AE50" s="7" t="n"/>
      <c r="AF50" s="7" t="n"/>
      <c r="AG50" s="7" t="n"/>
      <c r="AH50" s="7" t="n"/>
      <c r="AI50" s="7" t="n"/>
      <c r="AJ50" s="7" t="n"/>
      <c r="AK50" s="7" t="n"/>
      <c r="AL50" s="7" t="n"/>
      <c r="AM50" s="7" t="n"/>
      <c r="AN50" s="7" t="n"/>
      <c r="AO50" s="7" t="n"/>
      <c r="AP50" s="7" t="n"/>
      <c r="AQ50" s="7" t="n"/>
      <c r="AR50" s="7" t="n"/>
      <c r="AS50" s="7" t="n"/>
      <c r="AT50" s="7" t="n"/>
      <c r="AU50" s="7" t="n"/>
      <c r="AV50" s="7" t="n"/>
      <c r="AW50" s="7" t="n"/>
      <c r="AX50" s="7" t="n"/>
      <c r="AY50" s="7" t="n"/>
      <c r="AZ50" s="7" t="n"/>
      <c r="BA50" s="7" t="n"/>
      <c r="BB50" s="7" t="n"/>
      <c r="BC50" s="7" t="n"/>
      <c r="BD50" s="7" t="n"/>
      <c r="BE50" s="7" t="n"/>
      <c r="BF50" s="7" t="n"/>
      <c r="BG50" s="7" t="n"/>
      <c r="BH50" s="7" t="n"/>
      <c r="BI50" s="7" t="n"/>
      <c r="BJ50" s="7" t="n"/>
      <c r="BK50" s="7" t="n"/>
    </row>
    <row r="51">
      <c r="A51" s="25" t="inlineStr">
        <is>
          <t>Share of active savers ever insured</t>
        </is>
      </c>
      <c r="B51" s="28" t="inlineStr">
        <is>
          <t>share</t>
        </is>
      </c>
      <c r="C51" s="29" t="n">
        <v>0</v>
      </c>
      <c r="D51" s="31">
        <f>IF(D$4&gt;=ins_start,C51+(ins_eligible-C51)*ins_uptake,0)</f>
        <v/>
      </c>
      <c r="E51" s="31">
        <f>IF(E$4&gt;=ins_start,D51+(ins_eligible-D51)*ins_uptake,0)</f>
        <v/>
      </c>
      <c r="F51" s="31">
        <f>IF(F$4&gt;=ins_start,E51+(ins_eligible-E51)*ins_uptake,0)</f>
        <v/>
      </c>
      <c r="G51" s="31">
        <f>IF(G$4&gt;=ins_start,F51+(ins_eligible-F51)*ins_uptake,0)</f>
        <v/>
      </c>
      <c r="H51" s="31">
        <f>IF(H$4&gt;=ins_start,G51+(ins_eligible-G51)*ins_uptake,0)</f>
        <v/>
      </c>
      <c r="I51" s="31">
        <f>IF(I$4&gt;=ins_start,H51+(ins_eligible-H51)*ins_uptake,0)</f>
        <v/>
      </c>
      <c r="J51" s="31">
        <f>IF(J$4&gt;=ins_start,I51+(ins_eligible-I51)*ins_uptake,0)</f>
        <v/>
      </c>
      <c r="K51" s="31">
        <f>IF(K$4&gt;=ins_start,J51+(ins_eligible-J51)*ins_uptake,0)</f>
        <v/>
      </c>
      <c r="L51" s="31">
        <f>IF(L$4&gt;=ins_start,K51+(ins_eligible-K51)*ins_uptake,0)</f>
        <v/>
      </c>
      <c r="M51" s="31">
        <f>IF(M$4&gt;=ins_start,L51+(ins_eligible-L51)*ins_uptake,0)</f>
        <v/>
      </c>
      <c r="N51" s="31">
        <f>IF(N$4&gt;=ins_start,M51+(ins_eligible-M51)*ins_uptake,0)</f>
        <v/>
      </c>
      <c r="O51" s="31">
        <f>IF(O$4&gt;=ins_start,N51+(ins_eligible-N51)*ins_uptake,0)</f>
        <v/>
      </c>
      <c r="P51" s="31">
        <f>IF(P$4&gt;=ins_start,O51+(ins_eligible-O51)*ins_uptake,0)</f>
        <v/>
      </c>
      <c r="Q51" s="31">
        <f>IF(Q$4&gt;=ins_start,P51+(ins_eligible-P51)*ins_uptake,0)</f>
        <v/>
      </c>
      <c r="R51" s="31">
        <f>IF(R$4&gt;=ins_start,Q51+(ins_eligible-Q51)*ins_uptake,0)</f>
        <v/>
      </c>
      <c r="S51" s="31">
        <f>IF(S$4&gt;=ins_start,R51+(ins_eligible-R51)*ins_uptake,0)</f>
        <v/>
      </c>
      <c r="T51" s="31">
        <f>IF(T$4&gt;=ins_start,S51+(ins_eligible-S51)*ins_uptake,0)</f>
        <v/>
      </c>
      <c r="U51" s="31">
        <f>IF(U$4&gt;=ins_start,T51+(ins_eligible-T51)*ins_uptake,0)</f>
        <v/>
      </c>
      <c r="V51" s="31">
        <f>IF(V$4&gt;=ins_start,U51+(ins_eligible-U51)*ins_uptake,0)</f>
        <v/>
      </c>
      <c r="W51" s="31">
        <f>IF(W$4&gt;=ins_start,V51+(ins_eligible-V51)*ins_uptake,0)</f>
        <v/>
      </c>
      <c r="X51" s="31">
        <f>IF(X$4&gt;=ins_start,W51+(ins_eligible-W51)*ins_uptake,0)</f>
        <v/>
      </c>
      <c r="Y51" s="31">
        <f>IF(Y$4&gt;=ins_start,X51+(ins_eligible-X51)*ins_uptake,0)</f>
        <v/>
      </c>
      <c r="Z51" s="31">
        <f>IF(Z$4&gt;=ins_start,Y51+(ins_eligible-Y51)*ins_uptake,0)</f>
        <v/>
      </c>
      <c r="AA51" s="31">
        <f>IF(AA$4&gt;=ins_start,Z51+(ins_eligible-Z51)*ins_uptake,0)</f>
        <v/>
      </c>
      <c r="AB51" s="31">
        <f>IF(AB$4&gt;=ins_start,AA51+(ins_eligible-AA51)*ins_uptake,0)</f>
        <v/>
      </c>
      <c r="AC51" s="31">
        <f>IF(AC$4&gt;=ins_start,AB51+(ins_eligible-AB51)*ins_uptake,0)</f>
        <v/>
      </c>
      <c r="AD51" s="31">
        <f>IF(AD$4&gt;=ins_start,AC51+(ins_eligible-AC51)*ins_uptake,0)</f>
        <v/>
      </c>
      <c r="AE51" s="31">
        <f>IF(AE$4&gt;=ins_start,AD51+(ins_eligible-AD51)*ins_uptake,0)</f>
        <v/>
      </c>
      <c r="AF51" s="31">
        <f>IF(AF$4&gt;=ins_start,AE51+(ins_eligible-AE51)*ins_uptake,0)</f>
        <v/>
      </c>
      <c r="AG51" s="31">
        <f>IF(AG$4&gt;=ins_start,AF51+(ins_eligible-AF51)*ins_uptake,0)</f>
        <v/>
      </c>
      <c r="AH51" s="31">
        <f>IF(AH$4&gt;=ins_start,AG51+(ins_eligible-AG51)*ins_uptake,0)</f>
        <v/>
      </c>
      <c r="AI51" s="31">
        <f>IF(AI$4&gt;=ins_start,AH51+(ins_eligible-AH51)*ins_uptake,0)</f>
        <v/>
      </c>
      <c r="AJ51" s="31">
        <f>IF(AJ$4&gt;=ins_start,AI51+(ins_eligible-AI51)*ins_uptake,0)</f>
        <v/>
      </c>
      <c r="AK51" s="31">
        <f>IF(AK$4&gt;=ins_start,AJ51+(ins_eligible-AJ51)*ins_uptake,0)</f>
        <v/>
      </c>
      <c r="AL51" s="31">
        <f>IF(AL$4&gt;=ins_start,AK51+(ins_eligible-AK51)*ins_uptake,0)</f>
        <v/>
      </c>
      <c r="AM51" s="31">
        <f>IF(AM$4&gt;=ins_start,AL51+(ins_eligible-AL51)*ins_uptake,0)</f>
        <v/>
      </c>
      <c r="AN51" s="31">
        <f>IF(AN$4&gt;=ins_start,AM51+(ins_eligible-AM51)*ins_uptake,0)</f>
        <v/>
      </c>
      <c r="AO51" s="31">
        <f>IF(AO$4&gt;=ins_start,AN51+(ins_eligible-AN51)*ins_uptake,0)</f>
        <v/>
      </c>
      <c r="AP51" s="31">
        <f>IF(AP$4&gt;=ins_start,AO51+(ins_eligible-AO51)*ins_uptake,0)</f>
        <v/>
      </c>
      <c r="AQ51" s="31">
        <f>IF(AQ$4&gt;=ins_start,AP51+(ins_eligible-AP51)*ins_uptake,0)</f>
        <v/>
      </c>
      <c r="AR51" s="31">
        <f>IF(AR$4&gt;=ins_start,AQ51+(ins_eligible-AQ51)*ins_uptake,0)</f>
        <v/>
      </c>
      <c r="AS51" s="31">
        <f>IF(AS$4&gt;=ins_start,AR51+(ins_eligible-AR51)*ins_uptake,0)</f>
        <v/>
      </c>
      <c r="AT51" s="31">
        <f>IF(AT$4&gt;=ins_start,AS51+(ins_eligible-AS51)*ins_uptake,0)</f>
        <v/>
      </c>
      <c r="AU51" s="31">
        <f>IF(AU$4&gt;=ins_start,AT51+(ins_eligible-AT51)*ins_uptake,0)</f>
        <v/>
      </c>
      <c r="AV51" s="31">
        <f>IF(AV$4&gt;=ins_start,AU51+(ins_eligible-AU51)*ins_uptake,0)</f>
        <v/>
      </c>
      <c r="AW51" s="31">
        <f>IF(AW$4&gt;=ins_start,AV51+(ins_eligible-AV51)*ins_uptake,0)</f>
        <v/>
      </c>
      <c r="AX51" s="31">
        <f>IF(AX$4&gt;=ins_start,AW51+(ins_eligible-AW51)*ins_uptake,0)</f>
        <v/>
      </c>
      <c r="AY51" s="31">
        <f>IF(AY$4&gt;=ins_start,AX51+(ins_eligible-AX51)*ins_uptake,0)</f>
        <v/>
      </c>
      <c r="AZ51" s="31">
        <f>IF(AZ$4&gt;=ins_start,AY51+(ins_eligible-AY51)*ins_uptake,0)</f>
        <v/>
      </c>
      <c r="BA51" s="31">
        <f>IF(BA$4&gt;=ins_start,AZ51+(ins_eligible-AZ51)*ins_uptake,0)</f>
        <v/>
      </c>
      <c r="BB51" s="31">
        <f>IF(BB$4&gt;=ins_start,BA51+(ins_eligible-BA51)*ins_uptake,0)</f>
        <v/>
      </c>
      <c r="BC51" s="31">
        <f>IF(BC$4&gt;=ins_start,BB51+(ins_eligible-BB51)*ins_uptake,0)</f>
        <v/>
      </c>
      <c r="BD51" s="31">
        <f>IF(BD$4&gt;=ins_start,BC51+(ins_eligible-BC51)*ins_uptake,0)</f>
        <v/>
      </c>
      <c r="BE51" s="31">
        <f>IF(BE$4&gt;=ins_start,BD51+(ins_eligible-BD51)*ins_uptake,0)</f>
        <v/>
      </c>
      <c r="BF51" s="31">
        <f>IF(BF$4&gt;=ins_start,BE51+(ins_eligible-BE51)*ins_uptake,0)</f>
        <v/>
      </c>
      <c r="BG51" s="31">
        <f>IF(BG$4&gt;=ins_start,BF51+(ins_eligible-BF51)*ins_uptake,0)</f>
        <v/>
      </c>
      <c r="BH51" s="31">
        <f>IF(BH$4&gt;=ins_start,BG51+(ins_eligible-BG51)*ins_uptake,0)</f>
        <v/>
      </c>
      <c r="BI51" s="31">
        <f>IF(BI$4&gt;=ins_start,BH51+(ins_eligible-BH51)*ins_uptake,0)</f>
        <v/>
      </c>
      <c r="BJ51" s="31">
        <f>IF(BJ$4&gt;=ins_start,BI51+(ins_eligible-BI51)*ins_uptake,0)</f>
        <v/>
      </c>
      <c r="BK51" s="31">
        <f>IF(BK$4&gt;=ins_start,BJ51+(ins_eligible-BJ51)*ins_uptake,0)</f>
        <v/>
      </c>
    </row>
    <row r="52">
      <c r="A52" s="25" t="inlineStr">
        <is>
          <t>New policies</t>
        </is>
      </c>
      <c r="B52" s="28" t="inlineStr">
        <is>
          <t>policies</t>
        </is>
      </c>
      <c r="C52" s="42" t="n">
        <v>0</v>
      </c>
      <c r="D52" s="43">
        <f>IF(D$4&gt;=ins_start,D7*(ins_eligible-C51)*ins_uptake,0)</f>
        <v/>
      </c>
      <c r="E52" s="43">
        <f>IF(E$4&gt;=ins_start,E7*(ins_eligible-D51)*ins_uptake,0)</f>
        <v/>
      </c>
      <c r="F52" s="43">
        <f>IF(F$4&gt;=ins_start,F7*(ins_eligible-E51)*ins_uptake,0)</f>
        <v/>
      </c>
      <c r="G52" s="43">
        <f>IF(G$4&gt;=ins_start,G7*(ins_eligible-F51)*ins_uptake,0)</f>
        <v/>
      </c>
      <c r="H52" s="43">
        <f>IF(H$4&gt;=ins_start,H7*(ins_eligible-G51)*ins_uptake,0)</f>
        <v/>
      </c>
      <c r="I52" s="43">
        <f>IF(I$4&gt;=ins_start,I7*(ins_eligible-H51)*ins_uptake,0)</f>
        <v/>
      </c>
      <c r="J52" s="43">
        <f>IF(J$4&gt;=ins_start,J7*(ins_eligible-I51)*ins_uptake,0)</f>
        <v/>
      </c>
      <c r="K52" s="43">
        <f>IF(K$4&gt;=ins_start,K7*(ins_eligible-J51)*ins_uptake,0)</f>
        <v/>
      </c>
      <c r="L52" s="43">
        <f>IF(L$4&gt;=ins_start,L7*(ins_eligible-K51)*ins_uptake,0)</f>
        <v/>
      </c>
      <c r="M52" s="43">
        <f>IF(M$4&gt;=ins_start,M7*(ins_eligible-L51)*ins_uptake,0)</f>
        <v/>
      </c>
      <c r="N52" s="43">
        <f>IF(N$4&gt;=ins_start,N7*(ins_eligible-M51)*ins_uptake,0)</f>
        <v/>
      </c>
      <c r="O52" s="43">
        <f>IF(O$4&gt;=ins_start,O7*(ins_eligible-N51)*ins_uptake,0)</f>
        <v/>
      </c>
      <c r="P52" s="43">
        <f>IF(P$4&gt;=ins_start,P7*(ins_eligible-O51)*ins_uptake,0)</f>
        <v/>
      </c>
      <c r="Q52" s="43">
        <f>IF(Q$4&gt;=ins_start,Q7*(ins_eligible-P51)*ins_uptake,0)</f>
        <v/>
      </c>
      <c r="R52" s="43">
        <f>IF(R$4&gt;=ins_start,R7*(ins_eligible-Q51)*ins_uptake,0)</f>
        <v/>
      </c>
      <c r="S52" s="43">
        <f>IF(S$4&gt;=ins_start,S7*(ins_eligible-R51)*ins_uptake,0)</f>
        <v/>
      </c>
      <c r="T52" s="43">
        <f>IF(T$4&gt;=ins_start,T7*(ins_eligible-S51)*ins_uptake,0)</f>
        <v/>
      </c>
      <c r="U52" s="43">
        <f>IF(U$4&gt;=ins_start,U7*(ins_eligible-T51)*ins_uptake,0)</f>
        <v/>
      </c>
      <c r="V52" s="43">
        <f>IF(V$4&gt;=ins_start,V7*(ins_eligible-U51)*ins_uptake,0)</f>
        <v/>
      </c>
      <c r="W52" s="43">
        <f>IF(W$4&gt;=ins_start,W7*(ins_eligible-V51)*ins_uptake,0)</f>
        <v/>
      </c>
      <c r="X52" s="43">
        <f>IF(X$4&gt;=ins_start,X7*(ins_eligible-W51)*ins_uptake,0)</f>
        <v/>
      </c>
      <c r="Y52" s="43">
        <f>IF(Y$4&gt;=ins_start,Y7*(ins_eligible-X51)*ins_uptake,0)</f>
        <v/>
      </c>
      <c r="Z52" s="43">
        <f>IF(Z$4&gt;=ins_start,Z7*(ins_eligible-Y51)*ins_uptake,0)</f>
        <v/>
      </c>
      <c r="AA52" s="43">
        <f>IF(AA$4&gt;=ins_start,AA7*(ins_eligible-Z51)*ins_uptake,0)</f>
        <v/>
      </c>
      <c r="AB52" s="43">
        <f>IF(AB$4&gt;=ins_start,AB7*(ins_eligible-AA51)*ins_uptake,0)</f>
        <v/>
      </c>
      <c r="AC52" s="43">
        <f>IF(AC$4&gt;=ins_start,AC7*(ins_eligible-AB51)*ins_uptake,0)</f>
        <v/>
      </c>
      <c r="AD52" s="43">
        <f>IF(AD$4&gt;=ins_start,AD7*(ins_eligible-AC51)*ins_uptake,0)</f>
        <v/>
      </c>
      <c r="AE52" s="43">
        <f>IF(AE$4&gt;=ins_start,AE7*(ins_eligible-AD51)*ins_uptake,0)</f>
        <v/>
      </c>
      <c r="AF52" s="43">
        <f>IF(AF$4&gt;=ins_start,AF7*(ins_eligible-AE51)*ins_uptake,0)</f>
        <v/>
      </c>
      <c r="AG52" s="43">
        <f>IF(AG$4&gt;=ins_start,AG7*(ins_eligible-AF51)*ins_uptake,0)</f>
        <v/>
      </c>
      <c r="AH52" s="43">
        <f>IF(AH$4&gt;=ins_start,AH7*(ins_eligible-AG51)*ins_uptake,0)</f>
        <v/>
      </c>
      <c r="AI52" s="43">
        <f>IF(AI$4&gt;=ins_start,AI7*(ins_eligible-AH51)*ins_uptake,0)</f>
        <v/>
      </c>
      <c r="AJ52" s="43">
        <f>IF(AJ$4&gt;=ins_start,AJ7*(ins_eligible-AI51)*ins_uptake,0)</f>
        <v/>
      </c>
      <c r="AK52" s="43">
        <f>IF(AK$4&gt;=ins_start,AK7*(ins_eligible-AJ51)*ins_uptake,0)</f>
        <v/>
      </c>
      <c r="AL52" s="43">
        <f>IF(AL$4&gt;=ins_start,AL7*(ins_eligible-AK51)*ins_uptake,0)</f>
        <v/>
      </c>
      <c r="AM52" s="43">
        <f>IF(AM$4&gt;=ins_start,AM7*(ins_eligible-AL51)*ins_uptake,0)</f>
        <v/>
      </c>
      <c r="AN52" s="43">
        <f>IF(AN$4&gt;=ins_start,AN7*(ins_eligible-AM51)*ins_uptake,0)</f>
        <v/>
      </c>
      <c r="AO52" s="43">
        <f>IF(AO$4&gt;=ins_start,AO7*(ins_eligible-AN51)*ins_uptake,0)</f>
        <v/>
      </c>
      <c r="AP52" s="43">
        <f>IF(AP$4&gt;=ins_start,AP7*(ins_eligible-AO51)*ins_uptake,0)</f>
        <v/>
      </c>
      <c r="AQ52" s="43">
        <f>IF(AQ$4&gt;=ins_start,AQ7*(ins_eligible-AP51)*ins_uptake,0)</f>
        <v/>
      </c>
      <c r="AR52" s="43">
        <f>IF(AR$4&gt;=ins_start,AR7*(ins_eligible-AQ51)*ins_uptake,0)</f>
        <v/>
      </c>
      <c r="AS52" s="43">
        <f>IF(AS$4&gt;=ins_start,AS7*(ins_eligible-AR51)*ins_uptake,0)</f>
        <v/>
      </c>
      <c r="AT52" s="43">
        <f>IF(AT$4&gt;=ins_start,AT7*(ins_eligible-AS51)*ins_uptake,0)</f>
        <v/>
      </c>
      <c r="AU52" s="43">
        <f>IF(AU$4&gt;=ins_start,AU7*(ins_eligible-AT51)*ins_uptake,0)</f>
        <v/>
      </c>
      <c r="AV52" s="43">
        <f>IF(AV$4&gt;=ins_start,AV7*(ins_eligible-AU51)*ins_uptake,0)</f>
        <v/>
      </c>
      <c r="AW52" s="43">
        <f>IF(AW$4&gt;=ins_start,AW7*(ins_eligible-AV51)*ins_uptake,0)</f>
        <v/>
      </c>
      <c r="AX52" s="43">
        <f>IF(AX$4&gt;=ins_start,AX7*(ins_eligible-AW51)*ins_uptake,0)</f>
        <v/>
      </c>
      <c r="AY52" s="43">
        <f>IF(AY$4&gt;=ins_start,AY7*(ins_eligible-AX51)*ins_uptake,0)</f>
        <v/>
      </c>
      <c r="AZ52" s="43">
        <f>IF(AZ$4&gt;=ins_start,AZ7*(ins_eligible-AY51)*ins_uptake,0)</f>
        <v/>
      </c>
      <c r="BA52" s="43">
        <f>IF(BA$4&gt;=ins_start,BA7*(ins_eligible-AZ51)*ins_uptake,0)</f>
        <v/>
      </c>
      <c r="BB52" s="43">
        <f>IF(BB$4&gt;=ins_start,BB7*(ins_eligible-BA51)*ins_uptake,0)</f>
        <v/>
      </c>
      <c r="BC52" s="43">
        <f>IF(BC$4&gt;=ins_start,BC7*(ins_eligible-BB51)*ins_uptake,0)</f>
        <v/>
      </c>
      <c r="BD52" s="43">
        <f>IF(BD$4&gt;=ins_start,BD7*(ins_eligible-BC51)*ins_uptake,0)</f>
        <v/>
      </c>
      <c r="BE52" s="43">
        <f>IF(BE$4&gt;=ins_start,BE7*(ins_eligible-BD51)*ins_uptake,0)</f>
        <v/>
      </c>
      <c r="BF52" s="43">
        <f>IF(BF$4&gt;=ins_start,BF7*(ins_eligible-BE51)*ins_uptake,0)</f>
        <v/>
      </c>
      <c r="BG52" s="43">
        <f>IF(BG$4&gt;=ins_start,BG7*(ins_eligible-BF51)*ins_uptake,0)</f>
        <v/>
      </c>
      <c r="BH52" s="43">
        <f>IF(BH$4&gt;=ins_start,BH7*(ins_eligible-BG51)*ins_uptake,0)</f>
        <v/>
      </c>
      <c r="BI52" s="43">
        <f>IF(BI$4&gt;=ins_start,BI7*(ins_eligible-BH51)*ins_uptake,0)</f>
        <v/>
      </c>
      <c r="BJ52" s="43">
        <f>IF(BJ$4&gt;=ins_start,BJ7*(ins_eligible-BI51)*ins_uptake,0)</f>
        <v/>
      </c>
      <c r="BK52" s="43">
        <f>IF(BK$4&gt;=ins_start,BK7*(ins_eligible-BJ51)*ins_uptake,0)</f>
        <v/>
      </c>
    </row>
    <row r="53">
      <c r="A53" s="25" t="inlineStr">
        <is>
          <t>Renewed policies</t>
        </is>
      </c>
      <c r="B53" s="28" t="inlineStr">
        <is>
          <t>policies</t>
        </is>
      </c>
      <c r="C53" s="42" t="n">
        <v>0</v>
      </c>
      <c r="D53" s="43">
        <f>IF(D$4&gt;12,(INDEX($C$52:C$52,1,D$4-12+1)+INDEX($C$53:C$53,1,D$4-12+1))*ins_persist,0)</f>
        <v/>
      </c>
      <c r="E53" s="43">
        <f>IF(E$4&gt;12,(INDEX($C$52:D$52,1,E$4-12+1)+INDEX($C$53:D$53,1,E$4-12+1))*ins_persist,0)</f>
        <v/>
      </c>
      <c r="F53" s="43">
        <f>IF(F$4&gt;12,(INDEX($C$52:E$52,1,F$4-12+1)+INDEX($C$53:E$53,1,F$4-12+1))*ins_persist,0)</f>
        <v/>
      </c>
      <c r="G53" s="43">
        <f>IF(G$4&gt;12,(INDEX($C$52:F$52,1,G$4-12+1)+INDEX($C$53:F$53,1,G$4-12+1))*ins_persist,0)</f>
        <v/>
      </c>
      <c r="H53" s="43">
        <f>IF(H$4&gt;12,(INDEX($C$52:G$52,1,H$4-12+1)+INDEX($C$53:G$53,1,H$4-12+1))*ins_persist,0)</f>
        <v/>
      </c>
      <c r="I53" s="43">
        <f>IF(I$4&gt;12,(INDEX($C$52:H$52,1,I$4-12+1)+INDEX($C$53:H$53,1,I$4-12+1))*ins_persist,0)</f>
        <v/>
      </c>
      <c r="J53" s="43">
        <f>IF(J$4&gt;12,(INDEX($C$52:I$52,1,J$4-12+1)+INDEX($C$53:I$53,1,J$4-12+1))*ins_persist,0)</f>
        <v/>
      </c>
      <c r="K53" s="43">
        <f>IF(K$4&gt;12,(INDEX($C$52:J$52,1,K$4-12+1)+INDEX($C$53:J$53,1,K$4-12+1))*ins_persist,0)</f>
        <v/>
      </c>
      <c r="L53" s="43">
        <f>IF(L$4&gt;12,(INDEX($C$52:K$52,1,L$4-12+1)+INDEX($C$53:K$53,1,L$4-12+1))*ins_persist,0)</f>
        <v/>
      </c>
      <c r="M53" s="43">
        <f>IF(M$4&gt;12,(INDEX($C$52:L$52,1,M$4-12+1)+INDEX($C$53:L$53,1,M$4-12+1))*ins_persist,0)</f>
        <v/>
      </c>
      <c r="N53" s="43">
        <f>IF(N$4&gt;12,(INDEX($C$52:M$52,1,N$4-12+1)+INDEX($C$53:M$53,1,N$4-12+1))*ins_persist,0)</f>
        <v/>
      </c>
      <c r="O53" s="43">
        <f>IF(O$4&gt;12,(INDEX($C$52:N$52,1,O$4-12+1)+INDEX($C$53:N$53,1,O$4-12+1))*ins_persist,0)</f>
        <v/>
      </c>
      <c r="P53" s="43">
        <f>IF(P$4&gt;12,(INDEX($C$52:O$52,1,P$4-12+1)+INDEX($C$53:O$53,1,P$4-12+1))*ins_persist,0)</f>
        <v/>
      </c>
      <c r="Q53" s="43">
        <f>IF(Q$4&gt;12,(INDEX($C$52:P$52,1,Q$4-12+1)+INDEX($C$53:P$53,1,Q$4-12+1))*ins_persist,0)</f>
        <v/>
      </c>
      <c r="R53" s="43">
        <f>IF(R$4&gt;12,(INDEX($C$52:Q$52,1,R$4-12+1)+INDEX($C$53:Q$53,1,R$4-12+1))*ins_persist,0)</f>
        <v/>
      </c>
      <c r="S53" s="43">
        <f>IF(S$4&gt;12,(INDEX($C$52:R$52,1,S$4-12+1)+INDEX($C$53:R$53,1,S$4-12+1))*ins_persist,0)</f>
        <v/>
      </c>
      <c r="T53" s="43">
        <f>IF(T$4&gt;12,(INDEX($C$52:S$52,1,T$4-12+1)+INDEX($C$53:S$53,1,T$4-12+1))*ins_persist,0)</f>
        <v/>
      </c>
      <c r="U53" s="43">
        <f>IF(U$4&gt;12,(INDEX($C$52:T$52,1,U$4-12+1)+INDEX($C$53:T$53,1,U$4-12+1))*ins_persist,0)</f>
        <v/>
      </c>
      <c r="V53" s="43">
        <f>IF(V$4&gt;12,(INDEX($C$52:U$52,1,V$4-12+1)+INDEX($C$53:U$53,1,V$4-12+1))*ins_persist,0)</f>
        <v/>
      </c>
      <c r="W53" s="43">
        <f>IF(W$4&gt;12,(INDEX($C$52:V$52,1,W$4-12+1)+INDEX($C$53:V$53,1,W$4-12+1))*ins_persist,0)</f>
        <v/>
      </c>
      <c r="X53" s="43">
        <f>IF(X$4&gt;12,(INDEX($C$52:W$52,1,X$4-12+1)+INDEX($C$53:W$53,1,X$4-12+1))*ins_persist,0)</f>
        <v/>
      </c>
      <c r="Y53" s="43">
        <f>IF(Y$4&gt;12,(INDEX($C$52:X$52,1,Y$4-12+1)+INDEX($C$53:X$53,1,Y$4-12+1))*ins_persist,0)</f>
        <v/>
      </c>
      <c r="Z53" s="43">
        <f>IF(Z$4&gt;12,(INDEX($C$52:Y$52,1,Z$4-12+1)+INDEX($C$53:Y$53,1,Z$4-12+1))*ins_persist,0)</f>
        <v/>
      </c>
      <c r="AA53" s="43">
        <f>IF(AA$4&gt;12,(INDEX($C$52:Z$52,1,AA$4-12+1)+INDEX($C$53:Z$53,1,AA$4-12+1))*ins_persist,0)</f>
        <v/>
      </c>
      <c r="AB53" s="43">
        <f>IF(AB$4&gt;12,(INDEX($C$52:AA$52,1,AB$4-12+1)+INDEX($C$53:AA$53,1,AB$4-12+1))*ins_persist,0)</f>
        <v/>
      </c>
      <c r="AC53" s="43">
        <f>IF(AC$4&gt;12,(INDEX($C$52:AB$52,1,AC$4-12+1)+INDEX($C$53:AB$53,1,AC$4-12+1))*ins_persist,0)</f>
        <v/>
      </c>
      <c r="AD53" s="43">
        <f>IF(AD$4&gt;12,(INDEX($C$52:AC$52,1,AD$4-12+1)+INDEX($C$53:AC$53,1,AD$4-12+1))*ins_persist,0)</f>
        <v/>
      </c>
      <c r="AE53" s="43">
        <f>IF(AE$4&gt;12,(INDEX($C$52:AD$52,1,AE$4-12+1)+INDEX($C$53:AD$53,1,AE$4-12+1))*ins_persist,0)</f>
        <v/>
      </c>
      <c r="AF53" s="43">
        <f>IF(AF$4&gt;12,(INDEX($C$52:AE$52,1,AF$4-12+1)+INDEX($C$53:AE$53,1,AF$4-12+1))*ins_persist,0)</f>
        <v/>
      </c>
      <c r="AG53" s="43">
        <f>IF(AG$4&gt;12,(INDEX($C$52:AF$52,1,AG$4-12+1)+INDEX($C$53:AF$53,1,AG$4-12+1))*ins_persist,0)</f>
        <v/>
      </c>
      <c r="AH53" s="43">
        <f>IF(AH$4&gt;12,(INDEX($C$52:AG$52,1,AH$4-12+1)+INDEX($C$53:AG$53,1,AH$4-12+1))*ins_persist,0)</f>
        <v/>
      </c>
      <c r="AI53" s="43">
        <f>IF(AI$4&gt;12,(INDEX($C$52:AH$52,1,AI$4-12+1)+INDEX($C$53:AH$53,1,AI$4-12+1))*ins_persist,0)</f>
        <v/>
      </c>
      <c r="AJ53" s="43">
        <f>IF(AJ$4&gt;12,(INDEX($C$52:AI$52,1,AJ$4-12+1)+INDEX($C$53:AI$53,1,AJ$4-12+1))*ins_persist,0)</f>
        <v/>
      </c>
      <c r="AK53" s="43">
        <f>IF(AK$4&gt;12,(INDEX($C$52:AJ$52,1,AK$4-12+1)+INDEX($C$53:AJ$53,1,AK$4-12+1))*ins_persist,0)</f>
        <v/>
      </c>
      <c r="AL53" s="43">
        <f>IF(AL$4&gt;12,(INDEX($C$52:AK$52,1,AL$4-12+1)+INDEX($C$53:AK$53,1,AL$4-12+1))*ins_persist,0)</f>
        <v/>
      </c>
      <c r="AM53" s="43">
        <f>IF(AM$4&gt;12,(INDEX($C$52:AL$52,1,AM$4-12+1)+INDEX($C$53:AL$53,1,AM$4-12+1))*ins_persist,0)</f>
        <v/>
      </c>
      <c r="AN53" s="43">
        <f>IF(AN$4&gt;12,(INDEX($C$52:AM$52,1,AN$4-12+1)+INDEX($C$53:AM$53,1,AN$4-12+1))*ins_persist,0)</f>
        <v/>
      </c>
      <c r="AO53" s="43">
        <f>IF(AO$4&gt;12,(INDEX($C$52:AN$52,1,AO$4-12+1)+INDEX($C$53:AN$53,1,AO$4-12+1))*ins_persist,0)</f>
        <v/>
      </c>
      <c r="AP53" s="43">
        <f>IF(AP$4&gt;12,(INDEX($C$52:AO$52,1,AP$4-12+1)+INDEX($C$53:AO$53,1,AP$4-12+1))*ins_persist,0)</f>
        <v/>
      </c>
      <c r="AQ53" s="43">
        <f>IF(AQ$4&gt;12,(INDEX($C$52:AP$52,1,AQ$4-12+1)+INDEX($C$53:AP$53,1,AQ$4-12+1))*ins_persist,0)</f>
        <v/>
      </c>
      <c r="AR53" s="43">
        <f>IF(AR$4&gt;12,(INDEX($C$52:AQ$52,1,AR$4-12+1)+INDEX($C$53:AQ$53,1,AR$4-12+1))*ins_persist,0)</f>
        <v/>
      </c>
      <c r="AS53" s="43">
        <f>IF(AS$4&gt;12,(INDEX($C$52:AR$52,1,AS$4-12+1)+INDEX($C$53:AR$53,1,AS$4-12+1))*ins_persist,0)</f>
        <v/>
      </c>
      <c r="AT53" s="43">
        <f>IF(AT$4&gt;12,(INDEX($C$52:AS$52,1,AT$4-12+1)+INDEX($C$53:AS$53,1,AT$4-12+1))*ins_persist,0)</f>
        <v/>
      </c>
      <c r="AU53" s="43">
        <f>IF(AU$4&gt;12,(INDEX($C$52:AT$52,1,AU$4-12+1)+INDEX($C$53:AT$53,1,AU$4-12+1))*ins_persist,0)</f>
        <v/>
      </c>
      <c r="AV53" s="43">
        <f>IF(AV$4&gt;12,(INDEX($C$52:AU$52,1,AV$4-12+1)+INDEX($C$53:AU$53,1,AV$4-12+1))*ins_persist,0)</f>
        <v/>
      </c>
      <c r="AW53" s="43">
        <f>IF(AW$4&gt;12,(INDEX($C$52:AV$52,1,AW$4-12+1)+INDEX($C$53:AV$53,1,AW$4-12+1))*ins_persist,0)</f>
        <v/>
      </c>
      <c r="AX53" s="43">
        <f>IF(AX$4&gt;12,(INDEX($C$52:AW$52,1,AX$4-12+1)+INDEX($C$53:AW$53,1,AX$4-12+1))*ins_persist,0)</f>
        <v/>
      </c>
      <c r="AY53" s="43">
        <f>IF(AY$4&gt;12,(INDEX($C$52:AX$52,1,AY$4-12+1)+INDEX($C$53:AX$53,1,AY$4-12+1))*ins_persist,0)</f>
        <v/>
      </c>
      <c r="AZ53" s="43">
        <f>IF(AZ$4&gt;12,(INDEX($C$52:AY$52,1,AZ$4-12+1)+INDEX($C$53:AY$53,1,AZ$4-12+1))*ins_persist,0)</f>
        <v/>
      </c>
      <c r="BA53" s="43">
        <f>IF(BA$4&gt;12,(INDEX($C$52:AZ$52,1,BA$4-12+1)+INDEX($C$53:AZ$53,1,BA$4-12+1))*ins_persist,0)</f>
        <v/>
      </c>
      <c r="BB53" s="43">
        <f>IF(BB$4&gt;12,(INDEX($C$52:BA$52,1,BB$4-12+1)+INDEX($C$53:BA$53,1,BB$4-12+1))*ins_persist,0)</f>
        <v/>
      </c>
      <c r="BC53" s="43">
        <f>IF(BC$4&gt;12,(INDEX($C$52:BB$52,1,BC$4-12+1)+INDEX($C$53:BB$53,1,BC$4-12+1))*ins_persist,0)</f>
        <v/>
      </c>
      <c r="BD53" s="43">
        <f>IF(BD$4&gt;12,(INDEX($C$52:BC$52,1,BD$4-12+1)+INDEX($C$53:BC$53,1,BD$4-12+1))*ins_persist,0)</f>
        <v/>
      </c>
      <c r="BE53" s="43">
        <f>IF(BE$4&gt;12,(INDEX($C$52:BD$52,1,BE$4-12+1)+INDEX($C$53:BD$53,1,BE$4-12+1))*ins_persist,0)</f>
        <v/>
      </c>
      <c r="BF53" s="43">
        <f>IF(BF$4&gt;12,(INDEX($C$52:BE$52,1,BF$4-12+1)+INDEX($C$53:BE$53,1,BF$4-12+1))*ins_persist,0)</f>
        <v/>
      </c>
      <c r="BG53" s="43">
        <f>IF(BG$4&gt;12,(INDEX($C$52:BF$52,1,BG$4-12+1)+INDEX($C$53:BF$53,1,BG$4-12+1))*ins_persist,0)</f>
        <v/>
      </c>
      <c r="BH53" s="43">
        <f>IF(BH$4&gt;12,(INDEX($C$52:BG$52,1,BH$4-12+1)+INDEX($C$53:BG$53,1,BH$4-12+1))*ins_persist,0)</f>
        <v/>
      </c>
      <c r="BI53" s="43">
        <f>IF(BI$4&gt;12,(INDEX($C$52:BH$52,1,BI$4-12+1)+INDEX($C$53:BH$53,1,BI$4-12+1))*ins_persist,0)</f>
        <v/>
      </c>
      <c r="BJ53" s="43">
        <f>IF(BJ$4&gt;12,(INDEX($C$52:BI$52,1,BJ$4-12+1)+INDEX($C$53:BI$53,1,BJ$4-12+1))*ins_persist,0)</f>
        <v/>
      </c>
      <c r="BK53" s="43">
        <f>IF(BK$4&gt;12,(INDEX($C$52:BJ$52,1,BK$4-12+1)+INDEX($C$53:BJ$53,1,BK$4-12+1))*ins_persist,0)</f>
        <v/>
      </c>
    </row>
    <row r="54">
      <c r="A54" s="6" t="inlineStr">
        <is>
          <t>Revenue</t>
        </is>
      </c>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c r="AA54" s="7" t="n"/>
      <c r="AB54" s="7" t="n"/>
      <c r="AC54" s="7" t="n"/>
      <c r="AD54" s="7" t="n"/>
      <c r="AE54" s="7" t="n"/>
      <c r="AF54" s="7" t="n"/>
      <c r="AG54" s="7" t="n"/>
      <c r="AH54" s="7" t="n"/>
      <c r="AI54" s="7" t="n"/>
      <c r="AJ54" s="7" t="n"/>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7" t="n"/>
    </row>
    <row r="55">
      <c r="A55" s="25" t="inlineStr">
        <is>
          <t>Liquid-fund trail commission</t>
        </is>
      </c>
      <c r="B55" s="28" t="inlineStr">
        <is>
          <t>₹</t>
        </is>
      </c>
      <c r="C55" s="30" t="n">
        <v>0</v>
      </c>
      <c r="D55" s="32">
        <f>D21*trail_liquid/12</f>
        <v/>
      </c>
      <c r="E55" s="32">
        <f>E21*trail_liquid/12</f>
        <v/>
      </c>
      <c r="F55" s="32">
        <f>F21*trail_liquid/12</f>
        <v/>
      </c>
      <c r="G55" s="32">
        <f>G21*trail_liquid/12</f>
        <v/>
      </c>
      <c r="H55" s="32">
        <f>H21*trail_liquid/12</f>
        <v/>
      </c>
      <c r="I55" s="32">
        <f>I21*trail_liquid/12</f>
        <v/>
      </c>
      <c r="J55" s="32">
        <f>J21*trail_liquid/12</f>
        <v/>
      </c>
      <c r="K55" s="32">
        <f>K21*trail_liquid/12</f>
        <v/>
      </c>
      <c r="L55" s="32">
        <f>L21*trail_liquid/12</f>
        <v/>
      </c>
      <c r="M55" s="32">
        <f>M21*trail_liquid/12</f>
        <v/>
      </c>
      <c r="N55" s="32">
        <f>N21*trail_liquid/12</f>
        <v/>
      </c>
      <c r="O55" s="32">
        <f>O21*trail_liquid/12</f>
        <v/>
      </c>
      <c r="P55" s="32">
        <f>P21*trail_liquid/12</f>
        <v/>
      </c>
      <c r="Q55" s="32">
        <f>Q21*trail_liquid/12</f>
        <v/>
      </c>
      <c r="R55" s="32">
        <f>R21*trail_liquid/12</f>
        <v/>
      </c>
      <c r="S55" s="32">
        <f>S21*trail_liquid/12</f>
        <v/>
      </c>
      <c r="T55" s="32">
        <f>T21*trail_liquid/12</f>
        <v/>
      </c>
      <c r="U55" s="32">
        <f>U21*trail_liquid/12</f>
        <v/>
      </c>
      <c r="V55" s="32">
        <f>V21*trail_liquid/12</f>
        <v/>
      </c>
      <c r="W55" s="32">
        <f>W21*trail_liquid/12</f>
        <v/>
      </c>
      <c r="X55" s="32">
        <f>X21*trail_liquid/12</f>
        <v/>
      </c>
      <c r="Y55" s="32">
        <f>Y21*trail_liquid/12</f>
        <v/>
      </c>
      <c r="Z55" s="32">
        <f>Z21*trail_liquid/12</f>
        <v/>
      </c>
      <c r="AA55" s="32">
        <f>AA21*trail_liquid/12</f>
        <v/>
      </c>
      <c r="AB55" s="32">
        <f>AB21*trail_liquid/12</f>
        <v/>
      </c>
      <c r="AC55" s="32">
        <f>AC21*trail_liquid/12</f>
        <v/>
      </c>
      <c r="AD55" s="32">
        <f>AD21*trail_liquid/12</f>
        <v/>
      </c>
      <c r="AE55" s="32">
        <f>AE21*trail_liquid/12</f>
        <v/>
      </c>
      <c r="AF55" s="32">
        <f>AF21*trail_liquid/12</f>
        <v/>
      </c>
      <c r="AG55" s="32">
        <f>AG21*trail_liquid/12</f>
        <v/>
      </c>
      <c r="AH55" s="32">
        <f>AH21*trail_liquid/12</f>
        <v/>
      </c>
      <c r="AI55" s="32">
        <f>AI21*trail_liquid/12</f>
        <v/>
      </c>
      <c r="AJ55" s="32">
        <f>AJ21*trail_liquid/12</f>
        <v/>
      </c>
      <c r="AK55" s="32">
        <f>AK21*trail_liquid/12</f>
        <v/>
      </c>
      <c r="AL55" s="32">
        <f>AL21*trail_liquid/12</f>
        <v/>
      </c>
      <c r="AM55" s="32">
        <f>AM21*trail_liquid/12</f>
        <v/>
      </c>
      <c r="AN55" s="32">
        <f>AN21*trail_liquid/12</f>
        <v/>
      </c>
      <c r="AO55" s="32">
        <f>AO21*trail_liquid/12</f>
        <v/>
      </c>
      <c r="AP55" s="32">
        <f>AP21*trail_liquid/12</f>
        <v/>
      </c>
      <c r="AQ55" s="32">
        <f>AQ21*trail_liquid/12</f>
        <v/>
      </c>
      <c r="AR55" s="32">
        <f>AR21*trail_liquid/12</f>
        <v/>
      </c>
      <c r="AS55" s="32">
        <f>AS21*trail_liquid/12</f>
        <v/>
      </c>
      <c r="AT55" s="32">
        <f>AT21*trail_liquid/12</f>
        <v/>
      </c>
      <c r="AU55" s="32">
        <f>AU21*trail_liquid/12</f>
        <v/>
      </c>
      <c r="AV55" s="32">
        <f>AV21*trail_liquid/12</f>
        <v/>
      </c>
      <c r="AW55" s="32">
        <f>AW21*trail_liquid/12</f>
        <v/>
      </c>
      <c r="AX55" s="32">
        <f>AX21*trail_liquid/12</f>
        <v/>
      </c>
      <c r="AY55" s="32">
        <f>AY21*trail_liquid/12</f>
        <v/>
      </c>
      <c r="AZ55" s="32">
        <f>AZ21*trail_liquid/12</f>
        <v/>
      </c>
      <c r="BA55" s="32">
        <f>BA21*trail_liquid/12</f>
        <v/>
      </c>
      <c r="BB55" s="32">
        <f>BB21*trail_liquid/12</f>
        <v/>
      </c>
      <c r="BC55" s="32">
        <f>BC21*trail_liquid/12</f>
        <v/>
      </c>
      <c r="BD55" s="32">
        <f>BD21*trail_liquid/12</f>
        <v/>
      </c>
      <c r="BE55" s="32">
        <f>BE21*trail_liquid/12</f>
        <v/>
      </c>
      <c r="BF55" s="32">
        <f>BF21*trail_liquid/12</f>
        <v/>
      </c>
      <c r="BG55" s="32">
        <f>BG21*trail_liquid/12</f>
        <v/>
      </c>
      <c r="BH55" s="32">
        <f>BH21*trail_liquid/12</f>
        <v/>
      </c>
      <c r="BI55" s="32">
        <f>BI21*trail_liquid/12</f>
        <v/>
      </c>
      <c r="BJ55" s="32">
        <f>BJ21*trail_liquid/12</f>
        <v/>
      </c>
      <c r="BK55" s="32">
        <f>BK21*trail_liquid/12</f>
        <v/>
      </c>
    </row>
    <row r="56">
      <c r="A56" s="25" t="inlineStr">
        <is>
          <t>FD distribution fee</t>
        </is>
      </c>
      <c r="B56" s="28" t="inlineStr">
        <is>
          <t>₹</t>
        </is>
      </c>
      <c r="C56" s="30" t="n">
        <v>0</v>
      </c>
      <c r="D56" s="32">
        <f>D20*fd_fee/12</f>
        <v/>
      </c>
      <c r="E56" s="32">
        <f>E20*fd_fee/12</f>
        <v/>
      </c>
      <c r="F56" s="32">
        <f>F20*fd_fee/12</f>
        <v/>
      </c>
      <c r="G56" s="32">
        <f>G20*fd_fee/12</f>
        <v/>
      </c>
      <c r="H56" s="32">
        <f>H20*fd_fee/12</f>
        <v/>
      </c>
      <c r="I56" s="32">
        <f>I20*fd_fee/12</f>
        <v/>
      </c>
      <c r="J56" s="32">
        <f>J20*fd_fee/12</f>
        <v/>
      </c>
      <c r="K56" s="32">
        <f>K20*fd_fee/12</f>
        <v/>
      </c>
      <c r="L56" s="32">
        <f>L20*fd_fee/12</f>
        <v/>
      </c>
      <c r="M56" s="32">
        <f>M20*fd_fee/12</f>
        <v/>
      </c>
      <c r="N56" s="32">
        <f>N20*fd_fee/12</f>
        <v/>
      </c>
      <c r="O56" s="32">
        <f>O20*fd_fee/12</f>
        <v/>
      </c>
      <c r="P56" s="32">
        <f>P20*fd_fee/12</f>
        <v/>
      </c>
      <c r="Q56" s="32">
        <f>Q20*fd_fee/12</f>
        <v/>
      </c>
      <c r="R56" s="32">
        <f>R20*fd_fee/12</f>
        <v/>
      </c>
      <c r="S56" s="32">
        <f>S20*fd_fee/12</f>
        <v/>
      </c>
      <c r="T56" s="32">
        <f>T20*fd_fee/12</f>
        <v/>
      </c>
      <c r="U56" s="32">
        <f>U20*fd_fee/12</f>
        <v/>
      </c>
      <c r="V56" s="32">
        <f>V20*fd_fee/12</f>
        <v/>
      </c>
      <c r="W56" s="32">
        <f>W20*fd_fee/12</f>
        <v/>
      </c>
      <c r="X56" s="32">
        <f>X20*fd_fee/12</f>
        <v/>
      </c>
      <c r="Y56" s="32">
        <f>Y20*fd_fee/12</f>
        <v/>
      </c>
      <c r="Z56" s="32">
        <f>Z20*fd_fee/12</f>
        <v/>
      </c>
      <c r="AA56" s="32">
        <f>AA20*fd_fee/12</f>
        <v/>
      </c>
      <c r="AB56" s="32">
        <f>AB20*fd_fee/12</f>
        <v/>
      </c>
      <c r="AC56" s="32">
        <f>AC20*fd_fee/12</f>
        <v/>
      </c>
      <c r="AD56" s="32">
        <f>AD20*fd_fee/12</f>
        <v/>
      </c>
      <c r="AE56" s="32">
        <f>AE20*fd_fee/12</f>
        <v/>
      </c>
      <c r="AF56" s="32">
        <f>AF20*fd_fee/12</f>
        <v/>
      </c>
      <c r="AG56" s="32">
        <f>AG20*fd_fee/12</f>
        <v/>
      </c>
      <c r="AH56" s="32">
        <f>AH20*fd_fee/12</f>
        <v/>
      </c>
      <c r="AI56" s="32">
        <f>AI20*fd_fee/12</f>
        <v/>
      </c>
      <c r="AJ56" s="32">
        <f>AJ20*fd_fee/12</f>
        <v/>
      </c>
      <c r="AK56" s="32">
        <f>AK20*fd_fee/12</f>
        <v/>
      </c>
      <c r="AL56" s="32">
        <f>AL20*fd_fee/12</f>
        <v/>
      </c>
      <c r="AM56" s="32">
        <f>AM20*fd_fee/12</f>
        <v/>
      </c>
      <c r="AN56" s="32">
        <f>AN20*fd_fee/12</f>
        <v/>
      </c>
      <c r="AO56" s="32">
        <f>AO20*fd_fee/12</f>
        <v/>
      </c>
      <c r="AP56" s="32">
        <f>AP20*fd_fee/12</f>
        <v/>
      </c>
      <c r="AQ56" s="32">
        <f>AQ20*fd_fee/12</f>
        <v/>
      </c>
      <c r="AR56" s="32">
        <f>AR20*fd_fee/12</f>
        <v/>
      </c>
      <c r="AS56" s="32">
        <f>AS20*fd_fee/12</f>
        <v/>
      </c>
      <c r="AT56" s="32">
        <f>AT20*fd_fee/12</f>
        <v/>
      </c>
      <c r="AU56" s="32">
        <f>AU20*fd_fee/12</f>
        <v/>
      </c>
      <c r="AV56" s="32">
        <f>AV20*fd_fee/12</f>
        <v/>
      </c>
      <c r="AW56" s="32">
        <f>AW20*fd_fee/12</f>
        <v/>
      </c>
      <c r="AX56" s="32">
        <f>AX20*fd_fee/12</f>
        <v/>
      </c>
      <c r="AY56" s="32">
        <f>AY20*fd_fee/12</f>
        <v/>
      </c>
      <c r="AZ56" s="32">
        <f>AZ20*fd_fee/12</f>
        <v/>
      </c>
      <c r="BA56" s="32">
        <f>BA20*fd_fee/12</f>
        <v/>
      </c>
      <c r="BB56" s="32">
        <f>BB20*fd_fee/12</f>
        <v/>
      </c>
      <c r="BC56" s="32">
        <f>BC20*fd_fee/12</f>
        <v/>
      </c>
      <c r="BD56" s="32">
        <f>BD20*fd_fee/12</f>
        <v/>
      </c>
      <c r="BE56" s="32">
        <f>BE20*fd_fee/12</f>
        <v/>
      </c>
      <c r="BF56" s="32">
        <f>BF20*fd_fee/12</f>
        <v/>
      </c>
      <c r="BG56" s="32">
        <f>BG20*fd_fee/12</f>
        <v/>
      </c>
      <c r="BH56" s="32">
        <f>BH20*fd_fee/12</f>
        <v/>
      </c>
      <c r="BI56" s="32">
        <f>BI20*fd_fee/12</f>
        <v/>
      </c>
      <c r="BJ56" s="32">
        <f>BJ20*fd_fee/12</f>
        <v/>
      </c>
      <c r="BK56" s="32">
        <f>BK20*fd_fee/12</f>
        <v/>
      </c>
    </row>
    <row r="57">
      <c r="A57" s="25" t="inlineStr">
        <is>
          <t>Margin on digital gold bought (lever)</t>
        </is>
      </c>
      <c r="B57" s="28" t="inlineStr">
        <is>
          <t>₹</t>
        </is>
      </c>
      <c r="C57" s="30" t="n">
        <v>0</v>
      </c>
      <c r="D57" s="32">
        <f>D9*gold_on*gold_share*gold_margin</f>
        <v/>
      </c>
      <c r="E57" s="32">
        <f>E9*gold_on*gold_share*gold_margin</f>
        <v/>
      </c>
      <c r="F57" s="32">
        <f>F9*gold_on*gold_share*gold_margin</f>
        <v/>
      </c>
      <c r="G57" s="32">
        <f>G9*gold_on*gold_share*gold_margin</f>
        <v/>
      </c>
      <c r="H57" s="32">
        <f>H9*gold_on*gold_share*gold_margin</f>
        <v/>
      </c>
      <c r="I57" s="32">
        <f>I9*gold_on*gold_share*gold_margin</f>
        <v/>
      </c>
      <c r="J57" s="32">
        <f>J9*gold_on*gold_share*gold_margin</f>
        <v/>
      </c>
      <c r="K57" s="32">
        <f>K9*gold_on*gold_share*gold_margin</f>
        <v/>
      </c>
      <c r="L57" s="32">
        <f>L9*gold_on*gold_share*gold_margin</f>
        <v/>
      </c>
      <c r="M57" s="32">
        <f>M9*gold_on*gold_share*gold_margin</f>
        <v/>
      </c>
      <c r="N57" s="32">
        <f>N9*gold_on*gold_share*gold_margin</f>
        <v/>
      </c>
      <c r="O57" s="32">
        <f>O9*gold_on*gold_share*gold_margin</f>
        <v/>
      </c>
      <c r="P57" s="32">
        <f>P9*gold_on*gold_share*gold_margin</f>
        <v/>
      </c>
      <c r="Q57" s="32">
        <f>Q9*gold_on*gold_share*gold_margin</f>
        <v/>
      </c>
      <c r="R57" s="32">
        <f>R9*gold_on*gold_share*gold_margin</f>
        <v/>
      </c>
      <c r="S57" s="32">
        <f>S9*gold_on*gold_share*gold_margin</f>
        <v/>
      </c>
      <c r="T57" s="32">
        <f>T9*gold_on*gold_share*gold_margin</f>
        <v/>
      </c>
      <c r="U57" s="32">
        <f>U9*gold_on*gold_share*gold_margin</f>
        <v/>
      </c>
      <c r="V57" s="32">
        <f>V9*gold_on*gold_share*gold_margin</f>
        <v/>
      </c>
      <c r="W57" s="32">
        <f>W9*gold_on*gold_share*gold_margin</f>
        <v/>
      </c>
      <c r="X57" s="32">
        <f>X9*gold_on*gold_share*gold_margin</f>
        <v/>
      </c>
      <c r="Y57" s="32">
        <f>Y9*gold_on*gold_share*gold_margin</f>
        <v/>
      </c>
      <c r="Z57" s="32">
        <f>Z9*gold_on*gold_share*gold_margin</f>
        <v/>
      </c>
      <c r="AA57" s="32">
        <f>AA9*gold_on*gold_share*gold_margin</f>
        <v/>
      </c>
      <c r="AB57" s="32">
        <f>AB9*gold_on*gold_share*gold_margin</f>
        <v/>
      </c>
      <c r="AC57" s="32">
        <f>AC9*gold_on*gold_share*gold_margin</f>
        <v/>
      </c>
      <c r="AD57" s="32">
        <f>AD9*gold_on*gold_share*gold_margin</f>
        <v/>
      </c>
      <c r="AE57" s="32">
        <f>AE9*gold_on*gold_share*gold_margin</f>
        <v/>
      </c>
      <c r="AF57" s="32">
        <f>AF9*gold_on*gold_share*gold_margin</f>
        <v/>
      </c>
      <c r="AG57" s="32">
        <f>AG9*gold_on*gold_share*gold_margin</f>
        <v/>
      </c>
      <c r="AH57" s="32">
        <f>AH9*gold_on*gold_share*gold_margin</f>
        <v/>
      </c>
      <c r="AI57" s="32">
        <f>AI9*gold_on*gold_share*gold_margin</f>
        <v/>
      </c>
      <c r="AJ57" s="32">
        <f>AJ9*gold_on*gold_share*gold_margin</f>
        <v/>
      </c>
      <c r="AK57" s="32">
        <f>AK9*gold_on*gold_share*gold_margin</f>
        <v/>
      </c>
      <c r="AL57" s="32">
        <f>AL9*gold_on*gold_share*gold_margin</f>
        <v/>
      </c>
      <c r="AM57" s="32">
        <f>AM9*gold_on*gold_share*gold_margin</f>
        <v/>
      </c>
      <c r="AN57" s="32">
        <f>AN9*gold_on*gold_share*gold_margin</f>
        <v/>
      </c>
      <c r="AO57" s="32">
        <f>AO9*gold_on*gold_share*gold_margin</f>
        <v/>
      </c>
      <c r="AP57" s="32">
        <f>AP9*gold_on*gold_share*gold_margin</f>
        <v/>
      </c>
      <c r="AQ57" s="32">
        <f>AQ9*gold_on*gold_share*gold_margin</f>
        <v/>
      </c>
      <c r="AR57" s="32">
        <f>AR9*gold_on*gold_share*gold_margin</f>
        <v/>
      </c>
      <c r="AS57" s="32">
        <f>AS9*gold_on*gold_share*gold_margin</f>
        <v/>
      </c>
      <c r="AT57" s="32">
        <f>AT9*gold_on*gold_share*gold_margin</f>
        <v/>
      </c>
      <c r="AU57" s="32">
        <f>AU9*gold_on*gold_share*gold_margin</f>
        <v/>
      </c>
      <c r="AV57" s="32">
        <f>AV9*gold_on*gold_share*gold_margin</f>
        <v/>
      </c>
      <c r="AW57" s="32">
        <f>AW9*gold_on*gold_share*gold_margin</f>
        <v/>
      </c>
      <c r="AX57" s="32">
        <f>AX9*gold_on*gold_share*gold_margin</f>
        <v/>
      </c>
      <c r="AY57" s="32">
        <f>AY9*gold_on*gold_share*gold_margin</f>
        <v/>
      </c>
      <c r="AZ57" s="32">
        <f>AZ9*gold_on*gold_share*gold_margin</f>
        <v/>
      </c>
      <c r="BA57" s="32">
        <f>BA9*gold_on*gold_share*gold_margin</f>
        <v/>
      </c>
      <c r="BB57" s="32">
        <f>BB9*gold_on*gold_share*gold_margin</f>
        <v/>
      </c>
      <c r="BC57" s="32">
        <f>BC9*gold_on*gold_share*gold_margin</f>
        <v/>
      </c>
      <c r="BD57" s="32">
        <f>BD9*gold_on*gold_share*gold_margin</f>
        <v/>
      </c>
      <c r="BE57" s="32">
        <f>BE9*gold_on*gold_share*gold_margin</f>
        <v/>
      </c>
      <c r="BF57" s="32">
        <f>BF9*gold_on*gold_share*gold_margin</f>
        <v/>
      </c>
      <c r="BG57" s="32">
        <f>BG9*gold_on*gold_share*gold_margin</f>
        <v/>
      </c>
      <c r="BH57" s="32">
        <f>BH9*gold_on*gold_share*gold_margin</f>
        <v/>
      </c>
      <c r="BI57" s="32">
        <f>BI9*gold_on*gold_share*gold_margin</f>
        <v/>
      </c>
      <c r="BJ57" s="32">
        <f>BJ9*gold_on*gold_share*gold_margin</f>
        <v/>
      </c>
      <c r="BK57" s="32">
        <f>BK9*gold_on*gold_share*gold_margin</f>
        <v/>
      </c>
    </row>
    <row r="58">
      <c r="A58" s="25" t="inlineStr">
        <is>
          <t>Loans: sourcing fee, or net interest if own NBFC</t>
        </is>
      </c>
      <c r="B58" s="28" t="inlineStr">
        <is>
          <t>₹</t>
        </is>
      </c>
      <c r="C58" s="30" t="n">
        <v>0</v>
      </c>
      <c r="D58" s="32">
        <f>IF(nbfc_on=1,D36*(nbfc_int_r*(1-ladder_dpd90)+nbfc_proc_fee-nbfc_cof_r),D34*secured_fee+D35*(lsp_fee+dlg_on*dlg_fee_uplift))</f>
        <v/>
      </c>
      <c r="E58" s="32">
        <f>IF(nbfc_on=1,E36*(nbfc_int_r*(1-ladder_dpd90)+nbfc_proc_fee-nbfc_cof_r),E34*secured_fee+E35*(lsp_fee+dlg_on*dlg_fee_uplift))</f>
        <v/>
      </c>
      <c r="F58" s="32">
        <f>IF(nbfc_on=1,F36*(nbfc_int_r*(1-ladder_dpd90)+nbfc_proc_fee-nbfc_cof_r),F34*secured_fee+F35*(lsp_fee+dlg_on*dlg_fee_uplift))</f>
        <v/>
      </c>
      <c r="G58" s="32">
        <f>IF(nbfc_on=1,G36*(nbfc_int_r*(1-ladder_dpd90)+nbfc_proc_fee-nbfc_cof_r),G34*secured_fee+G35*(lsp_fee+dlg_on*dlg_fee_uplift))</f>
        <v/>
      </c>
      <c r="H58" s="32">
        <f>IF(nbfc_on=1,H36*(nbfc_int_r*(1-ladder_dpd90)+nbfc_proc_fee-nbfc_cof_r),H34*secured_fee+H35*(lsp_fee+dlg_on*dlg_fee_uplift))</f>
        <v/>
      </c>
      <c r="I58" s="32">
        <f>IF(nbfc_on=1,I36*(nbfc_int_r*(1-ladder_dpd90)+nbfc_proc_fee-nbfc_cof_r),I34*secured_fee+I35*(lsp_fee+dlg_on*dlg_fee_uplift))</f>
        <v/>
      </c>
      <c r="J58" s="32">
        <f>IF(nbfc_on=1,J36*(nbfc_int_r*(1-ladder_dpd90)+nbfc_proc_fee-nbfc_cof_r),J34*secured_fee+J35*(lsp_fee+dlg_on*dlg_fee_uplift))</f>
        <v/>
      </c>
      <c r="K58" s="32">
        <f>IF(nbfc_on=1,K36*(nbfc_int_r*(1-ladder_dpd90)+nbfc_proc_fee-nbfc_cof_r),K34*secured_fee+K35*(lsp_fee+dlg_on*dlg_fee_uplift))</f>
        <v/>
      </c>
      <c r="L58" s="32">
        <f>IF(nbfc_on=1,L36*(nbfc_int_r*(1-ladder_dpd90)+nbfc_proc_fee-nbfc_cof_r),L34*secured_fee+L35*(lsp_fee+dlg_on*dlg_fee_uplift))</f>
        <v/>
      </c>
      <c r="M58" s="32">
        <f>IF(nbfc_on=1,M36*(nbfc_int_r*(1-ladder_dpd90)+nbfc_proc_fee-nbfc_cof_r),M34*secured_fee+M35*(lsp_fee+dlg_on*dlg_fee_uplift))</f>
        <v/>
      </c>
      <c r="N58" s="32">
        <f>IF(nbfc_on=1,N36*(nbfc_int_r*(1-ladder_dpd90)+nbfc_proc_fee-nbfc_cof_r),N34*secured_fee+N35*(lsp_fee+dlg_on*dlg_fee_uplift))</f>
        <v/>
      </c>
      <c r="O58" s="32">
        <f>IF(nbfc_on=1,O36*(nbfc_int_r*(1-ladder_dpd90)+nbfc_proc_fee-nbfc_cof_r),O34*secured_fee+O35*(lsp_fee+dlg_on*dlg_fee_uplift))</f>
        <v/>
      </c>
      <c r="P58" s="32">
        <f>IF(nbfc_on=1,P36*(nbfc_int_r*(1-ladder_dpd90)+nbfc_proc_fee-nbfc_cof_r),P34*secured_fee+P35*(lsp_fee+dlg_on*dlg_fee_uplift))</f>
        <v/>
      </c>
      <c r="Q58" s="32">
        <f>IF(nbfc_on=1,Q36*(nbfc_int_r*(1-ladder_dpd90)+nbfc_proc_fee-nbfc_cof_r),Q34*secured_fee+Q35*(lsp_fee+dlg_on*dlg_fee_uplift))</f>
        <v/>
      </c>
      <c r="R58" s="32">
        <f>IF(nbfc_on=1,R36*(nbfc_int_r*(1-ladder_dpd90)+nbfc_proc_fee-nbfc_cof_r),R34*secured_fee+R35*(lsp_fee+dlg_on*dlg_fee_uplift))</f>
        <v/>
      </c>
      <c r="S58" s="32">
        <f>IF(nbfc_on=1,S36*(nbfc_int_r*(1-ladder_dpd90)+nbfc_proc_fee-nbfc_cof_r),S34*secured_fee+S35*(lsp_fee+dlg_on*dlg_fee_uplift))</f>
        <v/>
      </c>
      <c r="T58" s="32">
        <f>IF(nbfc_on=1,T36*(nbfc_int_r*(1-ladder_dpd90)+nbfc_proc_fee-nbfc_cof_r),T34*secured_fee+T35*(lsp_fee+dlg_on*dlg_fee_uplift))</f>
        <v/>
      </c>
      <c r="U58" s="32">
        <f>IF(nbfc_on=1,U36*(nbfc_int_r*(1-ladder_dpd90)+nbfc_proc_fee-nbfc_cof_r),U34*secured_fee+U35*(lsp_fee+dlg_on*dlg_fee_uplift))</f>
        <v/>
      </c>
      <c r="V58" s="32">
        <f>IF(nbfc_on=1,V36*(nbfc_int_r*(1-ladder_dpd90)+nbfc_proc_fee-nbfc_cof_r),V34*secured_fee+V35*(lsp_fee+dlg_on*dlg_fee_uplift))</f>
        <v/>
      </c>
      <c r="W58" s="32">
        <f>IF(nbfc_on=1,W36*(nbfc_int_r*(1-ladder_dpd90)+nbfc_proc_fee-nbfc_cof_r),W34*secured_fee+W35*(lsp_fee+dlg_on*dlg_fee_uplift))</f>
        <v/>
      </c>
      <c r="X58" s="32">
        <f>IF(nbfc_on=1,X36*(nbfc_int_r*(1-ladder_dpd90)+nbfc_proc_fee-nbfc_cof_r),X34*secured_fee+X35*(lsp_fee+dlg_on*dlg_fee_uplift))</f>
        <v/>
      </c>
      <c r="Y58" s="32">
        <f>IF(nbfc_on=1,Y36*(nbfc_int_r*(1-ladder_dpd90)+nbfc_proc_fee-nbfc_cof_r),Y34*secured_fee+Y35*(lsp_fee+dlg_on*dlg_fee_uplift))</f>
        <v/>
      </c>
      <c r="Z58" s="32">
        <f>IF(nbfc_on=1,Z36*(nbfc_int_r*(1-ladder_dpd90)+nbfc_proc_fee-nbfc_cof_r),Z34*secured_fee+Z35*(lsp_fee+dlg_on*dlg_fee_uplift))</f>
        <v/>
      </c>
      <c r="AA58" s="32">
        <f>IF(nbfc_on=1,AA36*(nbfc_int_r*(1-ladder_dpd90)+nbfc_proc_fee-nbfc_cof_r),AA34*secured_fee+AA35*(lsp_fee+dlg_on*dlg_fee_uplift))</f>
        <v/>
      </c>
      <c r="AB58" s="32">
        <f>IF(nbfc_on=1,AB36*(nbfc_int_r*(1-ladder_dpd90)+nbfc_proc_fee-nbfc_cof_r),AB34*secured_fee+AB35*(lsp_fee+dlg_on*dlg_fee_uplift))</f>
        <v/>
      </c>
      <c r="AC58" s="32">
        <f>IF(nbfc_on=1,AC36*(nbfc_int_r*(1-ladder_dpd90)+nbfc_proc_fee-nbfc_cof_r),AC34*secured_fee+AC35*(lsp_fee+dlg_on*dlg_fee_uplift))</f>
        <v/>
      </c>
      <c r="AD58" s="32">
        <f>IF(nbfc_on=1,AD36*(nbfc_int_r*(1-ladder_dpd90)+nbfc_proc_fee-nbfc_cof_r),AD34*secured_fee+AD35*(lsp_fee+dlg_on*dlg_fee_uplift))</f>
        <v/>
      </c>
      <c r="AE58" s="32">
        <f>IF(nbfc_on=1,AE36*(nbfc_int_r*(1-ladder_dpd90)+nbfc_proc_fee-nbfc_cof_r),AE34*secured_fee+AE35*(lsp_fee+dlg_on*dlg_fee_uplift))</f>
        <v/>
      </c>
      <c r="AF58" s="32">
        <f>IF(nbfc_on=1,AF36*(nbfc_int_r*(1-ladder_dpd90)+nbfc_proc_fee-nbfc_cof_r),AF34*secured_fee+AF35*(lsp_fee+dlg_on*dlg_fee_uplift))</f>
        <v/>
      </c>
      <c r="AG58" s="32">
        <f>IF(nbfc_on=1,AG36*(nbfc_int_r*(1-ladder_dpd90)+nbfc_proc_fee-nbfc_cof_r),AG34*secured_fee+AG35*(lsp_fee+dlg_on*dlg_fee_uplift))</f>
        <v/>
      </c>
      <c r="AH58" s="32">
        <f>IF(nbfc_on=1,AH36*(nbfc_int_r*(1-ladder_dpd90)+nbfc_proc_fee-nbfc_cof_r),AH34*secured_fee+AH35*(lsp_fee+dlg_on*dlg_fee_uplift))</f>
        <v/>
      </c>
      <c r="AI58" s="32">
        <f>IF(nbfc_on=1,AI36*(nbfc_int_r*(1-ladder_dpd90)+nbfc_proc_fee-nbfc_cof_r),AI34*secured_fee+AI35*(lsp_fee+dlg_on*dlg_fee_uplift))</f>
        <v/>
      </c>
      <c r="AJ58" s="32">
        <f>IF(nbfc_on=1,AJ36*(nbfc_int_r*(1-ladder_dpd90)+nbfc_proc_fee-nbfc_cof_r),AJ34*secured_fee+AJ35*(lsp_fee+dlg_on*dlg_fee_uplift))</f>
        <v/>
      </c>
      <c r="AK58" s="32">
        <f>IF(nbfc_on=1,AK36*(nbfc_int_r*(1-ladder_dpd90)+nbfc_proc_fee-nbfc_cof_r),AK34*secured_fee+AK35*(lsp_fee+dlg_on*dlg_fee_uplift))</f>
        <v/>
      </c>
      <c r="AL58" s="32">
        <f>IF(nbfc_on=1,AL36*(nbfc_int_r*(1-ladder_dpd90)+nbfc_proc_fee-nbfc_cof_r),AL34*secured_fee+AL35*(lsp_fee+dlg_on*dlg_fee_uplift))</f>
        <v/>
      </c>
      <c r="AM58" s="32">
        <f>IF(nbfc_on=1,AM36*(nbfc_int_r*(1-ladder_dpd90)+nbfc_proc_fee-nbfc_cof_r),AM34*secured_fee+AM35*(lsp_fee+dlg_on*dlg_fee_uplift))</f>
        <v/>
      </c>
      <c r="AN58" s="32">
        <f>IF(nbfc_on=1,AN36*(nbfc_int_r*(1-ladder_dpd90)+nbfc_proc_fee-nbfc_cof_r),AN34*secured_fee+AN35*(lsp_fee+dlg_on*dlg_fee_uplift))</f>
        <v/>
      </c>
      <c r="AO58" s="32">
        <f>IF(nbfc_on=1,AO36*(nbfc_int_r*(1-ladder_dpd90)+nbfc_proc_fee-nbfc_cof_r),AO34*secured_fee+AO35*(lsp_fee+dlg_on*dlg_fee_uplift))</f>
        <v/>
      </c>
      <c r="AP58" s="32">
        <f>IF(nbfc_on=1,AP36*(nbfc_int_r*(1-ladder_dpd90)+nbfc_proc_fee-nbfc_cof_r),AP34*secured_fee+AP35*(lsp_fee+dlg_on*dlg_fee_uplift))</f>
        <v/>
      </c>
      <c r="AQ58" s="32">
        <f>IF(nbfc_on=1,AQ36*(nbfc_int_r*(1-ladder_dpd90)+nbfc_proc_fee-nbfc_cof_r),AQ34*secured_fee+AQ35*(lsp_fee+dlg_on*dlg_fee_uplift))</f>
        <v/>
      </c>
      <c r="AR58" s="32">
        <f>IF(nbfc_on=1,AR36*(nbfc_int_r*(1-ladder_dpd90)+nbfc_proc_fee-nbfc_cof_r),AR34*secured_fee+AR35*(lsp_fee+dlg_on*dlg_fee_uplift))</f>
        <v/>
      </c>
      <c r="AS58" s="32">
        <f>IF(nbfc_on=1,AS36*(nbfc_int_r*(1-ladder_dpd90)+nbfc_proc_fee-nbfc_cof_r),AS34*secured_fee+AS35*(lsp_fee+dlg_on*dlg_fee_uplift))</f>
        <v/>
      </c>
      <c r="AT58" s="32">
        <f>IF(nbfc_on=1,AT36*(nbfc_int_r*(1-ladder_dpd90)+nbfc_proc_fee-nbfc_cof_r),AT34*secured_fee+AT35*(lsp_fee+dlg_on*dlg_fee_uplift))</f>
        <v/>
      </c>
      <c r="AU58" s="32">
        <f>IF(nbfc_on=1,AU36*(nbfc_int_r*(1-ladder_dpd90)+nbfc_proc_fee-nbfc_cof_r),AU34*secured_fee+AU35*(lsp_fee+dlg_on*dlg_fee_uplift))</f>
        <v/>
      </c>
      <c r="AV58" s="32">
        <f>IF(nbfc_on=1,AV36*(nbfc_int_r*(1-ladder_dpd90)+nbfc_proc_fee-nbfc_cof_r),AV34*secured_fee+AV35*(lsp_fee+dlg_on*dlg_fee_uplift))</f>
        <v/>
      </c>
      <c r="AW58" s="32">
        <f>IF(nbfc_on=1,AW36*(nbfc_int_r*(1-ladder_dpd90)+nbfc_proc_fee-nbfc_cof_r),AW34*secured_fee+AW35*(lsp_fee+dlg_on*dlg_fee_uplift))</f>
        <v/>
      </c>
      <c r="AX58" s="32">
        <f>IF(nbfc_on=1,AX36*(nbfc_int_r*(1-ladder_dpd90)+nbfc_proc_fee-nbfc_cof_r),AX34*secured_fee+AX35*(lsp_fee+dlg_on*dlg_fee_uplift))</f>
        <v/>
      </c>
      <c r="AY58" s="32">
        <f>IF(nbfc_on=1,AY36*(nbfc_int_r*(1-ladder_dpd90)+nbfc_proc_fee-nbfc_cof_r),AY34*secured_fee+AY35*(lsp_fee+dlg_on*dlg_fee_uplift))</f>
        <v/>
      </c>
      <c r="AZ58" s="32">
        <f>IF(nbfc_on=1,AZ36*(nbfc_int_r*(1-ladder_dpd90)+nbfc_proc_fee-nbfc_cof_r),AZ34*secured_fee+AZ35*(lsp_fee+dlg_on*dlg_fee_uplift))</f>
        <v/>
      </c>
      <c r="BA58" s="32">
        <f>IF(nbfc_on=1,BA36*(nbfc_int_r*(1-ladder_dpd90)+nbfc_proc_fee-nbfc_cof_r),BA34*secured_fee+BA35*(lsp_fee+dlg_on*dlg_fee_uplift))</f>
        <v/>
      </c>
      <c r="BB58" s="32">
        <f>IF(nbfc_on=1,BB36*(nbfc_int_r*(1-ladder_dpd90)+nbfc_proc_fee-nbfc_cof_r),BB34*secured_fee+BB35*(lsp_fee+dlg_on*dlg_fee_uplift))</f>
        <v/>
      </c>
      <c r="BC58" s="32">
        <f>IF(nbfc_on=1,BC36*(nbfc_int_r*(1-ladder_dpd90)+nbfc_proc_fee-nbfc_cof_r),BC34*secured_fee+BC35*(lsp_fee+dlg_on*dlg_fee_uplift))</f>
        <v/>
      </c>
      <c r="BD58" s="32">
        <f>IF(nbfc_on=1,BD36*(nbfc_int_r*(1-ladder_dpd90)+nbfc_proc_fee-nbfc_cof_r),BD34*secured_fee+BD35*(lsp_fee+dlg_on*dlg_fee_uplift))</f>
        <v/>
      </c>
      <c r="BE58" s="32">
        <f>IF(nbfc_on=1,BE36*(nbfc_int_r*(1-ladder_dpd90)+nbfc_proc_fee-nbfc_cof_r),BE34*secured_fee+BE35*(lsp_fee+dlg_on*dlg_fee_uplift))</f>
        <v/>
      </c>
      <c r="BF58" s="32">
        <f>IF(nbfc_on=1,BF36*(nbfc_int_r*(1-ladder_dpd90)+nbfc_proc_fee-nbfc_cof_r),BF34*secured_fee+BF35*(lsp_fee+dlg_on*dlg_fee_uplift))</f>
        <v/>
      </c>
      <c r="BG58" s="32">
        <f>IF(nbfc_on=1,BG36*(nbfc_int_r*(1-ladder_dpd90)+nbfc_proc_fee-nbfc_cof_r),BG34*secured_fee+BG35*(lsp_fee+dlg_on*dlg_fee_uplift))</f>
        <v/>
      </c>
      <c r="BH58" s="32">
        <f>IF(nbfc_on=1,BH36*(nbfc_int_r*(1-ladder_dpd90)+nbfc_proc_fee-nbfc_cof_r),BH34*secured_fee+BH35*(lsp_fee+dlg_on*dlg_fee_uplift))</f>
        <v/>
      </c>
      <c r="BI58" s="32">
        <f>IF(nbfc_on=1,BI36*(nbfc_int_r*(1-ladder_dpd90)+nbfc_proc_fee-nbfc_cof_r),BI34*secured_fee+BI35*(lsp_fee+dlg_on*dlg_fee_uplift))</f>
        <v/>
      </c>
      <c r="BJ58" s="32">
        <f>IF(nbfc_on=1,BJ36*(nbfc_int_r*(1-ladder_dpd90)+nbfc_proc_fee-nbfc_cof_r),BJ34*secured_fee+BJ35*(lsp_fee+dlg_on*dlg_fee_uplift))</f>
        <v/>
      </c>
      <c r="BK58" s="32">
        <f>IF(nbfc_on=1,BK36*(nbfc_int_r*(1-ladder_dpd90)+nbfc_proc_fee-nbfc_cof_r),BK34*secured_fee+BK35*(lsp_fee+dlg_on*dlg_fee_uplift))</f>
        <v/>
      </c>
    </row>
    <row r="59">
      <c r="A59" s="25" t="inlineStr">
        <is>
          <t>Card fees and interchange share</t>
        </is>
      </c>
      <c r="B59" s="28" t="inlineStr">
        <is>
          <t>₹</t>
        </is>
      </c>
      <c r="C59" s="30" t="n">
        <v>0</v>
      </c>
      <c r="D59" s="32">
        <f>D42*card_fee+D43*card_spend*card_ic_share+D45*unsec_fee</f>
        <v/>
      </c>
      <c r="E59" s="32">
        <f>E42*card_fee+E43*card_spend*card_ic_share+E45*unsec_fee</f>
        <v/>
      </c>
      <c r="F59" s="32">
        <f>F42*card_fee+F43*card_spend*card_ic_share+F45*unsec_fee</f>
        <v/>
      </c>
      <c r="G59" s="32">
        <f>G42*card_fee+G43*card_spend*card_ic_share+G45*unsec_fee</f>
        <v/>
      </c>
      <c r="H59" s="32">
        <f>H42*card_fee+H43*card_spend*card_ic_share+H45*unsec_fee</f>
        <v/>
      </c>
      <c r="I59" s="32">
        <f>I42*card_fee+I43*card_spend*card_ic_share+I45*unsec_fee</f>
        <v/>
      </c>
      <c r="J59" s="32">
        <f>J42*card_fee+J43*card_spend*card_ic_share+J45*unsec_fee</f>
        <v/>
      </c>
      <c r="K59" s="32">
        <f>K42*card_fee+K43*card_spend*card_ic_share+K45*unsec_fee</f>
        <v/>
      </c>
      <c r="L59" s="32">
        <f>L42*card_fee+L43*card_spend*card_ic_share+L45*unsec_fee</f>
        <v/>
      </c>
      <c r="M59" s="32">
        <f>M42*card_fee+M43*card_spend*card_ic_share+M45*unsec_fee</f>
        <v/>
      </c>
      <c r="N59" s="32">
        <f>N42*card_fee+N43*card_spend*card_ic_share+N45*unsec_fee</f>
        <v/>
      </c>
      <c r="O59" s="32">
        <f>O42*card_fee+O43*card_spend*card_ic_share+O45*unsec_fee</f>
        <v/>
      </c>
      <c r="P59" s="32">
        <f>P42*card_fee+P43*card_spend*card_ic_share+P45*unsec_fee</f>
        <v/>
      </c>
      <c r="Q59" s="32">
        <f>Q42*card_fee+Q43*card_spend*card_ic_share+Q45*unsec_fee</f>
        <v/>
      </c>
      <c r="R59" s="32">
        <f>R42*card_fee+R43*card_spend*card_ic_share+R45*unsec_fee</f>
        <v/>
      </c>
      <c r="S59" s="32">
        <f>S42*card_fee+S43*card_spend*card_ic_share+S45*unsec_fee</f>
        <v/>
      </c>
      <c r="T59" s="32">
        <f>T42*card_fee+T43*card_spend*card_ic_share+T45*unsec_fee</f>
        <v/>
      </c>
      <c r="U59" s="32">
        <f>U42*card_fee+U43*card_spend*card_ic_share+U45*unsec_fee</f>
        <v/>
      </c>
      <c r="V59" s="32">
        <f>V42*card_fee+V43*card_spend*card_ic_share+V45*unsec_fee</f>
        <v/>
      </c>
      <c r="W59" s="32">
        <f>W42*card_fee+W43*card_spend*card_ic_share+W45*unsec_fee</f>
        <v/>
      </c>
      <c r="X59" s="32">
        <f>X42*card_fee+X43*card_spend*card_ic_share+X45*unsec_fee</f>
        <v/>
      </c>
      <c r="Y59" s="32">
        <f>Y42*card_fee+Y43*card_spend*card_ic_share+Y45*unsec_fee</f>
        <v/>
      </c>
      <c r="Z59" s="32">
        <f>Z42*card_fee+Z43*card_spend*card_ic_share+Z45*unsec_fee</f>
        <v/>
      </c>
      <c r="AA59" s="32">
        <f>AA42*card_fee+AA43*card_spend*card_ic_share+AA45*unsec_fee</f>
        <v/>
      </c>
      <c r="AB59" s="32">
        <f>AB42*card_fee+AB43*card_spend*card_ic_share+AB45*unsec_fee</f>
        <v/>
      </c>
      <c r="AC59" s="32">
        <f>AC42*card_fee+AC43*card_spend*card_ic_share+AC45*unsec_fee</f>
        <v/>
      </c>
      <c r="AD59" s="32">
        <f>AD42*card_fee+AD43*card_spend*card_ic_share+AD45*unsec_fee</f>
        <v/>
      </c>
      <c r="AE59" s="32">
        <f>AE42*card_fee+AE43*card_spend*card_ic_share+AE45*unsec_fee</f>
        <v/>
      </c>
      <c r="AF59" s="32">
        <f>AF42*card_fee+AF43*card_spend*card_ic_share+AF45*unsec_fee</f>
        <v/>
      </c>
      <c r="AG59" s="32">
        <f>AG42*card_fee+AG43*card_spend*card_ic_share+AG45*unsec_fee</f>
        <v/>
      </c>
      <c r="AH59" s="32">
        <f>AH42*card_fee+AH43*card_spend*card_ic_share+AH45*unsec_fee</f>
        <v/>
      </c>
      <c r="AI59" s="32">
        <f>AI42*card_fee+AI43*card_spend*card_ic_share+AI45*unsec_fee</f>
        <v/>
      </c>
      <c r="AJ59" s="32">
        <f>AJ42*card_fee+AJ43*card_spend*card_ic_share+AJ45*unsec_fee</f>
        <v/>
      </c>
      <c r="AK59" s="32">
        <f>AK42*card_fee+AK43*card_spend*card_ic_share+AK45*unsec_fee</f>
        <v/>
      </c>
      <c r="AL59" s="32">
        <f>AL42*card_fee+AL43*card_spend*card_ic_share+AL45*unsec_fee</f>
        <v/>
      </c>
      <c r="AM59" s="32">
        <f>AM42*card_fee+AM43*card_spend*card_ic_share+AM45*unsec_fee</f>
        <v/>
      </c>
      <c r="AN59" s="32">
        <f>AN42*card_fee+AN43*card_spend*card_ic_share+AN45*unsec_fee</f>
        <v/>
      </c>
      <c r="AO59" s="32">
        <f>AO42*card_fee+AO43*card_spend*card_ic_share+AO45*unsec_fee</f>
        <v/>
      </c>
      <c r="AP59" s="32">
        <f>AP42*card_fee+AP43*card_spend*card_ic_share+AP45*unsec_fee</f>
        <v/>
      </c>
      <c r="AQ59" s="32">
        <f>AQ42*card_fee+AQ43*card_spend*card_ic_share+AQ45*unsec_fee</f>
        <v/>
      </c>
      <c r="AR59" s="32">
        <f>AR42*card_fee+AR43*card_spend*card_ic_share+AR45*unsec_fee</f>
        <v/>
      </c>
      <c r="AS59" s="32">
        <f>AS42*card_fee+AS43*card_spend*card_ic_share+AS45*unsec_fee</f>
        <v/>
      </c>
      <c r="AT59" s="32">
        <f>AT42*card_fee+AT43*card_spend*card_ic_share+AT45*unsec_fee</f>
        <v/>
      </c>
      <c r="AU59" s="32">
        <f>AU42*card_fee+AU43*card_spend*card_ic_share+AU45*unsec_fee</f>
        <v/>
      </c>
      <c r="AV59" s="32">
        <f>AV42*card_fee+AV43*card_spend*card_ic_share+AV45*unsec_fee</f>
        <v/>
      </c>
      <c r="AW59" s="32">
        <f>AW42*card_fee+AW43*card_spend*card_ic_share+AW45*unsec_fee</f>
        <v/>
      </c>
      <c r="AX59" s="32">
        <f>AX42*card_fee+AX43*card_spend*card_ic_share+AX45*unsec_fee</f>
        <v/>
      </c>
      <c r="AY59" s="32">
        <f>AY42*card_fee+AY43*card_spend*card_ic_share+AY45*unsec_fee</f>
        <v/>
      </c>
      <c r="AZ59" s="32">
        <f>AZ42*card_fee+AZ43*card_spend*card_ic_share+AZ45*unsec_fee</f>
        <v/>
      </c>
      <c r="BA59" s="32">
        <f>BA42*card_fee+BA43*card_spend*card_ic_share+BA45*unsec_fee</f>
        <v/>
      </c>
      <c r="BB59" s="32">
        <f>BB42*card_fee+BB43*card_spend*card_ic_share+BB45*unsec_fee</f>
        <v/>
      </c>
      <c r="BC59" s="32">
        <f>BC42*card_fee+BC43*card_spend*card_ic_share+BC45*unsec_fee</f>
        <v/>
      </c>
      <c r="BD59" s="32">
        <f>BD42*card_fee+BD43*card_spend*card_ic_share+BD45*unsec_fee</f>
        <v/>
      </c>
      <c r="BE59" s="32">
        <f>BE42*card_fee+BE43*card_spend*card_ic_share+BE45*unsec_fee</f>
        <v/>
      </c>
      <c r="BF59" s="32">
        <f>BF42*card_fee+BF43*card_spend*card_ic_share+BF45*unsec_fee</f>
        <v/>
      </c>
      <c r="BG59" s="32">
        <f>BG42*card_fee+BG43*card_spend*card_ic_share+BG45*unsec_fee</f>
        <v/>
      </c>
      <c r="BH59" s="32">
        <f>BH42*card_fee+BH43*card_spend*card_ic_share+BH45*unsec_fee</f>
        <v/>
      </c>
      <c r="BI59" s="32">
        <f>BI42*card_fee+BI43*card_spend*card_ic_share+BI45*unsec_fee</f>
        <v/>
      </c>
      <c r="BJ59" s="32">
        <f>BJ42*card_fee+BJ43*card_spend*card_ic_share+BJ45*unsec_fee</f>
        <v/>
      </c>
      <c r="BK59" s="32">
        <f>BK42*card_fee+BK43*card_spend*card_ic_share+BK45*unsec_fee</f>
        <v/>
      </c>
    </row>
    <row r="60">
      <c r="A60" s="25" t="inlineStr">
        <is>
          <t>SIP trail commission</t>
        </is>
      </c>
      <c r="B60" s="28" t="inlineStr">
        <is>
          <t>₹</t>
        </is>
      </c>
      <c r="C60" s="30" t="n">
        <v>0</v>
      </c>
      <c r="D60" s="32">
        <f>D49*trail_equity/12</f>
        <v/>
      </c>
      <c r="E60" s="32">
        <f>E49*trail_equity/12</f>
        <v/>
      </c>
      <c r="F60" s="32">
        <f>F49*trail_equity/12</f>
        <v/>
      </c>
      <c r="G60" s="32">
        <f>G49*trail_equity/12</f>
        <v/>
      </c>
      <c r="H60" s="32">
        <f>H49*trail_equity/12</f>
        <v/>
      </c>
      <c r="I60" s="32">
        <f>I49*trail_equity/12</f>
        <v/>
      </c>
      <c r="J60" s="32">
        <f>J49*trail_equity/12</f>
        <v/>
      </c>
      <c r="K60" s="32">
        <f>K49*trail_equity/12</f>
        <v/>
      </c>
      <c r="L60" s="32">
        <f>L49*trail_equity/12</f>
        <v/>
      </c>
      <c r="M60" s="32">
        <f>M49*trail_equity/12</f>
        <v/>
      </c>
      <c r="N60" s="32">
        <f>N49*trail_equity/12</f>
        <v/>
      </c>
      <c r="O60" s="32">
        <f>O49*trail_equity/12</f>
        <v/>
      </c>
      <c r="P60" s="32">
        <f>P49*trail_equity/12</f>
        <v/>
      </c>
      <c r="Q60" s="32">
        <f>Q49*trail_equity/12</f>
        <v/>
      </c>
      <c r="R60" s="32">
        <f>R49*trail_equity/12</f>
        <v/>
      </c>
      <c r="S60" s="32">
        <f>S49*trail_equity/12</f>
        <v/>
      </c>
      <c r="T60" s="32">
        <f>T49*trail_equity/12</f>
        <v/>
      </c>
      <c r="U60" s="32">
        <f>U49*trail_equity/12</f>
        <v/>
      </c>
      <c r="V60" s="32">
        <f>V49*trail_equity/12</f>
        <v/>
      </c>
      <c r="W60" s="32">
        <f>W49*trail_equity/12</f>
        <v/>
      </c>
      <c r="X60" s="32">
        <f>X49*trail_equity/12</f>
        <v/>
      </c>
      <c r="Y60" s="32">
        <f>Y49*trail_equity/12</f>
        <v/>
      </c>
      <c r="Z60" s="32">
        <f>Z49*trail_equity/12</f>
        <v/>
      </c>
      <c r="AA60" s="32">
        <f>AA49*trail_equity/12</f>
        <v/>
      </c>
      <c r="AB60" s="32">
        <f>AB49*trail_equity/12</f>
        <v/>
      </c>
      <c r="AC60" s="32">
        <f>AC49*trail_equity/12</f>
        <v/>
      </c>
      <c r="AD60" s="32">
        <f>AD49*trail_equity/12</f>
        <v/>
      </c>
      <c r="AE60" s="32">
        <f>AE49*trail_equity/12</f>
        <v/>
      </c>
      <c r="AF60" s="32">
        <f>AF49*trail_equity/12</f>
        <v/>
      </c>
      <c r="AG60" s="32">
        <f>AG49*trail_equity/12</f>
        <v/>
      </c>
      <c r="AH60" s="32">
        <f>AH49*trail_equity/12</f>
        <v/>
      </c>
      <c r="AI60" s="32">
        <f>AI49*trail_equity/12</f>
        <v/>
      </c>
      <c r="AJ60" s="32">
        <f>AJ49*trail_equity/12</f>
        <v/>
      </c>
      <c r="AK60" s="32">
        <f>AK49*trail_equity/12</f>
        <v/>
      </c>
      <c r="AL60" s="32">
        <f>AL49*trail_equity/12</f>
        <v/>
      </c>
      <c r="AM60" s="32">
        <f>AM49*trail_equity/12</f>
        <v/>
      </c>
      <c r="AN60" s="32">
        <f>AN49*trail_equity/12</f>
        <v/>
      </c>
      <c r="AO60" s="32">
        <f>AO49*trail_equity/12</f>
        <v/>
      </c>
      <c r="AP60" s="32">
        <f>AP49*trail_equity/12</f>
        <v/>
      </c>
      <c r="AQ60" s="32">
        <f>AQ49*trail_equity/12</f>
        <v/>
      </c>
      <c r="AR60" s="32">
        <f>AR49*trail_equity/12</f>
        <v/>
      </c>
      <c r="AS60" s="32">
        <f>AS49*trail_equity/12</f>
        <v/>
      </c>
      <c r="AT60" s="32">
        <f>AT49*trail_equity/12</f>
        <v/>
      </c>
      <c r="AU60" s="32">
        <f>AU49*trail_equity/12</f>
        <v/>
      </c>
      <c r="AV60" s="32">
        <f>AV49*trail_equity/12</f>
        <v/>
      </c>
      <c r="AW60" s="32">
        <f>AW49*trail_equity/12</f>
        <v/>
      </c>
      <c r="AX60" s="32">
        <f>AX49*trail_equity/12</f>
        <v/>
      </c>
      <c r="AY60" s="32">
        <f>AY49*trail_equity/12</f>
        <v/>
      </c>
      <c r="AZ60" s="32">
        <f>AZ49*trail_equity/12</f>
        <v/>
      </c>
      <c r="BA60" s="32">
        <f>BA49*trail_equity/12</f>
        <v/>
      </c>
      <c r="BB60" s="32">
        <f>BB49*trail_equity/12</f>
        <v/>
      </c>
      <c r="BC60" s="32">
        <f>BC49*trail_equity/12</f>
        <v/>
      </c>
      <c r="BD60" s="32">
        <f>BD49*trail_equity/12</f>
        <v/>
      </c>
      <c r="BE60" s="32">
        <f>BE49*trail_equity/12</f>
        <v/>
      </c>
      <c r="BF60" s="32">
        <f>BF49*trail_equity/12</f>
        <v/>
      </c>
      <c r="BG60" s="32">
        <f>BG49*trail_equity/12</f>
        <v/>
      </c>
      <c r="BH60" s="32">
        <f>BH49*trail_equity/12</f>
        <v/>
      </c>
      <c r="BI60" s="32">
        <f>BI49*trail_equity/12</f>
        <v/>
      </c>
      <c r="BJ60" s="32">
        <f>BJ49*trail_equity/12</f>
        <v/>
      </c>
      <c r="BK60" s="32">
        <f>BK49*trail_equity/12</f>
        <v/>
      </c>
    </row>
    <row r="61">
      <c r="A61" s="25" t="inlineStr">
        <is>
          <t>First-time investor incentive</t>
        </is>
      </c>
      <c r="B61" s="28" t="inlineStr">
        <is>
          <t>₹</t>
        </is>
      </c>
      <c r="C61" s="30" t="n">
        <v>0</v>
      </c>
      <c r="D61" s="32">
        <f>D48*first_time_share*mf_incentive</f>
        <v/>
      </c>
      <c r="E61" s="32">
        <f>E48*first_time_share*mf_incentive</f>
        <v/>
      </c>
      <c r="F61" s="32">
        <f>F48*first_time_share*mf_incentive</f>
        <v/>
      </c>
      <c r="G61" s="32">
        <f>G48*first_time_share*mf_incentive</f>
        <v/>
      </c>
      <c r="H61" s="32">
        <f>H48*first_time_share*mf_incentive</f>
        <v/>
      </c>
      <c r="I61" s="32">
        <f>I48*first_time_share*mf_incentive</f>
        <v/>
      </c>
      <c r="J61" s="32">
        <f>J48*first_time_share*mf_incentive</f>
        <v/>
      </c>
      <c r="K61" s="32">
        <f>K48*first_time_share*mf_incentive</f>
        <v/>
      </c>
      <c r="L61" s="32">
        <f>L48*first_time_share*mf_incentive</f>
        <v/>
      </c>
      <c r="M61" s="32">
        <f>M48*first_time_share*mf_incentive</f>
        <v/>
      </c>
      <c r="N61" s="32">
        <f>N48*first_time_share*mf_incentive</f>
        <v/>
      </c>
      <c r="O61" s="32">
        <f>O48*first_time_share*mf_incentive</f>
        <v/>
      </c>
      <c r="P61" s="32">
        <f>P48*first_time_share*mf_incentive</f>
        <v/>
      </c>
      <c r="Q61" s="32">
        <f>Q48*first_time_share*mf_incentive</f>
        <v/>
      </c>
      <c r="R61" s="32">
        <f>R48*first_time_share*mf_incentive</f>
        <v/>
      </c>
      <c r="S61" s="32">
        <f>S48*first_time_share*mf_incentive</f>
        <v/>
      </c>
      <c r="T61" s="32">
        <f>T48*first_time_share*mf_incentive</f>
        <v/>
      </c>
      <c r="U61" s="32">
        <f>U48*first_time_share*mf_incentive</f>
        <v/>
      </c>
      <c r="V61" s="32">
        <f>V48*first_time_share*mf_incentive</f>
        <v/>
      </c>
      <c r="W61" s="32">
        <f>W48*first_time_share*mf_incentive</f>
        <v/>
      </c>
      <c r="X61" s="32">
        <f>X48*first_time_share*mf_incentive</f>
        <v/>
      </c>
      <c r="Y61" s="32">
        <f>Y48*first_time_share*mf_incentive</f>
        <v/>
      </c>
      <c r="Z61" s="32">
        <f>Z48*first_time_share*mf_incentive</f>
        <v/>
      </c>
      <c r="AA61" s="32">
        <f>AA48*first_time_share*mf_incentive</f>
        <v/>
      </c>
      <c r="AB61" s="32">
        <f>AB48*first_time_share*mf_incentive</f>
        <v/>
      </c>
      <c r="AC61" s="32">
        <f>AC48*first_time_share*mf_incentive</f>
        <v/>
      </c>
      <c r="AD61" s="32">
        <f>AD48*first_time_share*mf_incentive</f>
        <v/>
      </c>
      <c r="AE61" s="32">
        <f>AE48*first_time_share*mf_incentive</f>
        <v/>
      </c>
      <c r="AF61" s="32">
        <f>AF48*first_time_share*mf_incentive</f>
        <v/>
      </c>
      <c r="AG61" s="32">
        <f>AG48*first_time_share*mf_incentive</f>
        <v/>
      </c>
      <c r="AH61" s="32">
        <f>AH48*first_time_share*mf_incentive</f>
        <v/>
      </c>
      <c r="AI61" s="32">
        <f>AI48*first_time_share*mf_incentive</f>
        <v/>
      </c>
      <c r="AJ61" s="32">
        <f>AJ48*first_time_share*mf_incentive</f>
        <v/>
      </c>
      <c r="AK61" s="32">
        <f>AK48*first_time_share*mf_incentive</f>
        <v/>
      </c>
      <c r="AL61" s="32">
        <f>AL48*first_time_share*mf_incentive</f>
        <v/>
      </c>
      <c r="AM61" s="32">
        <f>AM48*first_time_share*mf_incentive</f>
        <v/>
      </c>
      <c r="AN61" s="32">
        <f>AN48*first_time_share*mf_incentive</f>
        <v/>
      </c>
      <c r="AO61" s="32">
        <f>AO48*first_time_share*mf_incentive</f>
        <v/>
      </c>
      <c r="AP61" s="32">
        <f>AP48*first_time_share*mf_incentive</f>
        <v/>
      </c>
      <c r="AQ61" s="32">
        <f>AQ48*first_time_share*mf_incentive</f>
        <v/>
      </c>
      <c r="AR61" s="32">
        <f>AR48*first_time_share*mf_incentive</f>
        <v/>
      </c>
      <c r="AS61" s="32">
        <f>AS48*first_time_share*mf_incentive</f>
        <v/>
      </c>
      <c r="AT61" s="32">
        <f>AT48*first_time_share*mf_incentive</f>
        <v/>
      </c>
      <c r="AU61" s="32">
        <f>AU48*first_time_share*mf_incentive</f>
        <v/>
      </c>
      <c r="AV61" s="32">
        <f>AV48*first_time_share*mf_incentive</f>
        <v/>
      </c>
      <c r="AW61" s="32">
        <f>AW48*first_time_share*mf_incentive</f>
        <v/>
      </c>
      <c r="AX61" s="32">
        <f>AX48*first_time_share*mf_incentive</f>
        <v/>
      </c>
      <c r="AY61" s="32">
        <f>AY48*first_time_share*mf_incentive</f>
        <v/>
      </c>
      <c r="AZ61" s="32">
        <f>AZ48*first_time_share*mf_incentive</f>
        <v/>
      </c>
      <c r="BA61" s="32">
        <f>BA48*first_time_share*mf_incentive</f>
        <v/>
      </c>
      <c r="BB61" s="32">
        <f>BB48*first_time_share*mf_incentive</f>
        <v/>
      </c>
      <c r="BC61" s="32">
        <f>BC48*first_time_share*mf_incentive</f>
        <v/>
      </c>
      <c r="BD61" s="32">
        <f>BD48*first_time_share*mf_incentive</f>
        <v/>
      </c>
      <c r="BE61" s="32">
        <f>BE48*first_time_share*mf_incentive</f>
        <v/>
      </c>
      <c r="BF61" s="32">
        <f>BF48*first_time_share*mf_incentive</f>
        <v/>
      </c>
      <c r="BG61" s="32">
        <f>BG48*first_time_share*mf_incentive</f>
        <v/>
      </c>
      <c r="BH61" s="32">
        <f>BH48*first_time_share*mf_incentive</f>
        <v/>
      </c>
      <c r="BI61" s="32">
        <f>BI48*first_time_share*mf_incentive</f>
        <v/>
      </c>
      <c r="BJ61" s="32">
        <f>BJ48*first_time_share*mf_incentive</f>
        <v/>
      </c>
      <c r="BK61" s="32">
        <f>BK48*first_time_share*mf_incentive</f>
        <v/>
      </c>
    </row>
    <row r="62">
      <c r="A62" s="25" t="inlineStr">
        <is>
          <t>Insurance commission</t>
        </is>
      </c>
      <c r="B62" s="28" t="inlineStr">
        <is>
          <t>₹</t>
        </is>
      </c>
      <c r="C62" s="30" t="n">
        <v>0</v>
      </c>
      <c r="D62" s="32">
        <f>(D52*ins_comm_first+D53*ins_comm_renew)*ins_premium</f>
        <v/>
      </c>
      <c r="E62" s="32">
        <f>(E52*ins_comm_first+E53*ins_comm_renew)*ins_premium</f>
        <v/>
      </c>
      <c r="F62" s="32">
        <f>(F52*ins_comm_first+F53*ins_comm_renew)*ins_premium</f>
        <v/>
      </c>
      <c r="G62" s="32">
        <f>(G52*ins_comm_first+G53*ins_comm_renew)*ins_premium</f>
        <v/>
      </c>
      <c r="H62" s="32">
        <f>(H52*ins_comm_first+H53*ins_comm_renew)*ins_premium</f>
        <v/>
      </c>
      <c r="I62" s="32">
        <f>(I52*ins_comm_first+I53*ins_comm_renew)*ins_premium</f>
        <v/>
      </c>
      <c r="J62" s="32">
        <f>(J52*ins_comm_first+J53*ins_comm_renew)*ins_premium</f>
        <v/>
      </c>
      <c r="K62" s="32">
        <f>(K52*ins_comm_first+K53*ins_comm_renew)*ins_premium</f>
        <v/>
      </c>
      <c r="L62" s="32">
        <f>(L52*ins_comm_first+L53*ins_comm_renew)*ins_premium</f>
        <v/>
      </c>
      <c r="M62" s="32">
        <f>(M52*ins_comm_first+M53*ins_comm_renew)*ins_premium</f>
        <v/>
      </c>
      <c r="N62" s="32">
        <f>(N52*ins_comm_first+N53*ins_comm_renew)*ins_premium</f>
        <v/>
      </c>
      <c r="O62" s="32">
        <f>(O52*ins_comm_first+O53*ins_comm_renew)*ins_premium</f>
        <v/>
      </c>
      <c r="P62" s="32">
        <f>(P52*ins_comm_first+P53*ins_comm_renew)*ins_premium</f>
        <v/>
      </c>
      <c r="Q62" s="32">
        <f>(Q52*ins_comm_first+Q53*ins_comm_renew)*ins_premium</f>
        <v/>
      </c>
      <c r="R62" s="32">
        <f>(R52*ins_comm_first+R53*ins_comm_renew)*ins_premium</f>
        <v/>
      </c>
      <c r="S62" s="32">
        <f>(S52*ins_comm_first+S53*ins_comm_renew)*ins_premium</f>
        <v/>
      </c>
      <c r="T62" s="32">
        <f>(T52*ins_comm_first+T53*ins_comm_renew)*ins_premium</f>
        <v/>
      </c>
      <c r="U62" s="32">
        <f>(U52*ins_comm_first+U53*ins_comm_renew)*ins_premium</f>
        <v/>
      </c>
      <c r="V62" s="32">
        <f>(V52*ins_comm_first+V53*ins_comm_renew)*ins_premium</f>
        <v/>
      </c>
      <c r="W62" s="32">
        <f>(W52*ins_comm_first+W53*ins_comm_renew)*ins_premium</f>
        <v/>
      </c>
      <c r="X62" s="32">
        <f>(X52*ins_comm_first+X53*ins_comm_renew)*ins_premium</f>
        <v/>
      </c>
      <c r="Y62" s="32">
        <f>(Y52*ins_comm_first+Y53*ins_comm_renew)*ins_premium</f>
        <v/>
      </c>
      <c r="Z62" s="32">
        <f>(Z52*ins_comm_first+Z53*ins_comm_renew)*ins_premium</f>
        <v/>
      </c>
      <c r="AA62" s="32">
        <f>(AA52*ins_comm_first+AA53*ins_comm_renew)*ins_premium</f>
        <v/>
      </c>
      <c r="AB62" s="32">
        <f>(AB52*ins_comm_first+AB53*ins_comm_renew)*ins_premium</f>
        <v/>
      </c>
      <c r="AC62" s="32">
        <f>(AC52*ins_comm_first+AC53*ins_comm_renew)*ins_premium</f>
        <v/>
      </c>
      <c r="AD62" s="32">
        <f>(AD52*ins_comm_first+AD53*ins_comm_renew)*ins_premium</f>
        <v/>
      </c>
      <c r="AE62" s="32">
        <f>(AE52*ins_comm_first+AE53*ins_comm_renew)*ins_premium</f>
        <v/>
      </c>
      <c r="AF62" s="32">
        <f>(AF52*ins_comm_first+AF53*ins_comm_renew)*ins_premium</f>
        <v/>
      </c>
      <c r="AG62" s="32">
        <f>(AG52*ins_comm_first+AG53*ins_comm_renew)*ins_premium</f>
        <v/>
      </c>
      <c r="AH62" s="32">
        <f>(AH52*ins_comm_first+AH53*ins_comm_renew)*ins_premium</f>
        <v/>
      </c>
      <c r="AI62" s="32">
        <f>(AI52*ins_comm_first+AI53*ins_comm_renew)*ins_premium</f>
        <v/>
      </c>
      <c r="AJ62" s="32">
        <f>(AJ52*ins_comm_first+AJ53*ins_comm_renew)*ins_premium</f>
        <v/>
      </c>
      <c r="AK62" s="32">
        <f>(AK52*ins_comm_first+AK53*ins_comm_renew)*ins_premium</f>
        <v/>
      </c>
      <c r="AL62" s="32">
        <f>(AL52*ins_comm_first+AL53*ins_comm_renew)*ins_premium</f>
        <v/>
      </c>
      <c r="AM62" s="32">
        <f>(AM52*ins_comm_first+AM53*ins_comm_renew)*ins_premium</f>
        <v/>
      </c>
      <c r="AN62" s="32">
        <f>(AN52*ins_comm_first+AN53*ins_comm_renew)*ins_premium</f>
        <v/>
      </c>
      <c r="AO62" s="32">
        <f>(AO52*ins_comm_first+AO53*ins_comm_renew)*ins_premium</f>
        <v/>
      </c>
      <c r="AP62" s="32">
        <f>(AP52*ins_comm_first+AP53*ins_comm_renew)*ins_premium</f>
        <v/>
      </c>
      <c r="AQ62" s="32">
        <f>(AQ52*ins_comm_first+AQ53*ins_comm_renew)*ins_premium</f>
        <v/>
      </c>
      <c r="AR62" s="32">
        <f>(AR52*ins_comm_first+AR53*ins_comm_renew)*ins_premium</f>
        <v/>
      </c>
      <c r="AS62" s="32">
        <f>(AS52*ins_comm_first+AS53*ins_comm_renew)*ins_premium</f>
        <v/>
      </c>
      <c r="AT62" s="32">
        <f>(AT52*ins_comm_first+AT53*ins_comm_renew)*ins_premium</f>
        <v/>
      </c>
      <c r="AU62" s="32">
        <f>(AU52*ins_comm_first+AU53*ins_comm_renew)*ins_premium</f>
        <v/>
      </c>
      <c r="AV62" s="32">
        <f>(AV52*ins_comm_first+AV53*ins_comm_renew)*ins_premium</f>
        <v/>
      </c>
      <c r="AW62" s="32">
        <f>(AW52*ins_comm_first+AW53*ins_comm_renew)*ins_premium</f>
        <v/>
      </c>
      <c r="AX62" s="32">
        <f>(AX52*ins_comm_first+AX53*ins_comm_renew)*ins_premium</f>
        <v/>
      </c>
      <c r="AY62" s="32">
        <f>(AY52*ins_comm_first+AY53*ins_comm_renew)*ins_premium</f>
        <v/>
      </c>
      <c r="AZ62" s="32">
        <f>(AZ52*ins_comm_first+AZ53*ins_comm_renew)*ins_premium</f>
        <v/>
      </c>
      <c r="BA62" s="32">
        <f>(BA52*ins_comm_first+BA53*ins_comm_renew)*ins_premium</f>
        <v/>
      </c>
      <c r="BB62" s="32">
        <f>(BB52*ins_comm_first+BB53*ins_comm_renew)*ins_premium</f>
        <v/>
      </c>
      <c r="BC62" s="32">
        <f>(BC52*ins_comm_first+BC53*ins_comm_renew)*ins_premium</f>
        <v/>
      </c>
      <c r="BD62" s="32">
        <f>(BD52*ins_comm_first+BD53*ins_comm_renew)*ins_premium</f>
        <v/>
      </c>
      <c r="BE62" s="32">
        <f>(BE52*ins_comm_first+BE53*ins_comm_renew)*ins_premium</f>
        <v/>
      </c>
      <c r="BF62" s="32">
        <f>(BF52*ins_comm_first+BF53*ins_comm_renew)*ins_premium</f>
        <v/>
      </c>
      <c r="BG62" s="32">
        <f>(BG52*ins_comm_first+BG53*ins_comm_renew)*ins_premium</f>
        <v/>
      </c>
      <c r="BH62" s="32">
        <f>(BH52*ins_comm_first+BH53*ins_comm_renew)*ins_premium</f>
        <v/>
      </c>
      <c r="BI62" s="32">
        <f>(BI52*ins_comm_first+BI53*ins_comm_renew)*ins_premium</f>
        <v/>
      </c>
      <c r="BJ62" s="32">
        <f>(BJ52*ins_comm_first+BJ53*ins_comm_renew)*ins_premium</f>
        <v/>
      </c>
      <c r="BK62" s="32">
        <f>(BK52*ins_comm_first+BK53*ins_comm_renew)*ins_premium</f>
        <v/>
      </c>
    </row>
    <row r="63">
      <c r="A63" s="2" t="inlineStr">
        <is>
          <t>Total revenue</t>
        </is>
      </c>
      <c r="B63" s="28" t="inlineStr">
        <is>
          <t>₹</t>
        </is>
      </c>
      <c r="C63" s="30" t="n">
        <v>0</v>
      </c>
      <c r="D63" s="27">
        <f>D55+D56+D57+D58+D59+D60+D61+D62</f>
        <v/>
      </c>
      <c r="E63" s="27">
        <f>E55+E56+E57+E58+E59+E60+E61+E62</f>
        <v/>
      </c>
      <c r="F63" s="27">
        <f>F55+F56+F57+F58+F59+F60+F61+F62</f>
        <v/>
      </c>
      <c r="G63" s="27">
        <f>G55+G56+G57+G58+G59+G60+G61+G62</f>
        <v/>
      </c>
      <c r="H63" s="27">
        <f>H55+H56+H57+H58+H59+H60+H61+H62</f>
        <v/>
      </c>
      <c r="I63" s="27">
        <f>I55+I56+I57+I58+I59+I60+I61+I62</f>
        <v/>
      </c>
      <c r="J63" s="27">
        <f>J55+J56+J57+J58+J59+J60+J61+J62</f>
        <v/>
      </c>
      <c r="K63" s="27">
        <f>K55+K56+K57+K58+K59+K60+K61+K62</f>
        <v/>
      </c>
      <c r="L63" s="27">
        <f>L55+L56+L57+L58+L59+L60+L61+L62</f>
        <v/>
      </c>
      <c r="M63" s="27">
        <f>M55+M56+M57+M58+M59+M60+M61+M62</f>
        <v/>
      </c>
      <c r="N63" s="27">
        <f>N55+N56+N57+N58+N59+N60+N61+N62</f>
        <v/>
      </c>
      <c r="O63" s="27">
        <f>O55+O56+O57+O58+O59+O60+O61+O62</f>
        <v/>
      </c>
      <c r="P63" s="27">
        <f>P55+P56+P57+P58+P59+P60+P61+P62</f>
        <v/>
      </c>
      <c r="Q63" s="27">
        <f>Q55+Q56+Q57+Q58+Q59+Q60+Q61+Q62</f>
        <v/>
      </c>
      <c r="R63" s="27">
        <f>R55+R56+R57+R58+R59+R60+R61+R62</f>
        <v/>
      </c>
      <c r="S63" s="27">
        <f>S55+S56+S57+S58+S59+S60+S61+S62</f>
        <v/>
      </c>
      <c r="T63" s="27">
        <f>T55+T56+T57+T58+T59+T60+T61+T62</f>
        <v/>
      </c>
      <c r="U63" s="27">
        <f>U55+U56+U57+U58+U59+U60+U61+U62</f>
        <v/>
      </c>
      <c r="V63" s="27">
        <f>V55+V56+V57+V58+V59+V60+V61+V62</f>
        <v/>
      </c>
      <c r="W63" s="27">
        <f>W55+W56+W57+W58+W59+W60+W61+W62</f>
        <v/>
      </c>
      <c r="X63" s="27">
        <f>X55+X56+X57+X58+X59+X60+X61+X62</f>
        <v/>
      </c>
      <c r="Y63" s="27">
        <f>Y55+Y56+Y57+Y58+Y59+Y60+Y61+Y62</f>
        <v/>
      </c>
      <c r="Z63" s="27">
        <f>Z55+Z56+Z57+Z58+Z59+Z60+Z61+Z62</f>
        <v/>
      </c>
      <c r="AA63" s="27">
        <f>AA55+AA56+AA57+AA58+AA59+AA60+AA61+AA62</f>
        <v/>
      </c>
      <c r="AB63" s="27">
        <f>AB55+AB56+AB57+AB58+AB59+AB60+AB61+AB62</f>
        <v/>
      </c>
      <c r="AC63" s="27">
        <f>AC55+AC56+AC57+AC58+AC59+AC60+AC61+AC62</f>
        <v/>
      </c>
      <c r="AD63" s="27">
        <f>AD55+AD56+AD57+AD58+AD59+AD60+AD61+AD62</f>
        <v/>
      </c>
      <c r="AE63" s="27">
        <f>AE55+AE56+AE57+AE58+AE59+AE60+AE61+AE62</f>
        <v/>
      </c>
      <c r="AF63" s="27">
        <f>AF55+AF56+AF57+AF58+AF59+AF60+AF61+AF62</f>
        <v/>
      </c>
      <c r="AG63" s="27">
        <f>AG55+AG56+AG57+AG58+AG59+AG60+AG61+AG62</f>
        <v/>
      </c>
      <c r="AH63" s="27">
        <f>AH55+AH56+AH57+AH58+AH59+AH60+AH61+AH62</f>
        <v/>
      </c>
      <c r="AI63" s="27">
        <f>AI55+AI56+AI57+AI58+AI59+AI60+AI61+AI62</f>
        <v/>
      </c>
      <c r="AJ63" s="27">
        <f>AJ55+AJ56+AJ57+AJ58+AJ59+AJ60+AJ61+AJ62</f>
        <v/>
      </c>
      <c r="AK63" s="27">
        <f>AK55+AK56+AK57+AK58+AK59+AK60+AK61+AK62</f>
        <v/>
      </c>
      <c r="AL63" s="27">
        <f>AL55+AL56+AL57+AL58+AL59+AL60+AL61+AL62</f>
        <v/>
      </c>
      <c r="AM63" s="27">
        <f>AM55+AM56+AM57+AM58+AM59+AM60+AM61+AM62</f>
        <v/>
      </c>
      <c r="AN63" s="27">
        <f>AN55+AN56+AN57+AN58+AN59+AN60+AN61+AN62</f>
        <v/>
      </c>
      <c r="AO63" s="27">
        <f>AO55+AO56+AO57+AO58+AO59+AO60+AO61+AO62</f>
        <v/>
      </c>
      <c r="AP63" s="27">
        <f>AP55+AP56+AP57+AP58+AP59+AP60+AP61+AP62</f>
        <v/>
      </c>
      <c r="AQ63" s="27">
        <f>AQ55+AQ56+AQ57+AQ58+AQ59+AQ60+AQ61+AQ62</f>
        <v/>
      </c>
      <c r="AR63" s="27">
        <f>AR55+AR56+AR57+AR58+AR59+AR60+AR61+AR62</f>
        <v/>
      </c>
      <c r="AS63" s="27">
        <f>AS55+AS56+AS57+AS58+AS59+AS60+AS61+AS62</f>
        <v/>
      </c>
      <c r="AT63" s="27">
        <f>AT55+AT56+AT57+AT58+AT59+AT60+AT61+AT62</f>
        <v/>
      </c>
      <c r="AU63" s="27">
        <f>AU55+AU56+AU57+AU58+AU59+AU60+AU61+AU62</f>
        <v/>
      </c>
      <c r="AV63" s="27">
        <f>AV55+AV56+AV57+AV58+AV59+AV60+AV61+AV62</f>
        <v/>
      </c>
      <c r="AW63" s="27">
        <f>AW55+AW56+AW57+AW58+AW59+AW60+AW61+AW62</f>
        <v/>
      </c>
      <c r="AX63" s="27">
        <f>AX55+AX56+AX57+AX58+AX59+AX60+AX61+AX62</f>
        <v/>
      </c>
      <c r="AY63" s="27">
        <f>AY55+AY56+AY57+AY58+AY59+AY60+AY61+AY62</f>
        <v/>
      </c>
      <c r="AZ63" s="27">
        <f>AZ55+AZ56+AZ57+AZ58+AZ59+AZ60+AZ61+AZ62</f>
        <v/>
      </c>
      <c r="BA63" s="27">
        <f>BA55+BA56+BA57+BA58+BA59+BA60+BA61+BA62</f>
        <v/>
      </c>
      <c r="BB63" s="27">
        <f>BB55+BB56+BB57+BB58+BB59+BB60+BB61+BB62</f>
        <v/>
      </c>
      <c r="BC63" s="27">
        <f>BC55+BC56+BC57+BC58+BC59+BC60+BC61+BC62</f>
        <v/>
      </c>
      <c r="BD63" s="27">
        <f>BD55+BD56+BD57+BD58+BD59+BD60+BD61+BD62</f>
        <v/>
      </c>
      <c r="BE63" s="27">
        <f>BE55+BE56+BE57+BE58+BE59+BE60+BE61+BE62</f>
        <v/>
      </c>
      <c r="BF63" s="27">
        <f>BF55+BF56+BF57+BF58+BF59+BF60+BF61+BF62</f>
        <v/>
      </c>
      <c r="BG63" s="27">
        <f>BG55+BG56+BG57+BG58+BG59+BG60+BG61+BG62</f>
        <v/>
      </c>
      <c r="BH63" s="27">
        <f>BH55+BH56+BH57+BH58+BH59+BH60+BH61+BH62</f>
        <v/>
      </c>
      <c r="BI63" s="27">
        <f>BI55+BI56+BI57+BI58+BI59+BI60+BI61+BI62</f>
        <v/>
      </c>
      <c r="BJ63" s="27">
        <f>BJ55+BJ56+BJ57+BJ58+BJ59+BJ60+BJ61+BJ62</f>
        <v/>
      </c>
      <c r="BK63" s="27">
        <f>BK55+BK56+BK57+BK58+BK59+BK60+BK61+BK62</f>
        <v/>
      </c>
    </row>
    <row r="64">
      <c r="A64" s="6" t="inlineStr">
        <is>
          <t>Variable cost</t>
        </is>
      </c>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c r="AA64" s="7" t="n"/>
      <c r="AB64" s="7" t="n"/>
      <c r="AC64" s="7" t="n"/>
      <c r="AD64" s="7" t="n"/>
      <c r="AE64" s="7" t="n"/>
      <c r="AF64" s="7" t="n"/>
      <c r="AG64" s="7" t="n"/>
      <c r="AH64" s="7" t="n"/>
      <c r="AI64" s="7" t="n"/>
      <c r="AJ64" s="7" t="n"/>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7" t="n"/>
    </row>
    <row r="65">
      <c r="A65" s="25" t="inlineStr">
        <is>
          <t>Loans: our cost (+ losses we bear under a guarantee or own NBFC)</t>
        </is>
      </c>
      <c r="B65" s="28" t="inlineStr">
        <is>
          <t>₹</t>
        </is>
      </c>
      <c r="C65" s="30" t="n">
        <v>0</v>
      </c>
      <c r="D65" s="32">
        <f>IF(nbfc_on=1,D35*loan_lost+D31*(loan_ops_cost+service_cost),D31*loan_ops_cost+dlg_on*(MIN(loan_lost,dlg_cap)*D35+(D26+D27+D29)*service_cost))</f>
        <v/>
      </c>
      <c r="E65" s="32">
        <f>IF(nbfc_on=1,E35*loan_lost+E31*(loan_ops_cost+service_cost),E31*loan_ops_cost+dlg_on*(MIN(loan_lost,dlg_cap)*E35+(E26+E27+E29)*service_cost))</f>
        <v/>
      </c>
      <c r="F65" s="32">
        <f>IF(nbfc_on=1,F35*loan_lost+F31*(loan_ops_cost+service_cost),F31*loan_ops_cost+dlg_on*(MIN(loan_lost,dlg_cap)*F35+(F26+F27+F29)*service_cost))</f>
        <v/>
      </c>
      <c r="G65" s="32">
        <f>IF(nbfc_on=1,G35*loan_lost+G31*(loan_ops_cost+service_cost),G31*loan_ops_cost+dlg_on*(MIN(loan_lost,dlg_cap)*G35+(G26+G27+G29)*service_cost))</f>
        <v/>
      </c>
      <c r="H65" s="32">
        <f>IF(nbfc_on=1,H35*loan_lost+H31*(loan_ops_cost+service_cost),H31*loan_ops_cost+dlg_on*(MIN(loan_lost,dlg_cap)*H35+(H26+H27+H29)*service_cost))</f>
        <v/>
      </c>
      <c r="I65" s="32">
        <f>IF(nbfc_on=1,I35*loan_lost+I31*(loan_ops_cost+service_cost),I31*loan_ops_cost+dlg_on*(MIN(loan_lost,dlg_cap)*I35+(I26+I27+I29)*service_cost))</f>
        <v/>
      </c>
      <c r="J65" s="32">
        <f>IF(nbfc_on=1,J35*loan_lost+J31*(loan_ops_cost+service_cost),J31*loan_ops_cost+dlg_on*(MIN(loan_lost,dlg_cap)*J35+(J26+J27+J29)*service_cost))</f>
        <v/>
      </c>
      <c r="K65" s="32">
        <f>IF(nbfc_on=1,K35*loan_lost+K31*(loan_ops_cost+service_cost),K31*loan_ops_cost+dlg_on*(MIN(loan_lost,dlg_cap)*K35+(K26+K27+K29)*service_cost))</f>
        <v/>
      </c>
      <c r="L65" s="32">
        <f>IF(nbfc_on=1,L35*loan_lost+L31*(loan_ops_cost+service_cost),L31*loan_ops_cost+dlg_on*(MIN(loan_lost,dlg_cap)*L35+(L26+L27+L29)*service_cost))</f>
        <v/>
      </c>
      <c r="M65" s="32">
        <f>IF(nbfc_on=1,M35*loan_lost+M31*(loan_ops_cost+service_cost),M31*loan_ops_cost+dlg_on*(MIN(loan_lost,dlg_cap)*M35+(M26+M27+M29)*service_cost))</f>
        <v/>
      </c>
      <c r="N65" s="32">
        <f>IF(nbfc_on=1,N35*loan_lost+N31*(loan_ops_cost+service_cost),N31*loan_ops_cost+dlg_on*(MIN(loan_lost,dlg_cap)*N35+(N26+N27+N29)*service_cost))</f>
        <v/>
      </c>
      <c r="O65" s="32">
        <f>IF(nbfc_on=1,O35*loan_lost+O31*(loan_ops_cost+service_cost),O31*loan_ops_cost+dlg_on*(MIN(loan_lost,dlg_cap)*O35+(O26+O27+O29)*service_cost))</f>
        <v/>
      </c>
      <c r="P65" s="32">
        <f>IF(nbfc_on=1,P35*loan_lost+P31*(loan_ops_cost+service_cost),P31*loan_ops_cost+dlg_on*(MIN(loan_lost,dlg_cap)*P35+(P26+P27+P29)*service_cost))</f>
        <v/>
      </c>
      <c r="Q65" s="32">
        <f>IF(nbfc_on=1,Q35*loan_lost+Q31*(loan_ops_cost+service_cost),Q31*loan_ops_cost+dlg_on*(MIN(loan_lost,dlg_cap)*Q35+(Q26+Q27+Q29)*service_cost))</f>
        <v/>
      </c>
      <c r="R65" s="32">
        <f>IF(nbfc_on=1,R35*loan_lost+R31*(loan_ops_cost+service_cost),R31*loan_ops_cost+dlg_on*(MIN(loan_lost,dlg_cap)*R35+(R26+R27+R29)*service_cost))</f>
        <v/>
      </c>
      <c r="S65" s="32">
        <f>IF(nbfc_on=1,S35*loan_lost+S31*(loan_ops_cost+service_cost),S31*loan_ops_cost+dlg_on*(MIN(loan_lost,dlg_cap)*S35+(S26+S27+S29)*service_cost))</f>
        <v/>
      </c>
      <c r="T65" s="32">
        <f>IF(nbfc_on=1,T35*loan_lost+T31*(loan_ops_cost+service_cost),T31*loan_ops_cost+dlg_on*(MIN(loan_lost,dlg_cap)*T35+(T26+T27+T29)*service_cost))</f>
        <v/>
      </c>
      <c r="U65" s="32">
        <f>IF(nbfc_on=1,U35*loan_lost+U31*(loan_ops_cost+service_cost),U31*loan_ops_cost+dlg_on*(MIN(loan_lost,dlg_cap)*U35+(U26+U27+U29)*service_cost))</f>
        <v/>
      </c>
      <c r="V65" s="32">
        <f>IF(nbfc_on=1,V35*loan_lost+V31*(loan_ops_cost+service_cost),V31*loan_ops_cost+dlg_on*(MIN(loan_lost,dlg_cap)*V35+(V26+V27+V29)*service_cost))</f>
        <v/>
      </c>
      <c r="W65" s="32">
        <f>IF(nbfc_on=1,W35*loan_lost+W31*(loan_ops_cost+service_cost),W31*loan_ops_cost+dlg_on*(MIN(loan_lost,dlg_cap)*W35+(W26+W27+W29)*service_cost))</f>
        <v/>
      </c>
      <c r="X65" s="32">
        <f>IF(nbfc_on=1,X35*loan_lost+X31*(loan_ops_cost+service_cost),X31*loan_ops_cost+dlg_on*(MIN(loan_lost,dlg_cap)*X35+(X26+X27+X29)*service_cost))</f>
        <v/>
      </c>
      <c r="Y65" s="32">
        <f>IF(nbfc_on=1,Y35*loan_lost+Y31*(loan_ops_cost+service_cost),Y31*loan_ops_cost+dlg_on*(MIN(loan_lost,dlg_cap)*Y35+(Y26+Y27+Y29)*service_cost))</f>
        <v/>
      </c>
      <c r="Z65" s="32">
        <f>IF(nbfc_on=1,Z35*loan_lost+Z31*(loan_ops_cost+service_cost),Z31*loan_ops_cost+dlg_on*(MIN(loan_lost,dlg_cap)*Z35+(Z26+Z27+Z29)*service_cost))</f>
        <v/>
      </c>
      <c r="AA65" s="32">
        <f>IF(nbfc_on=1,AA35*loan_lost+AA31*(loan_ops_cost+service_cost),AA31*loan_ops_cost+dlg_on*(MIN(loan_lost,dlg_cap)*AA35+(AA26+AA27+AA29)*service_cost))</f>
        <v/>
      </c>
      <c r="AB65" s="32">
        <f>IF(nbfc_on=1,AB35*loan_lost+AB31*(loan_ops_cost+service_cost),AB31*loan_ops_cost+dlg_on*(MIN(loan_lost,dlg_cap)*AB35+(AB26+AB27+AB29)*service_cost))</f>
        <v/>
      </c>
      <c r="AC65" s="32">
        <f>IF(nbfc_on=1,AC35*loan_lost+AC31*(loan_ops_cost+service_cost),AC31*loan_ops_cost+dlg_on*(MIN(loan_lost,dlg_cap)*AC35+(AC26+AC27+AC29)*service_cost))</f>
        <v/>
      </c>
      <c r="AD65" s="32">
        <f>IF(nbfc_on=1,AD35*loan_lost+AD31*(loan_ops_cost+service_cost),AD31*loan_ops_cost+dlg_on*(MIN(loan_lost,dlg_cap)*AD35+(AD26+AD27+AD29)*service_cost))</f>
        <v/>
      </c>
      <c r="AE65" s="32">
        <f>IF(nbfc_on=1,AE35*loan_lost+AE31*(loan_ops_cost+service_cost),AE31*loan_ops_cost+dlg_on*(MIN(loan_lost,dlg_cap)*AE35+(AE26+AE27+AE29)*service_cost))</f>
        <v/>
      </c>
      <c r="AF65" s="32">
        <f>IF(nbfc_on=1,AF35*loan_lost+AF31*(loan_ops_cost+service_cost),AF31*loan_ops_cost+dlg_on*(MIN(loan_lost,dlg_cap)*AF35+(AF26+AF27+AF29)*service_cost))</f>
        <v/>
      </c>
      <c r="AG65" s="32">
        <f>IF(nbfc_on=1,AG35*loan_lost+AG31*(loan_ops_cost+service_cost),AG31*loan_ops_cost+dlg_on*(MIN(loan_lost,dlg_cap)*AG35+(AG26+AG27+AG29)*service_cost))</f>
        <v/>
      </c>
      <c r="AH65" s="32">
        <f>IF(nbfc_on=1,AH35*loan_lost+AH31*(loan_ops_cost+service_cost),AH31*loan_ops_cost+dlg_on*(MIN(loan_lost,dlg_cap)*AH35+(AH26+AH27+AH29)*service_cost))</f>
        <v/>
      </c>
      <c r="AI65" s="32">
        <f>IF(nbfc_on=1,AI35*loan_lost+AI31*(loan_ops_cost+service_cost),AI31*loan_ops_cost+dlg_on*(MIN(loan_lost,dlg_cap)*AI35+(AI26+AI27+AI29)*service_cost))</f>
        <v/>
      </c>
      <c r="AJ65" s="32">
        <f>IF(nbfc_on=1,AJ35*loan_lost+AJ31*(loan_ops_cost+service_cost),AJ31*loan_ops_cost+dlg_on*(MIN(loan_lost,dlg_cap)*AJ35+(AJ26+AJ27+AJ29)*service_cost))</f>
        <v/>
      </c>
      <c r="AK65" s="32">
        <f>IF(nbfc_on=1,AK35*loan_lost+AK31*(loan_ops_cost+service_cost),AK31*loan_ops_cost+dlg_on*(MIN(loan_lost,dlg_cap)*AK35+(AK26+AK27+AK29)*service_cost))</f>
        <v/>
      </c>
      <c r="AL65" s="32">
        <f>IF(nbfc_on=1,AL35*loan_lost+AL31*(loan_ops_cost+service_cost),AL31*loan_ops_cost+dlg_on*(MIN(loan_lost,dlg_cap)*AL35+(AL26+AL27+AL29)*service_cost))</f>
        <v/>
      </c>
      <c r="AM65" s="32">
        <f>IF(nbfc_on=1,AM35*loan_lost+AM31*(loan_ops_cost+service_cost),AM31*loan_ops_cost+dlg_on*(MIN(loan_lost,dlg_cap)*AM35+(AM26+AM27+AM29)*service_cost))</f>
        <v/>
      </c>
      <c r="AN65" s="32">
        <f>IF(nbfc_on=1,AN35*loan_lost+AN31*(loan_ops_cost+service_cost),AN31*loan_ops_cost+dlg_on*(MIN(loan_lost,dlg_cap)*AN35+(AN26+AN27+AN29)*service_cost))</f>
        <v/>
      </c>
      <c r="AO65" s="32">
        <f>IF(nbfc_on=1,AO35*loan_lost+AO31*(loan_ops_cost+service_cost),AO31*loan_ops_cost+dlg_on*(MIN(loan_lost,dlg_cap)*AO35+(AO26+AO27+AO29)*service_cost))</f>
        <v/>
      </c>
      <c r="AP65" s="32">
        <f>IF(nbfc_on=1,AP35*loan_lost+AP31*(loan_ops_cost+service_cost),AP31*loan_ops_cost+dlg_on*(MIN(loan_lost,dlg_cap)*AP35+(AP26+AP27+AP29)*service_cost))</f>
        <v/>
      </c>
      <c r="AQ65" s="32">
        <f>IF(nbfc_on=1,AQ35*loan_lost+AQ31*(loan_ops_cost+service_cost),AQ31*loan_ops_cost+dlg_on*(MIN(loan_lost,dlg_cap)*AQ35+(AQ26+AQ27+AQ29)*service_cost))</f>
        <v/>
      </c>
      <c r="AR65" s="32">
        <f>IF(nbfc_on=1,AR35*loan_lost+AR31*(loan_ops_cost+service_cost),AR31*loan_ops_cost+dlg_on*(MIN(loan_lost,dlg_cap)*AR35+(AR26+AR27+AR29)*service_cost))</f>
        <v/>
      </c>
      <c r="AS65" s="32">
        <f>IF(nbfc_on=1,AS35*loan_lost+AS31*(loan_ops_cost+service_cost),AS31*loan_ops_cost+dlg_on*(MIN(loan_lost,dlg_cap)*AS35+(AS26+AS27+AS29)*service_cost))</f>
        <v/>
      </c>
      <c r="AT65" s="32">
        <f>IF(nbfc_on=1,AT35*loan_lost+AT31*(loan_ops_cost+service_cost),AT31*loan_ops_cost+dlg_on*(MIN(loan_lost,dlg_cap)*AT35+(AT26+AT27+AT29)*service_cost))</f>
        <v/>
      </c>
      <c r="AU65" s="32">
        <f>IF(nbfc_on=1,AU35*loan_lost+AU31*(loan_ops_cost+service_cost),AU31*loan_ops_cost+dlg_on*(MIN(loan_lost,dlg_cap)*AU35+(AU26+AU27+AU29)*service_cost))</f>
        <v/>
      </c>
      <c r="AV65" s="32">
        <f>IF(nbfc_on=1,AV35*loan_lost+AV31*(loan_ops_cost+service_cost),AV31*loan_ops_cost+dlg_on*(MIN(loan_lost,dlg_cap)*AV35+(AV26+AV27+AV29)*service_cost))</f>
        <v/>
      </c>
      <c r="AW65" s="32">
        <f>IF(nbfc_on=1,AW35*loan_lost+AW31*(loan_ops_cost+service_cost),AW31*loan_ops_cost+dlg_on*(MIN(loan_lost,dlg_cap)*AW35+(AW26+AW27+AW29)*service_cost))</f>
        <v/>
      </c>
      <c r="AX65" s="32">
        <f>IF(nbfc_on=1,AX35*loan_lost+AX31*(loan_ops_cost+service_cost),AX31*loan_ops_cost+dlg_on*(MIN(loan_lost,dlg_cap)*AX35+(AX26+AX27+AX29)*service_cost))</f>
        <v/>
      </c>
      <c r="AY65" s="32">
        <f>IF(nbfc_on=1,AY35*loan_lost+AY31*(loan_ops_cost+service_cost),AY31*loan_ops_cost+dlg_on*(MIN(loan_lost,dlg_cap)*AY35+(AY26+AY27+AY29)*service_cost))</f>
        <v/>
      </c>
      <c r="AZ65" s="32">
        <f>IF(nbfc_on=1,AZ35*loan_lost+AZ31*(loan_ops_cost+service_cost),AZ31*loan_ops_cost+dlg_on*(MIN(loan_lost,dlg_cap)*AZ35+(AZ26+AZ27+AZ29)*service_cost))</f>
        <v/>
      </c>
      <c r="BA65" s="32">
        <f>IF(nbfc_on=1,BA35*loan_lost+BA31*(loan_ops_cost+service_cost),BA31*loan_ops_cost+dlg_on*(MIN(loan_lost,dlg_cap)*BA35+(BA26+BA27+BA29)*service_cost))</f>
        <v/>
      </c>
      <c r="BB65" s="32">
        <f>IF(nbfc_on=1,BB35*loan_lost+BB31*(loan_ops_cost+service_cost),BB31*loan_ops_cost+dlg_on*(MIN(loan_lost,dlg_cap)*BB35+(BB26+BB27+BB29)*service_cost))</f>
        <v/>
      </c>
      <c r="BC65" s="32">
        <f>IF(nbfc_on=1,BC35*loan_lost+BC31*(loan_ops_cost+service_cost),BC31*loan_ops_cost+dlg_on*(MIN(loan_lost,dlg_cap)*BC35+(BC26+BC27+BC29)*service_cost))</f>
        <v/>
      </c>
      <c r="BD65" s="32">
        <f>IF(nbfc_on=1,BD35*loan_lost+BD31*(loan_ops_cost+service_cost),BD31*loan_ops_cost+dlg_on*(MIN(loan_lost,dlg_cap)*BD35+(BD26+BD27+BD29)*service_cost))</f>
        <v/>
      </c>
      <c r="BE65" s="32">
        <f>IF(nbfc_on=1,BE35*loan_lost+BE31*(loan_ops_cost+service_cost),BE31*loan_ops_cost+dlg_on*(MIN(loan_lost,dlg_cap)*BE35+(BE26+BE27+BE29)*service_cost))</f>
        <v/>
      </c>
      <c r="BF65" s="32">
        <f>IF(nbfc_on=1,BF35*loan_lost+BF31*(loan_ops_cost+service_cost),BF31*loan_ops_cost+dlg_on*(MIN(loan_lost,dlg_cap)*BF35+(BF26+BF27+BF29)*service_cost))</f>
        <v/>
      </c>
      <c r="BG65" s="32">
        <f>IF(nbfc_on=1,BG35*loan_lost+BG31*(loan_ops_cost+service_cost),BG31*loan_ops_cost+dlg_on*(MIN(loan_lost,dlg_cap)*BG35+(BG26+BG27+BG29)*service_cost))</f>
        <v/>
      </c>
      <c r="BH65" s="32">
        <f>IF(nbfc_on=1,BH35*loan_lost+BH31*(loan_ops_cost+service_cost),BH31*loan_ops_cost+dlg_on*(MIN(loan_lost,dlg_cap)*BH35+(BH26+BH27+BH29)*service_cost))</f>
        <v/>
      </c>
      <c r="BI65" s="32">
        <f>IF(nbfc_on=1,BI35*loan_lost+BI31*(loan_ops_cost+service_cost),BI31*loan_ops_cost+dlg_on*(MIN(loan_lost,dlg_cap)*BI35+(BI26+BI27+BI29)*service_cost))</f>
        <v/>
      </c>
      <c r="BJ65" s="32">
        <f>IF(nbfc_on=1,BJ35*loan_lost+BJ31*(loan_ops_cost+service_cost),BJ31*loan_ops_cost+dlg_on*(MIN(loan_lost,dlg_cap)*BJ35+(BJ26+BJ27+BJ29)*service_cost))</f>
        <v/>
      </c>
      <c r="BK65" s="32">
        <f>IF(nbfc_on=1,BK35*loan_lost+BK31*(loan_ops_cost+service_cost),BK31*loan_ops_cost+dlg_on*(MIN(loan_lost,dlg_cap)*BK35+(BK26+BK27+BK29)*service_cost))</f>
        <v/>
      </c>
    </row>
    <row r="66">
      <c r="A66" s="25" t="inlineStr">
        <is>
          <t>Cards: our cost</t>
        </is>
      </c>
      <c r="B66" s="28" t="inlineStr">
        <is>
          <t>₹</t>
        </is>
      </c>
      <c r="C66" s="30" t="n">
        <v>0</v>
      </c>
      <c r="D66" s="32">
        <f>(D42+D45)*card_ops_cost</f>
        <v/>
      </c>
      <c r="E66" s="32">
        <f>(E42+E45)*card_ops_cost</f>
        <v/>
      </c>
      <c r="F66" s="32">
        <f>(F42+F45)*card_ops_cost</f>
        <v/>
      </c>
      <c r="G66" s="32">
        <f>(G42+G45)*card_ops_cost</f>
        <v/>
      </c>
      <c r="H66" s="32">
        <f>(H42+H45)*card_ops_cost</f>
        <v/>
      </c>
      <c r="I66" s="32">
        <f>(I42+I45)*card_ops_cost</f>
        <v/>
      </c>
      <c r="J66" s="32">
        <f>(J42+J45)*card_ops_cost</f>
        <v/>
      </c>
      <c r="K66" s="32">
        <f>(K42+K45)*card_ops_cost</f>
        <v/>
      </c>
      <c r="L66" s="32">
        <f>(L42+L45)*card_ops_cost</f>
        <v/>
      </c>
      <c r="M66" s="32">
        <f>(M42+M45)*card_ops_cost</f>
        <v/>
      </c>
      <c r="N66" s="32">
        <f>(N42+N45)*card_ops_cost</f>
        <v/>
      </c>
      <c r="O66" s="32">
        <f>(O42+O45)*card_ops_cost</f>
        <v/>
      </c>
      <c r="P66" s="32">
        <f>(P42+P45)*card_ops_cost</f>
        <v/>
      </c>
      <c r="Q66" s="32">
        <f>(Q42+Q45)*card_ops_cost</f>
        <v/>
      </c>
      <c r="R66" s="32">
        <f>(R42+R45)*card_ops_cost</f>
        <v/>
      </c>
      <c r="S66" s="32">
        <f>(S42+S45)*card_ops_cost</f>
        <v/>
      </c>
      <c r="T66" s="32">
        <f>(T42+T45)*card_ops_cost</f>
        <v/>
      </c>
      <c r="U66" s="32">
        <f>(U42+U45)*card_ops_cost</f>
        <v/>
      </c>
      <c r="V66" s="32">
        <f>(V42+V45)*card_ops_cost</f>
        <v/>
      </c>
      <c r="W66" s="32">
        <f>(W42+W45)*card_ops_cost</f>
        <v/>
      </c>
      <c r="X66" s="32">
        <f>(X42+X45)*card_ops_cost</f>
        <v/>
      </c>
      <c r="Y66" s="32">
        <f>(Y42+Y45)*card_ops_cost</f>
        <v/>
      </c>
      <c r="Z66" s="32">
        <f>(Z42+Z45)*card_ops_cost</f>
        <v/>
      </c>
      <c r="AA66" s="32">
        <f>(AA42+AA45)*card_ops_cost</f>
        <v/>
      </c>
      <c r="AB66" s="32">
        <f>(AB42+AB45)*card_ops_cost</f>
        <v/>
      </c>
      <c r="AC66" s="32">
        <f>(AC42+AC45)*card_ops_cost</f>
        <v/>
      </c>
      <c r="AD66" s="32">
        <f>(AD42+AD45)*card_ops_cost</f>
        <v/>
      </c>
      <c r="AE66" s="32">
        <f>(AE42+AE45)*card_ops_cost</f>
        <v/>
      </c>
      <c r="AF66" s="32">
        <f>(AF42+AF45)*card_ops_cost</f>
        <v/>
      </c>
      <c r="AG66" s="32">
        <f>(AG42+AG45)*card_ops_cost</f>
        <v/>
      </c>
      <c r="AH66" s="32">
        <f>(AH42+AH45)*card_ops_cost</f>
        <v/>
      </c>
      <c r="AI66" s="32">
        <f>(AI42+AI45)*card_ops_cost</f>
        <v/>
      </c>
      <c r="AJ66" s="32">
        <f>(AJ42+AJ45)*card_ops_cost</f>
        <v/>
      </c>
      <c r="AK66" s="32">
        <f>(AK42+AK45)*card_ops_cost</f>
        <v/>
      </c>
      <c r="AL66" s="32">
        <f>(AL42+AL45)*card_ops_cost</f>
        <v/>
      </c>
      <c r="AM66" s="32">
        <f>(AM42+AM45)*card_ops_cost</f>
        <v/>
      </c>
      <c r="AN66" s="32">
        <f>(AN42+AN45)*card_ops_cost</f>
        <v/>
      </c>
      <c r="AO66" s="32">
        <f>(AO42+AO45)*card_ops_cost</f>
        <v/>
      </c>
      <c r="AP66" s="32">
        <f>(AP42+AP45)*card_ops_cost</f>
        <v/>
      </c>
      <c r="AQ66" s="32">
        <f>(AQ42+AQ45)*card_ops_cost</f>
        <v/>
      </c>
      <c r="AR66" s="32">
        <f>(AR42+AR45)*card_ops_cost</f>
        <v/>
      </c>
      <c r="AS66" s="32">
        <f>(AS42+AS45)*card_ops_cost</f>
        <v/>
      </c>
      <c r="AT66" s="32">
        <f>(AT42+AT45)*card_ops_cost</f>
        <v/>
      </c>
      <c r="AU66" s="32">
        <f>(AU42+AU45)*card_ops_cost</f>
        <v/>
      </c>
      <c r="AV66" s="32">
        <f>(AV42+AV45)*card_ops_cost</f>
        <v/>
      </c>
      <c r="AW66" s="32">
        <f>(AW42+AW45)*card_ops_cost</f>
        <v/>
      </c>
      <c r="AX66" s="32">
        <f>(AX42+AX45)*card_ops_cost</f>
        <v/>
      </c>
      <c r="AY66" s="32">
        <f>(AY42+AY45)*card_ops_cost</f>
        <v/>
      </c>
      <c r="AZ66" s="32">
        <f>(AZ42+AZ45)*card_ops_cost</f>
        <v/>
      </c>
      <c r="BA66" s="32">
        <f>(BA42+BA45)*card_ops_cost</f>
        <v/>
      </c>
      <c r="BB66" s="32">
        <f>(BB42+BB45)*card_ops_cost</f>
        <v/>
      </c>
      <c r="BC66" s="32">
        <f>(BC42+BC45)*card_ops_cost</f>
        <v/>
      </c>
      <c r="BD66" s="32">
        <f>(BD42+BD45)*card_ops_cost</f>
        <v/>
      </c>
      <c r="BE66" s="32">
        <f>(BE42+BE45)*card_ops_cost</f>
        <v/>
      </c>
      <c r="BF66" s="32">
        <f>(BF42+BF45)*card_ops_cost</f>
        <v/>
      </c>
      <c r="BG66" s="32">
        <f>(BG42+BG45)*card_ops_cost</f>
        <v/>
      </c>
      <c r="BH66" s="32">
        <f>(BH42+BH45)*card_ops_cost</f>
        <v/>
      </c>
      <c r="BI66" s="32">
        <f>(BI42+BI45)*card_ops_cost</f>
        <v/>
      </c>
      <c r="BJ66" s="32">
        <f>(BJ42+BJ45)*card_ops_cost</f>
        <v/>
      </c>
      <c r="BK66" s="32">
        <f>(BK42+BK45)*card_ops_cost</f>
        <v/>
      </c>
    </row>
    <row r="67">
      <c r="A67" s="25" t="inlineStr">
        <is>
          <t>Insurance: our cost</t>
        </is>
      </c>
      <c r="B67" s="28" t="inlineStr">
        <is>
          <t>₹</t>
        </is>
      </c>
      <c r="C67" s="30" t="n">
        <v>0</v>
      </c>
      <c r="D67" s="32">
        <f>D52*ins_ops_cost</f>
        <v/>
      </c>
      <c r="E67" s="32">
        <f>E52*ins_ops_cost</f>
        <v/>
      </c>
      <c r="F67" s="32">
        <f>F52*ins_ops_cost</f>
        <v/>
      </c>
      <c r="G67" s="32">
        <f>G52*ins_ops_cost</f>
        <v/>
      </c>
      <c r="H67" s="32">
        <f>H52*ins_ops_cost</f>
        <v/>
      </c>
      <c r="I67" s="32">
        <f>I52*ins_ops_cost</f>
        <v/>
      </c>
      <c r="J67" s="32">
        <f>J52*ins_ops_cost</f>
        <v/>
      </c>
      <c r="K67" s="32">
        <f>K52*ins_ops_cost</f>
        <v/>
      </c>
      <c r="L67" s="32">
        <f>L52*ins_ops_cost</f>
        <v/>
      </c>
      <c r="M67" s="32">
        <f>M52*ins_ops_cost</f>
        <v/>
      </c>
      <c r="N67" s="32">
        <f>N52*ins_ops_cost</f>
        <v/>
      </c>
      <c r="O67" s="32">
        <f>O52*ins_ops_cost</f>
        <v/>
      </c>
      <c r="P67" s="32">
        <f>P52*ins_ops_cost</f>
        <v/>
      </c>
      <c r="Q67" s="32">
        <f>Q52*ins_ops_cost</f>
        <v/>
      </c>
      <c r="R67" s="32">
        <f>R52*ins_ops_cost</f>
        <v/>
      </c>
      <c r="S67" s="32">
        <f>S52*ins_ops_cost</f>
        <v/>
      </c>
      <c r="T67" s="32">
        <f>T52*ins_ops_cost</f>
        <v/>
      </c>
      <c r="U67" s="32">
        <f>U52*ins_ops_cost</f>
        <v/>
      </c>
      <c r="V67" s="32">
        <f>V52*ins_ops_cost</f>
        <v/>
      </c>
      <c r="W67" s="32">
        <f>W52*ins_ops_cost</f>
        <v/>
      </c>
      <c r="X67" s="32">
        <f>X52*ins_ops_cost</f>
        <v/>
      </c>
      <c r="Y67" s="32">
        <f>Y52*ins_ops_cost</f>
        <v/>
      </c>
      <c r="Z67" s="32">
        <f>Z52*ins_ops_cost</f>
        <v/>
      </c>
      <c r="AA67" s="32">
        <f>AA52*ins_ops_cost</f>
        <v/>
      </c>
      <c r="AB67" s="32">
        <f>AB52*ins_ops_cost</f>
        <v/>
      </c>
      <c r="AC67" s="32">
        <f>AC52*ins_ops_cost</f>
        <v/>
      </c>
      <c r="AD67" s="32">
        <f>AD52*ins_ops_cost</f>
        <v/>
      </c>
      <c r="AE67" s="32">
        <f>AE52*ins_ops_cost</f>
        <v/>
      </c>
      <c r="AF67" s="32">
        <f>AF52*ins_ops_cost</f>
        <v/>
      </c>
      <c r="AG67" s="32">
        <f>AG52*ins_ops_cost</f>
        <v/>
      </c>
      <c r="AH67" s="32">
        <f>AH52*ins_ops_cost</f>
        <v/>
      </c>
      <c r="AI67" s="32">
        <f>AI52*ins_ops_cost</f>
        <v/>
      </c>
      <c r="AJ67" s="32">
        <f>AJ52*ins_ops_cost</f>
        <v/>
      </c>
      <c r="AK67" s="32">
        <f>AK52*ins_ops_cost</f>
        <v/>
      </c>
      <c r="AL67" s="32">
        <f>AL52*ins_ops_cost</f>
        <v/>
      </c>
      <c r="AM67" s="32">
        <f>AM52*ins_ops_cost</f>
        <v/>
      </c>
      <c r="AN67" s="32">
        <f>AN52*ins_ops_cost</f>
        <v/>
      </c>
      <c r="AO67" s="32">
        <f>AO52*ins_ops_cost</f>
        <v/>
      </c>
      <c r="AP67" s="32">
        <f>AP52*ins_ops_cost</f>
        <v/>
      </c>
      <c r="AQ67" s="32">
        <f>AQ52*ins_ops_cost</f>
        <v/>
      </c>
      <c r="AR67" s="32">
        <f>AR52*ins_ops_cost</f>
        <v/>
      </c>
      <c r="AS67" s="32">
        <f>AS52*ins_ops_cost</f>
        <v/>
      </c>
      <c r="AT67" s="32">
        <f>AT52*ins_ops_cost</f>
        <v/>
      </c>
      <c r="AU67" s="32">
        <f>AU52*ins_ops_cost</f>
        <v/>
      </c>
      <c r="AV67" s="32">
        <f>AV52*ins_ops_cost</f>
        <v/>
      </c>
      <c r="AW67" s="32">
        <f>AW52*ins_ops_cost</f>
        <v/>
      </c>
      <c r="AX67" s="32">
        <f>AX52*ins_ops_cost</f>
        <v/>
      </c>
      <c r="AY67" s="32">
        <f>AY52*ins_ops_cost</f>
        <v/>
      </c>
      <c r="AZ67" s="32">
        <f>AZ52*ins_ops_cost</f>
        <v/>
      </c>
      <c r="BA67" s="32">
        <f>BA52*ins_ops_cost</f>
        <v/>
      </c>
      <c r="BB67" s="32">
        <f>BB52*ins_ops_cost</f>
        <v/>
      </c>
      <c r="BC67" s="32">
        <f>BC52*ins_ops_cost</f>
        <v/>
      </c>
      <c r="BD67" s="32">
        <f>BD52*ins_ops_cost</f>
        <v/>
      </c>
      <c r="BE67" s="32">
        <f>BE52*ins_ops_cost</f>
        <v/>
      </c>
      <c r="BF67" s="32">
        <f>BF52*ins_ops_cost</f>
        <v/>
      </c>
      <c r="BG67" s="32">
        <f>BG52*ins_ops_cost</f>
        <v/>
      </c>
      <c r="BH67" s="32">
        <f>BH52*ins_ops_cost</f>
        <v/>
      </c>
      <c r="BI67" s="32">
        <f>BI52*ins_ops_cost</f>
        <v/>
      </c>
      <c r="BJ67" s="32">
        <f>BJ52*ins_ops_cost</f>
        <v/>
      </c>
      <c r="BK67" s="32">
        <f>BK52*ins_ops_cost</f>
        <v/>
      </c>
    </row>
    <row r="68">
      <c r="A68" s="25" t="inlineStr">
        <is>
          <t>Debits, pre-debit notices and failed debits</t>
        </is>
      </c>
      <c r="B68" s="28" t="inlineStr">
        <is>
          <t>₹</t>
        </is>
      </c>
      <c r="C68" s="30" t="n">
        <v>0</v>
      </c>
      <c r="D68" s="32">
        <f>D7*(debits_success*cost_debit+debits_scheduled*cost_notice+MAX(0,debits_scheduled-debits_success)*cost_failed)</f>
        <v/>
      </c>
      <c r="E68" s="32">
        <f>E7*(debits_success*cost_debit+debits_scheduled*cost_notice+MAX(0,debits_scheduled-debits_success)*cost_failed)</f>
        <v/>
      </c>
      <c r="F68" s="32">
        <f>F7*(debits_success*cost_debit+debits_scheduled*cost_notice+MAX(0,debits_scheduled-debits_success)*cost_failed)</f>
        <v/>
      </c>
      <c r="G68" s="32">
        <f>G7*(debits_success*cost_debit+debits_scheduled*cost_notice+MAX(0,debits_scheduled-debits_success)*cost_failed)</f>
        <v/>
      </c>
      <c r="H68" s="32">
        <f>H7*(debits_success*cost_debit+debits_scheduled*cost_notice+MAX(0,debits_scheduled-debits_success)*cost_failed)</f>
        <v/>
      </c>
      <c r="I68" s="32">
        <f>I7*(debits_success*cost_debit+debits_scheduled*cost_notice+MAX(0,debits_scheduled-debits_success)*cost_failed)</f>
        <v/>
      </c>
      <c r="J68" s="32">
        <f>J7*(debits_success*cost_debit+debits_scheduled*cost_notice+MAX(0,debits_scheduled-debits_success)*cost_failed)</f>
        <v/>
      </c>
      <c r="K68" s="32">
        <f>K7*(debits_success*cost_debit+debits_scheduled*cost_notice+MAX(0,debits_scheduled-debits_success)*cost_failed)</f>
        <v/>
      </c>
      <c r="L68" s="32">
        <f>L7*(debits_success*cost_debit+debits_scheduled*cost_notice+MAX(0,debits_scheduled-debits_success)*cost_failed)</f>
        <v/>
      </c>
      <c r="M68" s="32">
        <f>M7*(debits_success*cost_debit+debits_scheduled*cost_notice+MAX(0,debits_scheduled-debits_success)*cost_failed)</f>
        <v/>
      </c>
      <c r="N68" s="32">
        <f>N7*(debits_success*cost_debit+debits_scheduled*cost_notice+MAX(0,debits_scheduled-debits_success)*cost_failed)</f>
        <v/>
      </c>
      <c r="O68" s="32">
        <f>O7*(debits_success*cost_debit+debits_scheduled*cost_notice+MAX(0,debits_scheduled-debits_success)*cost_failed)</f>
        <v/>
      </c>
      <c r="P68" s="32">
        <f>P7*(debits_success*cost_debit+debits_scheduled*cost_notice+MAX(0,debits_scheduled-debits_success)*cost_failed)</f>
        <v/>
      </c>
      <c r="Q68" s="32">
        <f>Q7*(debits_success*cost_debit+debits_scheduled*cost_notice+MAX(0,debits_scheduled-debits_success)*cost_failed)</f>
        <v/>
      </c>
      <c r="R68" s="32">
        <f>R7*(debits_success*cost_debit+debits_scheduled*cost_notice+MAX(0,debits_scheduled-debits_success)*cost_failed)</f>
        <v/>
      </c>
      <c r="S68" s="32">
        <f>S7*(debits_success*cost_debit+debits_scheduled*cost_notice+MAX(0,debits_scheduled-debits_success)*cost_failed)</f>
        <v/>
      </c>
      <c r="T68" s="32">
        <f>T7*(debits_success*cost_debit+debits_scheduled*cost_notice+MAX(0,debits_scheduled-debits_success)*cost_failed)</f>
        <v/>
      </c>
      <c r="U68" s="32">
        <f>U7*(debits_success*cost_debit+debits_scheduled*cost_notice+MAX(0,debits_scheduled-debits_success)*cost_failed)</f>
        <v/>
      </c>
      <c r="V68" s="32">
        <f>V7*(debits_success*cost_debit+debits_scheduled*cost_notice+MAX(0,debits_scheduled-debits_success)*cost_failed)</f>
        <v/>
      </c>
      <c r="W68" s="32">
        <f>W7*(debits_success*cost_debit+debits_scheduled*cost_notice+MAX(0,debits_scheduled-debits_success)*cost_failed)</f>
        <v/>
      </c>
      <c r="X68" s="32">
        <f>X7*(debits_success*cost_debit+debits_scheduled*cost_notice+MAX(0,debits_scheduled-debits_success)*cost_failed)</f>
        <v/>
      </c>
      <c r="Y68" s="32">
        <f>Y7*(debits_success*cost_debit+debits_scheduled*cost_notice+MAX(0,debits_scheduled-debits_success)*cost_failed)</f>
        <v/>
      </c>
      <c r="Z68" s="32">
        <f>Z7*(debits_success*cost_debit+debits_scheduled*cost_notice+MAX(0,debits_scheduled-debits_success)*cost_failed)</f>
        <v/>
      </c>
      <c r="AA68" s="32">
        <f>AA7*(debits_success*cost_debit+debits_scheduled*cost_notice+MAX(0,debits_scheduled-debits_success)*cost_failed)</f>
        <v/>
      </c>
      <c r="AB68" s="32">
        <f>AB7*(debits_success*cost_debit+debits_scheduled*cost_notice+MAX(0,debits_scheduled-debits_success)*cost_failed)</f>
        <v/>
      </c>
      <c r="AC68" s="32">
        <f>AC7*(debits_success*cost_debit+debits_scheduled*cost_notice+MAX(0,debits_scheduled-debits_success)*cost_failed)</f>
        <v/>
      </c>
      <c r="AD68" s="32">
        <f>AD7*(debits_success*cost_debit+debits_scheduled*cost_notice+MAX(0,debits_scheduled-debits_success)*cost_failed)</f>
        <v/>
      </c>
      <c r="AE68" s="32">
        <f>AE7*(debits_success*cost_debit+debits_scheduled*cost_notice+MAX(0,debits_scheduled-debits_success)*cost_failed)</f>
        <v/>
      </c>
      <c r="AF68" s="32">
        <f>AF7*(debits_success*cost_debit+debits_scheduled*cost_notice+MAX(0,debits_scheduled-debits_success)*cost_failed)</f>
        <v/>
      </c>
      <c r="AG68" s="32">
        <f>AG7*(debits_success*cost_debit+debits_scheduled*cost_notice+MAX(0,debits_scheduled-debits_success)*cost_failed)</f>
        <v/>
      </c>
      <c r="AH68" s="32">
        <f>AH7*(debits_success*cost_debit+debits_scheduled*cost_notice+MAX(0,debits_scheduled-debits_success)*cost_failed)</f>
        <v/>
      </c>
      <c r="AI68" s="32">
        <f>AI7*(debits_success*cost_debit+debits_scheduled*cost_notice+MAX(0,debits_scheduled-debits_success)*cost_failed)</f>
        <v/>
      </c>
      <c r="AJ68" s="32">
        <f>AJ7*(debits_success*cost_debit+debits_scheduled*cost_notice+MAX(0,debits_scheduled-debits_success)*cost_failed)</f>
        <v/>
      </c>
      <c r="AK68" s="32">
        <f>AK7*(debits_success*cost_debit+debits_scheduled*cost_notice+MAX(0,debits_scheduled-debits_success)*cost_failed)</f>
        <v/>
      </c>
      <c r="AL68" s="32">
        <f>AL7*(debits_success*cost_debit+debits_scheduled*cost_notice+MAX(0,debits_scheduled-debits_success)*cost_failed)</f>
        <v/>
      </c>
      <c r="AM68" s="32">
        <f>AM7*(debits_success*cost_debit+debits_scheduled*cost_notice+MAX(0,debits_scheduled-debits_success)*cost_failed)</f>
        <v/>
      </c>
      <c r="AN68" s="32">
        <f>AN7*(debits_success*cost_debit+debits_scheduled*cost_notice+MAX(0,debits_scheduled-debits_success)*cost_failed)</f>
        <v/>
      </c>
      <c r="AO68" s="32">
        <f>AO7*(debits_success*cost_debit+debits_scheduled*cost_notice+MAX(0,debits_scheduled-debits_success)*cost_failed)</f>
        <v/>
      </c>
      <c r="AP68" s="32">
        <f>AP7*(debits_success*cost_debit+debits_scheduled*cost_notice+MAX(0,debits_scheduled-debits_success)*cost_failed)</f>
        <v/>
      </c>
      <c r="AQ68" s="32">
        <f>AQ7*(debits_success*cost_debit+debits_scheduled*cost_notice+MAX(0,debits_scheduled-debits_success)*cost_failed)</f>
        <v/>
      </c>
      <c r="AR68" s="32">
        <f>AR7*(debits_success*cost_debit+debits_scheduled*cost_notice+MAX(0,debits_scheduled-debits_success)*cost_failed)</f>
        <v/>
      </c>
      <c r="AS68" s="32">
        <f>AS7*(debits_success*cost_debit+debits_scheduled*cost_notice+MAX(0,debits_scheduled-debits_success)*cost_failed)</f>
        <v/>
      </c>
      <c r="AT68" s="32">
        <f>AT7*(debits_success*cost_debit+debits_scheduled*cost_notice+MAX(0,debits_scheduled-debits_success)*cost_failed)</f>
        <v/>
      </c>
      <c r="AU68" s="32">
        <f>AU7*(debits_success*cost_debit+debits_scheduled*cost_notice+MAX(0,debits_scheduled-debits_success)*cost_failed)</f>
        <v/>
      </c>
      <c r="AV68" s="32">
        <f>AV7*(debits_success*cost_debit+debits_scheduled*cost_notice+MAX(0,debits_scheduled-debits_success)*cost_failed)</f>
        <v/>
      </c>
      <c r="AW68" s="32">
        <f>AW7*(debits_success*cost_debit+debits_scheduled*cost_notice+MAX(0,debits_scheduled-debits_success)*cost_failed)</f>
        <v/>
      </c>
      <c r="AX68" s="32">
        <f>AX7*(debits_success*cost_debit+debits_scheduled*cost_notice+MAX(0,debits_scheduled-debits_success)*cost_failed)</f>
        <v/>
      </c>
      <c r="AY68" s="32">
        <f>AY7*(debits_success*cost_debit+debits_scheduled*cost_notice+MAX(0,debits_scheduled-debits_success)*cost_failed)</f>
        <v/>
      </c>
      <c r="AZ68" s="32">
        <f>AZ7*(debits_success*cost_debit+debits_scheduled*cost_notice+MAX(0,debits_scheduled-debits_success)*cost_failed)</f>
        <v/>
      </c>
      <c r="BA68" s="32">
        <f>BA7*(debits_success*cost_debit+debits_scheduled*cost_notice+MAX(0,debits_scheduled-debits_success)*cost_failed)</f>
        <v/>
      </c>
      <c r="BB68" s="32">
        <f>BB7*(debits_success*cost_debit+debits_scheduled*cost_notice+MAX(0,debits_scheduled-debits_success)*cost_failed)</f>
        <v/>
      </c>
      <c r="BC68" s="32">
        <f>BC7*(debits_success*cost_debit+debits_scheduled*cost_notice+MAX(0,debits_scheduled-debits_success)*cost_failed)</f>
        <v/>
      </c>
      <c r="BD68" s="32">
        <f>BD7*(debits_success*cost_debit+debits_scheduled*cost_notice+MAX(0,debits_scheduled-debits_success)*cost_failed)</f>
        <v/>
      </c>
      <c r="BE68" s="32">
        <f>BE7*(debits_success*cost_debit+debits_scheduled*cost_notice+MAX(0,debits_scheduled-debits_success)*cost_failed)</f>
        <v/>
      </c>
      <c r="BF68" s="32">
        <f>BF7*(debits_success*cost_debit+debits_scheduled*cost_notice+MAX(0,debits_scheduled-debits_success)*cost_failed)</f>
        <v/>
      </c>
      <c r="BG68" s="32">
        <f>BG7*(debits_success*cost_debit+debits_scheduled*cost_notice+MAX(0,debits_scheduled-debits_success)*cost_failed)</f>
        <v/>
      </c>
      <c r="BH68" s="32">
        <f>BH7*(debits_success*cost_debit+debits_scheduled*cost_notice+MAX(0,debits_scheduled-debits_success)*cost_failed)</f>
        <v/>
      </c>
      <c r="BI68" s="32">
        <f>BI7*(debits_success*cost_debit+debits_scheduled*cost_notice+MAX(0,debits_scheduled-debits_success)*cost_failed)</f>
        <v/>
      </c>
      <c r="BJ68" s="32">
        <f>BJ7*(debits_success*cost_debit+debits_scheduled*cost_notice+MAX(0,debits_scheduled-debits_success)*cost_failed)</f>
        <v/>
      </c>
      <c r="BK68" s="32">
        <f>BK7*(debits_success*cost_debit+debits_scheduled*cost_notice+MAX(0,debits_scheduled-debits_success)*cost_failed)</f>
        <v/>
      </c>
    </row>
    <row r="69">
      <c r="A69" s="25" t="inlineStr">
        <is>
          <t>Support, tech and streak rewards</t>
        </is>
      </c>
      <c r="B69" s="28" t="inlineStr">
        <is>
          <t>₹</t>
        </is>
      </c>
      <c r="C69" s="30" t="n">
        <v>0</v>
      </c>
      <c r="D69" s="32">
        <f>D7*(cost_support+cost_tech+cost_rewards)</f>
        <v/>
      </c>
      <c r="E69" s="32">
        <f>E7*(cost_support+cost_tech+cost_rewards)</f>
        <v/>
      </c>
      <c r="F69" s="32">
        <f>F7*(cost_support+cost_tech+cost_rewards)</f>
        <v/>
      </c>
      <c r="G69" s="32">
        <f>G7*(cost_support+cost_tech+cost_rewards)</f>
        <v/>
      </c>
      <c r="H69" s="32">
        <f>H7*(cost_support+cost_tech+cost_rewards)</f>
        <v/>
      </c>
      <c r="I69" s="32">
        <f>I7*(cost_support+cost_tech+cost_rewards)</f>
        <v/>
      </c>
      <c r="J69" s="32">
        <f>J7*(cost_support+cost_tech+cost_rewards)</f>
        <v/>
      </c>
      <c r="K69" s="32">
        <f>K7*(cost_support+cost_tech+cost_rewards)</f>
        <v/>
      </c>
      <c r="L69" s="32">
        <f>L7*(cost_support+cost_tech+cost_rewards)</f>
        <v/>
      </c>
      <c r="M69" s="32">
        <f>M7*(cost_support+cost_tech+cost_rewards)</f>
        <v/>
      </c>
      <c r="N69" s="32">
        <f>N7*(cost_support+cost_tech+cost_rewards)</f>
        <v/>
      </c>
      <c r="O69" s="32">
        <f>O7*(cost_support+cost_tech+cost_rewards)</f>
        <v/>
      </c>
      <c r="P69" s="32">
        <f>P7*(cost_support+cost_tech+cost_rewards)</f>
        <v/>
      </c>
      <c r="Q69" s="32">
        <f>Q7*(cost_support+cost_tech+cost_rewards)</f>
        <v/>
      </c>
      <c r="R69" s="32">
        <f>R7*(cost_support+cost_tech+cost_rewards)</f>
        <v/>
      </c>
      <c r="S69" s="32">
        <f>S7*(cost_support+cost_tech+cost_rewards)</f>
        <v/>
      </c>
      <c r="T69" s="32">
        <f>T7*(cost_support+cost_tech+cost_rewards)</f>
        <v/>
      </c>
      <c r="U69" s="32">
        <f>U7*(cost_support+cost_tech+cost_rewards)</f>
        <v/>
      </c>
      <c r="V69" s="32">
        <f>V7*(cost_support+cost_tech+cost_rewards)</f>
        <v/>
      </c>
      <c r="W69" s="32">
        <f>W7*(cost_support+cost_tech+cost_rewards)</f>
        <v/>
      </c>
      <c r="X69" s="32">
        <f>X7*(cost_support+cost_tech+cost_rewards)</f>
        <v/>
      </c>
      <c r="Y69" s="32">
        <f>Y7*(cost_support+cost_tech+cost_rewards)</f>
        <v/>
      </c>
      <c r="Z69" s="32">
        <f>Z7*(cost_support+cost_tech+cost_rewards)</f>
        <v/>
      </c>
      <c r="AA69" s="32">
        <f>AA7*(cost_support+cost_tech+cost_rewards)</f>
        <v/>
      </c>
      <c r="AB69" s="32">
        <f>AB7*(cost_support+cost_tech+cost_rewards)</f>
        <v/>
      </c>
      <c r="AC69" s="32">
        <f>AC7*(cost_support+cost_tech+cost_rewards)</f>
        <v/>
      </c>
      <c r="AD69" s="32">
        <f>AD7*(cost_support+cost_tech+cost_rewards)</f>
        <v/>
      </c>
      <c r="AE69" s="32">
        <f>AE7*(cost_support+cost_tech+cost_rewards)</f>
        <v/>
      </c>
      <c r="AF69" s="32">
        <f>AF7*(cost_support+cost_tech+cost_rewards)</f>
        <v/>
      </c>
      <c r="AG69" s="32">
        <f>AG7*(cost_support+cost_tech+cost_rewards)</f>
        <v/>
      </c>
      <c r="AH69" s="32">
        <f>AH7*(cost_support+cost_tech+cost_rewards)</f>
        <v/>
      </c>
      <c r="AI69" s="32">
        <f>AI7*(cost_support+cost_tech+cost_rewards)</f>
        <v/>
      </c>
      <c r="AJ69" s="32">
        <f>AJ7*(cost_support+cost_tech+cost_rewards)</f>
        <v/>
      </c>
      <c r="AK69" s="32">
        <f>AK7*(cost_support+cost_tech+cost_rewards)</f>
        <v/>
      </c>
      <c r="AL69" s="32">
        <f>AL7*(cost_support+cost_tech+cost_rewards)</f>
        <v/>
      </c>
      <c r="AM69" s="32">
        <f>AM7*(cost_support+cost_tech+cost_rewards)</f>
        <v/>
      </c>
      <c r="AN69" s="32">
        <f>AN7*(cost_support+cost_tech+cost_rewards)</f>
        <v/>
      </c>
      <c r="AO69" s="32">
        <f>AO7*(cost_support+cost_tech+cost_rewards)</f>
        <v/>
      </c>
      <c r="AP69" s="32">
        <f>AP7*(cost_support+cost_tech+cost_rewards)</f>
        <v/>
      </c>
      <c r="AQ69" s="32">
        <f>AQ7*(cost_support+cost_tech+cost_rewards)</f>
        <v/>
      </c>
      <c r="AR69" s="32">
        <f>AR7*(cost_support+cost_tech+cost_rewards)</f>
        <v/>
      </c>
      <c r="AS69" s="32">
        <f>AS7*(cost_support+cost_tech+cost_rewards)</f>
        <v/>
      </c>
      <c r="AT69" s="32">
        <f>AT7*(cost_support+cost_tech+cost_rewards)</f>
        <v/>
      </c>
      <c r="AU69" s="32">
        <f>AU7*(cost_support+cost_tech+cost_rewards)</f>
        <v/>
      </c>
      <c r="AV69" s="32">
        <f>AV7*(cost_support+cost_tech+cost_rewards)</f>
        <v/>
      </c>
      <c r="AW69" s="32">
        <f>AW7*(cost_support+cost_tech+cost_rewards)</f>
        <v/>
      </c>
      <c r="AX69" s="32">
        <f>AX7*(cost_support+cost_tech+cost_rewards)</f>
        <v/>
      </c>
      <c r="AY69" s="32">
        <f>AY7*(cost_support+cost_tech+cost_rewards)</f>
        <v/>
      </c>
      <c r="AZ69" s="32">
        <f>AZ7*(cost_support+cost_tech+cost_rewards)</f>
        <v/>
      </c>
      <c r="BA69" s="32">
        <f>BA7*(cost_support+cost_tech+cost_rewards)</f>
        <v/>
      </c>
      <c r="BB69" s="32">
        <f>BB7*(cost_support+cost_tech+cost_rewards)</f>
        <v/>
      </c>
      <c r="BC69" s="32">
        <f>BC7*(cost_support+cost_tech+cost_rewards)</f>
        <v/>
      </c>
      <c r="BD69" s="32">
        <f>BD7*(cost_support+cost_tech+cost_rewards)</f>
        <v/>
      </c>
      <c r="BE69" s="32">
        <f>BE7*(cost_support+cost_tech+cost_rewards)</f>
        <v/>
      </c>
      <c r="BF69" s="32">
        <f>BF7*(cost_support+cost_tech+cost_rewards)</f>
        <v/>
      </c>
      <c r="BG69" s="32">
        <f>BG7*(cost_support+cost_tech+cost_rewards)</f>
        <v/>
      </c>
      <c r="BH69" s="32">
        <f>BH7*(cost_support+cost_tech+cost_rewards)</f>
        <v/>
      </c>
      <c r="BI69" s="32">
        <f>BI7*(cost_support+cost_tech+cost_rewards)</f>
        <v/>
      </c>
      <c r="BJ69" s="32">
        <f>BJ7*(cost_support+cost_tech+cost_rewards)</f>
        <v/>
      </c>
      <c r="BK69" s="32">
        <f>BK7*(cost_support+cost_tech+cost_rewards)</f>
        <v/>
      </c>
    </row>
    <row r="70">
      <c r="A70" s="25" t="inlineStr">
        <is>
          <t>Fraud</t>
        </is>
      </c>
      <c r="B70" s="28" t="inlineStr">
        <is>
          <t>₹</t>
        </is>
      </c>
      <c r="C70" s="30" t="n">
        <v>0</v>
      </c>
      <c r="D70" s="32">
        <f>D9*cost_fraud</f>
        <v/>
      </c>
      <c r="E70" s="32">
        <f>E9*cost_fraud</f>
        <v/>
      </c>
      <c r="F70" s="32">
        <f>F9*cost_fraud</f>
        <v/>
      </c>
      <c r="G70" s="32">
        <f>G9*cost_fraud</f>
        <v/>
      </c>
      <c r="H70" s="32">
        <f>H9*cost_fraud</f>
        <v/>
      </c>
      <c r="I70" s="32">
        <f>I9*cost_fraud</f>
        <v/>
      </c>
      <c r="J70" s="32">
        <f>J9*cost_fraud</f>
        <v/>
      </c>
      <c r="K70" s="32">
        <f>K9*cost_fraud</f>
        <v/>
      </c>
      <c r="L70" s="32">
        <f>L9*cost_fraud</f>
        <v/>
      </c>
      <c r="M70" s="32">
        <f>M9*cost_fraud</f>
        <v/>
      </c>
      <c r="N70" s="32">
        <f>N9*cost_fraud</f>
        <v/>
      </c>
      <c r="O70" s="32">
        <f>O9*cost_fraud</f>
        <v/>
      </c>
      <c r="P70" s="32">
        <f>P9*cost_fraud</f>
        <v/>
      </c>
      <c r="Q70" s="32">
        <f>Q9*cost_fraud</f>
        <v/>
      </c>
      <c r="R70" s="32">
        <f>R9*cost_fraud</f>
        <v/>
      </c>
      <c r="S70" s="32">
        <f>S9*cost_fraud</f>
        <v/>
      </c>
      <c r="T70" s="32">
        <f>T9*cost_fraud</f>
        <v/>
      </c>
      <c r="U70" s="32">
        <f>U9*cost_fraud</f>
        <v/>
      </c>
      <c r="V70" s="32">
        <f>V9*cost_fraud</f>
        <v/>
      </c>
      <c r="W70" s="32">
        <f>W9*cost_fraud</f>
        <v/>
      </c>
      <c r="X70" s="32">
        <f>X9*cost_fraud</f>
        <v/>
      </c>
      <c r="Y70" s="32">
        <f>Y9*cost_fraud</f>
        <v/>
      </c>
      <c r="Z70" s="32">
        <f>Z9*cost_fraud</f>
        <v/>
      </c>
      <c r="AA70" s="32">
        <f>AA9*cost_fraud</f>
        <v/>
      </c>
      <c r="AB70" s="32">
        <f>AB9*cost_fraud</f>
        <v/>
      </c>
      <c r="AC70" s="32">
        <f>AC9*cost_fraud</f>
        <v/>
      </c>
      <c r="AD70" s="32">
        <f>AD9*cost_fraud</f>
        <v/>
      </c>
      <c r="AE70" s="32">
        <f>AE9*cost_fraud</f>
        <v/>
      </c>
      <c r="AF70" s="32">
        <f>AF9*cost_fraud</f>
        <v/>
      </c>
      <c r="AG70" s="32">
        <f>AG9*cost_fraud</f>
        <v/>
      </c>
      <c r="AH70" s="32">
        <f>AH9*cost_fraud</f>
        <v/>
      </c>
      <c r="AI70" s="32">
        <f>AI9*cost_fraud</f>
        <v/>
      </c>
      <c r="AJ70" s="32">
        <f>AJ9*cost_fraud</f>
        <v/>
      </c>
      <c r="AK70" s="32">
        <f>AK9*cost_fraud</f>
        <v/>
      </c>
      <c r="AL70" s="32">
        <f>AL9*cost_fraud</f>
        <v/>
      </c>
      <c r="AM70" s="32">
        <f>AM9*cost_fraud</f>
        <v/>
      </c>
      <c r="AN70" s="32">
        <f>AN9*cost_fraud</f>
        <v/>
      </c>
      <c r="AO70" s="32">
        <f>AO9*cost_fraud</f>
        <v/>
      </c>
      <c r="AP70" s="32">
        <f>AP9*cost_fraud</f>
        <v/>
      </c>
      <c r="AQ70" s="32">
        <f>AQ9*cost_fraud</f>
        <v/>
      </c>
      <c r="AR70" s="32">
        <f>AR9*cost_fraud</f>
        <v/>
      </c>
      <c r="AS70" s="32">
        <f>AS9*cost_fraud</f>
        <v/>
      </c>
      <c r="AT70" s="32">
        <f>AT9*cost_fraud</f>
        <v/>
      </c>
      <c r="AU70" s="32">
        <f>AU9*cost_fraud</f>
        <v/>
      </c>
      <c r="AV70" s="32">
        <f>AV9*cost_fraud</f>
        <v/>
      </c>
      <c r="AW70" s="32">
        <f>AW9*cost_fraud</f>
        <v/>
      </c>
      <c r="AX70" s="32">
        <f>AX9*cost_fraud</f>
        <v/>
      </c>
      <c r="AY70" s="32">
        <f>AY9*cost_fraud</f>
        <v/>
      </c>
      <c r="AZ70" s="32">
        <f>AZ9*cost_fraud</f>
        <v/>
      </c>
      <c r="BA70" s="32">
        <f>BA9*cost_fraud</f>
        <v/>
      </c>
      <c r="BB70" s="32">
        <f>BB9*cost_fraud</f>
        <v/>
      </c>
      <c r="BC70" s="32">
        <f>BC9*cost_fraud</f>
        <v/>
      </c>
      <c r="BD70" s="32">
        <f>BD9*cost_fraud</f>
        <v/>
      </c>
      <c r="BE70" s="32">
        <f>BE9*cost_fraud</f>
        <v/>
      </c>
      <c r="BF70" s="32">
        <f>BF9*cost_fraud</f>
        <v/>
      </c>
      <c r="BG70" s="32">
        <f>BG9*cost_fraud</f>
        <v/>
      </c>
      <c r="BH70" s="32">
        <f>BH9*cost_fraud</f>
        <v/>
      </c>
      <c r="BI70" s="32">
        <f>BI9*cost_fraud</f>
        <v/>
      </c>
      <c r="BJ70" s="32">
        <f>BJ9*cost_fraud</f>
        <v/>
      </c>
      <c r="BK70" s="32">
        <f>BK9*cost_fraud</f>
        <v/>
      </c>
    </row>
    <row r="71">
      <c r="A71" s="2" t="inlineStr">
        <is>
          <t>Total variable cost</t>
        </is>
      </c>
      <c r="B71" s="28" t="inlineStr">
        <is>
          <t>₹</t>
        </is>
      </c>
      <c r="C71" s="30" t="n">
        <v>0</v>
      </c>
      <c r="D71" s="27">
        <f>D65+D66+D67+D68+D69+D70</f>
        <v/>
      </c>
      <c r="E71" s="27">
        <f>E65+E66+E67+E68+E69+E70</f>
        <v/>
      </c>
      <c r="F71" s="27">
        <f>F65+F66+F67+F68+F69+F70</f>
        <v/>
      </c>
      <c r="G71" s="27">
        <f>G65+G66+G67+G68+G69+G70</f>
        <v/>
      </c>
      <c r="H71" s="27">
        <f>H65+H66+H67+H68+H69+H70</f>
        <v/>
      </c>
      <c r="I71" s="27">
        <f>I65+I66+I67+I68+I69+I70</f>
        <v/>
      </c>
      <c r="J71" s="27">
        <f>J65+J66+J67+J68+J69+J70</f>
        <v/>
      </c>
      <c r="K71" s="27">
        <f>K65+K66+K67+K68+K69+K70</f>
        <v/>
      </c>
      <c r="L71" s="27">
        <f>L65+L66+L67+L68+L69+L70</f>
        <v/>
      </c>
      <c r="M71" s="27">
        <f>M65+M66+M67+M68+M69+M70</f>
        <v/>
      </c>
      <c r="N71" s="27">
        <f>N65+N66+N67+N68+N69+N70</f>
        <v/>
      </c>
      <c r="O71" s="27">
        <f>O65+O66+O67+O68+O69+O70</f>
        <v/>
      </c>
      <c r="P71" s="27">
        <f>P65+P66+P67+P68+P69+P70</f>
        <v/>
      </c>
      <c r="Q71" s="27">
        <f>Q65+Q66+Q67+Q68+Q69+Q70</f>
        <v/>
      </c>
      <c r="R71" s="27">
        <f>R65+R66+R67+R68+R69+R70</f>
        <v/>
      </c>
      <c r="S71" s="27">
        <f>S65+S66+S67+S68+S69+S70</f>
        <v/>
      </c>
      <c r="T71" s="27">
        <f>T65+T66+T67+T68+T69+T70</f>
        <v/>
      </c>
      <c r="U71" s="27">
        <f>U65+U66+U67+U68+U69+U70</f>
        <v/>
      </c>
      <c r="V71" s="27">
        <f>V65+V66+V67+V68+V69+V70</f>
        <v/>
      </c>
      <c r="W71" s="27">
        <f>W65+W66+W67+W68+W69+W70</f>
        <v/>
      </c>
      <c r="X71" s="27">
        <f>X65+X66+X67+X68+X69+X70</f>
        <v/>
      </c>
      <c r="Y71" s="27">
        <f>Y65+Y66+Y67+Y68+Y69+Y70</f>
        <v/>
      </c>
      <c r="Z71" s="27">
        <f>Z65+Z66+Z67+Z68+Z69+Z70</f>
        <v/>
      </c>
      <c r="AA71" s="27">
        <f>AA65+AA66+AA67+AA68+AA69+AA70</f>
        <v/>
      </c>
      <c r="AB71" s="27">
        <f>AB65+AB66+AB67+AB68+AB69+AB70</f>
        <v/>
      </c>
      <c r="AC71" s="27">
        <f>AC65+AC66+AC67+AC68+AC69+AC70</f>
        <v/>
      </c>
      <c r="AD71" s="27">
        <f>AD65+AD66+AD67+AD68+AD69+AD70</f>
        <v/>
      </c>
      <c r="AE71" s="27">
        <f>AE65+AE66+AE67+AE68+AE69+AE70</f>
        <v/>
      </c>
      <c r="AF71" s="27">
        <f>AF65+AF66+AF67+AF68+AF69+AF70</f>
        <v/>
      </c>
      <c r="AG71" s="27">
        <f>AG65+AG66+AG67+AG68+AG69+AG70</f>
        <v/>
      </c>
      <c r="AH71" s="27">
        <f>AH65+AH66+AH67+AH68+AH69+AH70</f>
        <v/>
      </c>
      <c r="AI71" s="27">
        <f>AI65+AI66+AI67+AI68+AI69+AI70</f>
        <v/>
      </c>
      <c r="AJ71" s="27">
        <f>AJ65+AJ66+AJ67+AJ68+AJ69+AJ70</f>
        <v/>
      </c>
      <c r="AK71" s="27">
        <f>AK65+AK66+AK67+AK68+AK69+AK70</f>
        <v/>
      </c>
      <c r="AL71" s="27">
        <f>AL65+AL66+AL67+AL68+AL69+AL70</f>
        <v/>
      </c>
      <c r="AM71" s="27">
        <f>AM65+AM66+AM67+AM68+AM69+AM70</f>
        <v/>
      </c>
      <c r="AN71" s="27">
        <f>AN65+AN66+AN67+AN68+AN69+AN70</f>
        <v/>
      </c>
      <c r="AO71" s="27">
        <f>AO65+AO66+AO67+AO68+AO69+AO70</f>
        <v/>
      </c>
      <c r="AP71" s="27">
        <f>AP65+AP66+AP67+AP68+AP69+AP70</f>
        <v/>
      </c>
      <c r="AQ71" s="27">
        <f>AQ65+AQ66+AQ67+AQ68+AQ69+AQ70</f>
        <v/>
      </c>
      <c r="AR71" s="27">
        <f>AR65+AR66+AR67+AR68+AR69+AR70</f>
        <v/>
      </c>
      <c r="AS71" s="27">
        <f>AS65+AS66+AS67+AS68+AS69+AS70</f>
        <v/>
      </c>
      <c r="AT71" s="27">
        <f>AT65+AT66+AT67+AT68+AT69+AT70</f>
        <v/>
      </c>
      <c r="AU71" s="27">
        <f>AU65+AU66+AU67+AU68+AU69+AU70</f>
        <v/>
      </c>
      <c r="AV71" s="27">
        <f>AV65+AV66+AV67+AV68+AV69+AV70</f>
        <v/>
      </c>
      <c r="AW71" s="27">
        <f>AW65+AW66+AW67+AW68+AW69+AW70</f>
        <v/>
      </c>
      <c r="AX71" s="27">
        <f>AX65+AX66+AX67+AX68+AX69+AX70</f>
        <v/>
      </c>
      <c r="AY71" s="27">
        <f>AY65+AY66+AY67+AY68+AY69+AY70</f>
        <v/>
      </c>
      <c r="AZ71" s="27">
        <f>AZ65+AZ66+AZ67+AZ68+AZ69+AZ70</f>
        <v/>
      </c>
      <c r="BA71" s="27">
        <f>BA65+BA66+BA67+BA68+BA69+BA70</f>
        <v/>
      </c>
      <c r="BB71" s="27">
        <f>BB65+BB66+BB67+BB68+BB69+BB70</f>
        <v/>
      </c>
      <c r="BC71" s="27">
        <f>BC65+BC66+BC67+BC68+BC69+BC70</f>
        <v/>
      </c>
      <c r="BD71" s="27">
        <f>BD65+BD66+BD67+BD68+BD69+BD70</f>
        <v/>
      </c>
      <c r="BE71" s="27">
        <f>BE65+BE66+BE67+BE68+BE69+BE70</f>
        <v/>
      </c>
      <c r="BF71" s="27">
        <f>BF65+BF66+BF67+BF68+BF69+BF70</f>
        <v/>
      </c>
      <c r="BG71" s="27">
        <f>BG65+BG66+BG67+BG68+BG69+BG70</f>
        <v/>
      </c>
      <c r="BH71" s="27">
        <f>BH65+BH66+BH67+BH68+BH69+BH70</f>
        <v/>
      </c>
      <c r="BI71" s="27">
        <f>BI65+BI66+BI67+BI68+BI69+BI70</f>
        <v/>
      </c>
      <c r="BJ71" s="27">
        <f>BJ65+BJ66+BJ67+BJ68+BJ69+BJ70</f>
        <v/>
      </c>
      <c r="BK71" s="27">
        <f>BK65+BK66+BK67+BK68+BK69+BK70</f>
        <v/>
      </c>
    </row>
    <row r="72">
      <c r="A72" s="6" t="inlineStr">
        <is>
          <t>Contribution</t>
        </is>
      </c>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7" t="n"/>
      <c r="AL72" s="7" t="n"/>
      <c r="AM72" s="7" t="n"/>
      <c r="AN72" s="7" t="n"/>
      <c r="AO72" s="7" t="n"/>
      <c r="AP72" s="7" t="n"/>
      <c r="AQ72" s="7" t="n"/>
      <c r="AR72" s="7" t="n"/>
      <c r="AS72" s="7" t="n"/>
      <c r="AT72" s="7" t="n"/>
      <c r="AU72" s="7" t="n"/>
      <c r="AV72" s="7" t="n"/>
      <c r="AW72" s="7" t="n"/>
      <c r="AX72" s="7" t="n"/>
      <c r="AY72" s="7" t="n"/>
      <c r="AZ72" s="7" t="n"/>
      <c r="BA72" s="7" t="n"/>
      <c r="BB72" s="7" t="n"/>
      <c r="BC72" s="7" t="n"/>
      <c r="BD72" s="7" t="n"/>
      <c r="BE72" s="7" t="n"/>
      <c r="BF72" s="7" t="n"/>
      <c r="BG72" s="7" t="n"/>
      <c r="BH72" s="7" t="n"/>
      <c r="BI72" s="7" t="n"/>
      <c r="BJ72" s="7" t="n"/>
      <c r="BK72" s="7" t="n"/>
    </row>
    <row r="73">
      <c r="A73" s="2" t="inlineStr">
        <is>
          <t>Contribution margin (revenue − variable cost)</t>
        </is>
      </c>
      <c r="B73" s="28" t="inlineStr">
        <is>
          <t>₹</t>
        </is>
      </c>
      <c r="C73" s="30" t="n">
        <v>0</v>
      </c>
      <c r="D73" s="27">
        <f>D63-D71</f>
        <v/>
      </c>
      <c r="E73" s="27">
        <f>E63-E71</f>
        <v/>
      </c>
      <c r="F73" s="27">
        <f>F63-F71</f>
        <v/>
      </c>
      <c r="G73" s="27">
        <f>G63-G71</f>
        <v/>
      </c>
      <c r="H73" s="27">
        <f>H63-H71</f>
        <v/>
      </c>
      <c r="I73" s="27">
        <f>I63-I71</f>
        <v/>
      </c>
      <c r="J73" s="27">
        <f>J63-J71</f>
        <v/>
      </c>
      <c r="K73" s="27">
        <f>K63-K71</f>
        <v/>
      </c>
      <c r="L73" s="27">
        <f>L63-L71</f>
        <v/>
      </c>
      <c r="M73" s="27">
        <f>M63-M71</f>
        <v/>
      </c>
      <c r="N73" s="27">
        <f>N63-N71</f>
        <v/>
      </c>
      <c r="O73" s="27">
        <f>O63-O71</f>
        <v/>
      </c>
      <c r="P73" s="27">
        <f>P63-P71</f>
        <v/>
      </c>
      <c r="Q73" s="27">
        <f>Q63-Q71</f>
        <v/>
      </c>
      <c r="R73" s="27">
        <f>R63-R71</f>
        <v/>
      </c>
      <c r="S73" s="27">
        <f>S63-S71</f>
        <v/>
      </c>
      <c r="T73" s="27">
        <f>T63-T71</f>
        <v/>
      </c>
      <c r="U73" s="27">
        <f>U63-U71</f>
        <v/>
      </c>
      <c r="V73" s="27">
        <f>V63-V71</f>
        <v/>
      </c>
      <c r="W73" s="27">
        <f>W63-W71</f>
        <v/>
      </c>
      <c r="X73" s="27">
        <f>X63-X71</f>
        <v/>
      </c>
      <c r="Y73" s="27">
        <f>Y63-Y71</f>
        <v/>
      </c>
      <c r="Z73" s="27">
        <f>Z63-Z71</f>
        <v/>
      </c>
      <c r="AA73" s="27">
        <f>AA63-AA71</f>
        <v/>
      </c>
      <c r="AB73" s="27">
        <f>AB63-AB71</f>
        <v/>
      </c>
      <c r="AC73" s="27">
        <f>AC63-AC71</f>
        <v/>
      </c>
      <c r="AD73" s="27">
        <f>AD63-AD71</f>
        <v/>
      </c>
      <c r="AE73" s="27">
        <f>AE63-AE71</f>
        <v/>
      </c>
      <c r="AF73" s="27">
        <f>AF63-AF71</f>
        <v/>
      </c>
      <c r="AG73" s="27">
        <f>AG63-AG71</f>
        <v/>
      </c>
      <c r="AH73" s="27">
        <f>AH63-AH71</f>
        <v/>
      </c>
      <c r="AI73" s="27">
        <f>AI63-AI71</f>
        <v/>
      </c>
      <c r="AJ73" s="27">
        <f>AJ63-AJ71</f>
        <v/>
      </c>
      <c r="AK73" s="27">
        <f>AK63-AK71</f>
        <v/>
      </c>
      <c r="AL73" s="27">
        <f>AL63-AL71</f>
        <v/>
      </c>
      <c r="AM73" s="27">
        <f>AM63-AM71</f>
        <v/>
      </c>
      <c r="AN73" s="27">
        <f>AN63-AN71</f>
        <v/>
      </c>
      <c r="AO73" s="27">
        <f>AO63-AO71</f>
        <v/>
      </c>
      <c r="AP73" s="27">
        <f>AP63-AP71</f>
        <v/>
      </c>
      <c r="AQ73" s="27">
        <f>AQ63-AQ71</f>
        <v/>
      </c>
      <c r="AR73" s="27">
        <f>AR63-AR71</f>
        <v/>
      </c>
      <c r="AS73" s="27">
        <f>AS63-AS71</f>
        <v/>
      </c>
      <c r="AT73" s="27">
        <f>AT63-AT71</f>
        <v/>
      </c>
      <c r="AU73" s="27">
        <f>AU63-AU71</f>
        <v/>
      </c>
      <c r="AV73" s="27">
        <f>AV63-AV71</f>
        <v/>
      </c>
      <c r="AW73" s="27">
        <f>AW63-AW71</f>
        <v/>
      </c>
      <c r="AX73" s="27">
        <f>AX63-AX71</f>
        <v/>
      </c>
      <c r="AY73" s="27">
        <f>AY63-AY71</f>
        <v/>
      </c>
      <c r="AZ73" s="27">
        <f>AZ63-AZ71</f>
        <v/>
      </c>
      <c r="BA73" s="27">
        <f>BA63-BA71</f>
        <v/>
      </c>
      <c r="BB73" s="27">
        <f>BB63-BB71</f>
        <v/>
      </c>
      <c r="BC73" s="27">
        <f>BC63-BC71</f>
        <v/>
      </c>
      <c r="BD73" s="27">
        <f>BD63-BD71</f>
        <v/>
      </c>
      <c r="BE73" s="27">
        <f>BE63-BE71</f>
        <v/>
      </c>
      <c r="BF73" s="27">
        <f>BF63-BF71</f>
        <v/>
      </c>
      <c r="BG73" s="27">
        <f>BG63-BG71</f>
        <v/>
      </c>
      <c r="BH73" s="27">
        <f>BH63-BH71</f>
        <v/>
      </c>
      <c r="BI73" s="27">
        <f>BI63-BI71</f>
        <v/>
      </c>
      <c r="BJ73" s="27">
        <f>BJ63-BJ71</f>
        <v/>
      </c>
      <c r="BK73" s="27">
        <f>BK63-BK71</f>
        <v/>
      </c>
    </row>
    <row r="74">
      <c r="A74" s="25" t="inlineStr">
        <is>
          <t>…per activated saver</t>
        </is>
      </c>
      <c r="B74" s="28" t="inlineStr">
        <is>
          <t>₹</t>
        </is>
      </c>
      <c r="C74" s="44" t="n">
        <v>0</v>
      </c>
      <c r="D74" s="45">
        <f>D73/seg_n_gig</f>
        <v/>
      </c>
      <c r="E74" s="45">
        <f>E73/seg_n_gig</f>
        <v/>
      </c>
      <c r="F74" s="45">
        <f>F73/seg_n_gig</f>
        <v/>
      </c>
      <c r="G74" s="45">
        <f>G73/seg_n_gig</f>
        <v/>
      </c>
      <c r="H74" s="45">
        <f>H73/seg_n_gig</f>
        <v/>
      </c>
      <c r="I74" s="45">
        <f>I73/seg_n_gig</f>
        <v/>
      </c>
      <c r="J74" s="45">
        <f>J73/seg_n_gig</f>
        <v/>
      </c>
      <c r="K74" s="45">
        <f>K73/seg_n_gig</f>
        <v/>
      </c>
      <c r="L74" s="45">
        <f>L73/seg_n_gig</f>
        <v/>
      </c>
      <c r="M74" s="45">
        <f>M73/seg_n_gig</f>
        <v/>
      </c>
      <c r="N74" s="45">
        <f>N73/seg_n_gig</f>
        <v/>
      </c>
      <c r="O74" s="45">
        <f>O73/seg_n_gig</f>
        <v/>
      </c>
      <c r="P74" s="45">
        <f>P73/seg_n_gig</f>
        <v/>
      </c>
      <c r="Q74" s="45">
        <f>Q73/seg_n_gig</f>
        <v/>
      </c>
      <c r="R74" s="45">
        <f>R73/seg_n_gig</f>
        <v/>
      </c>
      <c r="S74" s="45">
        <f>S73/seg_n_gig</f>
        <v/>
      </c>
      <c r="T74" s="45">
        <f>T73/seg_n_gig</f>
        <v/>
      </c>
      <c r="U74" s="45">
        <f>U73/seg_n_gig</f>
        <v/>
      </c>
      <c r="V74" s="45">
        <f>V73/seg_n_gig</f>
        <v/>
      </c>
      <c r="W74" s="45">
        <f>W73/seg_n_gig</f>
        <v/>
      </c>
      <c r="X74" s="45">
        <f>X73/seg_n_gig</f>
        <v/>
      </c>
      <c r="Y74" s="45">
        <f>Y73/seg_n_gig</f>
        <v/>
      </c>
      <c r="Z74" s="45">
        <f>Z73/seg_n_gig</f>
        <v/>
      </c>
      <c r="AA74" s="45">
        <f>AA73/seg_n_gig</f>
        <v/>
      </c>
      <c r="AB74" s="45">
        <f>AB73/seg_n_gig</f>
        <v/>
      </c>
      <c r="AC74" s="45">
        <f>AC73/seg_n_gig</f>
        <v/>
      </c>
      <c r="AD74" s="45">
        <f>AD73/seg_n_gig</f>
        <v/>
      </c>
      <c r="AE74" s="45">
        <f>AE73/seg_n_gig</f>
        <v/>
      </c>
      <c r="AF74" s="45">
        <f>AF73/seg_n_gig</f>
        <v/>
      </c>
      <c r="AG74" s="45">
        <f>AG73/seg_n_gig</f>
        <v/>
      </c>
      <c r="AH74" s="45">
        <f>AH73/seg_n_gig</f>
        <v/>
      </c>
      <c r="AI74" s="45">
        <f>AI73/seg_n_gig</f>
        <v/>
      </c>
      <c r="AJ74" s="45">
        <f>AJ73/seg_n_gig</f>
        <v/>
      </c>
      <c r="AK74" s="45">
        <f>AK73/seg_n_gig</f>
        <v/>
      </c>
      <c r="AL74" s="45">
        <f>AL73/seg_n_gig</f>
        <v/>
      </c>
      <c r="AM74" s="45">
        <f>AM73/seg_n_gig</f>
        <v/>
      </c>
      <c r="AN74" s="45">
        <f>AN73/seg_n_gig</f>
        <v/>
      </c>
      <c r="AO74" s="45">
        <f>AO73/seg_n_gig</f>
        <v/>
      </c>
      <c r="AP74" s="45">
        <f>AP73/seg_n_gig</f>
        <v/>
      </c>
      <c r="AQ74" s="45">
        <f>AQ73/seg_n_gig</f>
        <v/>
      </c>
      <c r="AR74" s="45">
        <f>AR73/seg_n_gig</f>
        <v/>
      </c>
      <c r="AS74" s="45">
        <f>AS73/seg_n_gig</f>
        <v/>
      </c>
      <c r="AT74" s="45">
        <f>AT73/seg_n_gig</f>
        <v/>
      </c>
      <c r="AU74" s="45">
        <f>AU73/seg_n_gig</f>
        <v/>
      </c>
      <c r="AV74" s="45">
        <f>AV73/seg_n_gig</f>
        <v/>
      </c>
      <c r="AW74" s="45">
        <f>AW73/seg_n_gig</f>
        <v/>
      </c>
      <c r="AX74" s="45">
        <f>AX73/seg_n_gig</f>
        <v/>
      </c>
      <c r="AY74" s="45">
        <f>AY73/seg_n_gig</f>
        <v/>
      </c>
      <c r="AZ74" s="45">
        <f>AZ73/seg_n_gig</f>
        <v/>
      </c>
      <c r="BA74" s="45">
        <f>BA73/seg_n_gig</f>
        <v/>
      </c>
      <c r="BB74" s="45">
        <f>BB73/seg_n_gig</f>
        <v/>
      </c>
      <c r="BC74" s="45">
        <f>BC73/seg_n_gig</f>
        <v/>
      </c>
      <c r="BD74" s="45">
        <f>BD73/seg_n_gig</f>
        <v/>
      </c>
      <c r="BE74" s="45">
        <f>BE73/seg_n_gig</f>
        <v/>
      </c>
      <c r="BF74" s="45">
        <f>BF73/seg_n_gig</f>
        <v/>
      </c>
      <c r="BG74" s="45">
        <f>BG73/seg_n_gig</f>
        <v/>
      </c>
      <c r="BH74" s="45">
        <f>BH73/seg_n_gig</f>
        <v/>
      </c>
      <c r="BI74" s="45">
        <f>BI73/seg_n_gig</f>
        <v/>
      </c>
      <c r="BJ74" s="45">
        <f>BJ73/seg_n_gig</f>
        <v/>
      </c>
      <c r="BK74" s="45">
        <f>BK73/seg_n_gig</f>
        <v/>
      </c>
    </row>
    <row r="75">
      <c r="A75" s="25" t="inlineStr">
        <is>
          <t>Cumulative contribution per activated saver</t>
        </is>
      </c>
      <c r="B75" s="28" t="inlineStr">
        <is>
          <t>₹</t>
        </is>
      </c>
      <c r="C75" s="44" t="n">
        <v>0</v>
      </c>
      <c r="D75" s="45">
        <f>C75+D74</f>
        <v/>
      </c>
      <c r="E75" s="45">
        <f>D75+E74</f>
        <v/>
      </c>
      <c r="F75" s="45">
        <f>E75+F74</f>
        <v/>
      </c>
      <c r="G75" s="45">
        <f>F75+G74</f>
        <v/>
      </c>
      <c r="H75" s="45">
        <f>G75+H74</f>
        <v/>
      </c>
      <c r="I75" s="45">
        <f>H75+I74</f>
        <v/>
      </c>
      <c r="J75" s="45">
        <f>I75+J74</f>
        <v/>
      </c>
      <c r="K75" s="45">
        <f>J75+K74</f>
        <v/>
      </c>
      <c r="L75" s="45">
        <f>K75+L74</f>
        <v/>
      </c>
      <c r="M75" s="45">
        <f>L75+M74</f>
        <v/>
      </c>
      <c r="N75" s="45">
        <f>M75+N74</f>
        <v/>
      </c>
      <c r="O75" s="45">
        <f>N75+O74</f>
        <v/>
      </c>
      <c r="P75" s="45">
        <f>O75+P74</f>
        <v/>
      </c>
      <c r="Q75" s="45">
        <f>P75+Q74</f>
        <v/>
      </c>
      <c r="R75" s="45">
        <f>Q75+R74</f>
        <v/>
      </c>
      <c r="S75" s="45">
        <f>R75+S74</f>
        <v/>
      </c>
      <c r="T75" s="45">
        <f>S75+T74</f>
        <v/>
      </c>
      <c r="U75" s="45">
        <f>T75+U74</f>
        <v/>
      </c>
      <c r="V75" s="45">
        <f>U75+V74</f>
        <v/>
      </c>
      <c r="W75" s="45">
        <f>V75+W74</f>
        <v/>
      </c>
      <c r="X75" s="45">
        <f>W75+X74</f>
        <v/>
      </c>
      <c r="Y75" s="45">
        <f>X75+Y74</f>
        <v/>
      </c>
      <c r="Z75" s="45">
        <f>Y75+Z74</f>
        <v/>
      </c>
      <c r="AA75" s="45">
        <f>Z75+AA74</f>
        <v/>
      </c>
      <c r="AB75" s="45">
        <f>AA75+AB74</f>
        <v/>
      </c>
      <c r="AC75" s="45">
        <f>AB75+AC74</f>
        <v/>
      </c>
      <c r="AD75" s="45">
        <f>AC75+AD74</f>
        <v/>
      </c>
      <c r="AE75" s="45">
        <f>AD75+AE74</f>
        <v/>
      </c>
      <c r="AF75" s="45">
        <f>AE75+AF74</f>
        <v/>
      </c>
      <c r="AG75" s="45">
        <f>AF75+AG74</f>
        <v/>
      </c>
      <c r="AH75" s="45">
        <f>AG75+AH74</f>
        <v/>
      </c>
      <c r="AI75" s="45">
        <f>AH75+AI74</f>
        <v/>
      </c>
      <c r="AJ75" s="45">
        <f>AI75+AJ74</f>
        <v/>
      </c>
      <c r="AK75" s="45">
        <f>AJ75+AK74</f>
        <v/>
      </c>
      <c r="AL75" s="45">
        <f>AK75+AL74</f>
        <v/>
      </c>
      <c r="AM75" s="45">
        <f>AL75+AM74</f>
        <v/>
      </c>
      <c r="AN75" s="45">
        <f>AM75+AN74</f>
        <v/>
      </c>
      <c r="AO75" s="45">
        <f>AN75+AO74</f>
        <v/>
      </c>
      <c r="AP75" s="45">
        <f>AO75+AP74</f>
        <v/>
      </c>
      <c r="AQ75" s="45">
        <f>AP75+AQ74</f>
        <v/>
      </c>
      <c r="AR75" s="45">
        <f>AQ75+AR74</f>
        <v/>
      </c>
      <c r="AS75" s="45">
        <f>AR75+AS74</f>
        <v/>
      </c>
      <c r="AT75" s="45">
        <f>AS75+AT74</f>
        <v/>
      </c>
      <c r="AU75" s="45">
        <f>AT75+AU74</f>
        <v/>
      </c>
      <c r="AV75" s="45">
        <f>AU75+AV74</f>
        <v/>
      </c>
      <c r="AW75" s="45">
        <f>AV75+AW74</f>
        <v/>
      </c>
      <c r="AX75" s="45">
        <f>AW75+AX74</f>
        <v/>
      </c>
      <c r="AY75" s="45">
        <f>AX75+AY74</f>
        <v/>
      </c>
      <c r="AZ75" s="45">
        <f>AY75+AZ74</f>
        <v/>
      </c>
      <c r="BA75" s="45">
        <f>AZ75+BA74</f>
        <v/>
      </c>
      <c r="BB75" s="45">
        <f>BA75+BB74</f>
        <v/>
      </c>
      <c r="BC75" s="45">
        <f>BB75+BC74</f>
        <v/>
      </c>
      <c r="BD75" s="45">
        <f>BC75+BD74</f>
        <v/>
      </c>
      <c r="BE75" s="45">
        <f>BD75+BE74</f>
        <v/>
      </c>
      <c r="BF75" s="45">
        <f>BE75+BF74</f>
        <v/>
      </c>
      <c r="BG75" s="45">
        <f>BF75+BG74</f>
        <v/>
      </c>
      <c r="BH75" s="45">
        <f>BG75+BH74</f>
        <v/>
      </c>
      <c r="BI75" s="45">
        <f>BH75+BI74</f>
        <v/>
      </c>
      <c r="BJ75" s="45">
        <f>BI75+BJ74</f>
        <v/>
      </c>
      <c r="BK75" s="45">
        <f>BJ75+BK74</f>
        <v/>
      </c>
    </row>
    <row r="76">
      <c r="A76" s="25" t="inlineStr">
        <is>
          <t>Discounted contribution per activated saver</t>
        </is>
      </c>
      <c r="B76" s="28" t="inlineStr">
        <is>
          <t>₹</t>
        </is>
      </c>
      <c r="C76" s="44" t="n">
        <v>0</v>
      </c>
      <c r="D76" s="45">
        <f>D74/(1+disc_rate)^(D$4/12)</f>
        <v/>
      </c>
      <c r="E76" s="45">
        <f>E74/(1+disc_rate)^(E$4/12)</f>
        <v/>
      </c>
      <c r="F76" s="45">
        <f>F74/(1+disc_rate)^(F$4/12)</f>
        <v/>
      </c>
      <c r="G76" s="45">
        <f>G74/(1+disc_rate)^(G$4/12)</f>
        <v/>
      </c>
      <c r="H76" s="45">
        <f>H74/(1+disc_rate)^(H$4/12)</f>
        <v/>
      </c>
      <c r="I76" s="45">
        <f>I74/(1+disc_rate)^(I$4/12)</f>
        <v/>
      </c>
      <c r="J76" s="45">
        <f>J74/(1+disc_rate)^(J$4/12)</f>
        <v/>
      </c>
      <c r="K76" s="45">
        <f>K74/(1+disc_rate)^(K$4/12)</f>
        <v/>
      </c>
      <c r="L76" s="45">
        <f>L74/(1+disc_rate)^(L$4/12)</f>
        <v/>
      </c>
      <c r="M76" s="45">
        <f>M74/(1+disc_rate)^(M$4/12)</f>
        <v/>
      </c>
      <c r="N76" s="45">
        <f>N74/(1+disc_rate)^(N$4/12)</f>
        <v/>
      </c>
      <c r="O76" s="45">
        <f>O74/(1+disc_rate)^(O$4/12)</f>
        <v/>
      </c>
      <c r="P76" s="45">
        <f>P74/(1+disc_rate)^(P$4/12)</f>
        <v/>
      </c>
      <c r="Q76" s="45">
        <f>Q74/(1+disc_rate)^(Q$4/12)</f>
        <v/>
      </c>
      <c r="R76" s="45">
        <f>R74/(1+disc_rate)^(R$4/12)</f>
        <v/>
      </c>
      <c r="S76" s="45">
        <f>S74/(1+disc_rate)^(S$4/12)</f>
        <v/>
      </c>
      <c r="T76" s="45">
        <f>T74/(1+disc_rate)^(T$4/12)</f>
        <v/>
      </c>
      <c r="U76" s="45">
        <f>U74/(1+disc_rate)^(U$4/12)</f>
        <v/>
      </c>
      <c r="V76" s="45">
        <f>V74/(1+disc_rate)^(V$4/12)</f>
        <v/>
      </c>
      <c r="W76" s="45">
        <f>W74/(1+disc_rate)^(W$4/12)</f>
        <v/>
      </c>
      <c r="X76" s="45">
        <f>X74/(1+disc_rate)^(X$4/12)</f>
        <v/>
      </c>
      <c r="Y76" s="45">
        <f>Y74/(1+disc_rate)^(Y$4/12)</f>
        <v/>
      </c>
      <c r="Z76" s="45">
        <f>Z74/(1+disc_rate)^(Z$4/12)</f>
        <v/>
      </c>
      <c r="AA76" s="45">
        <f>AA74/(1+disc_rate)^(AA$4/12)</f>
        <v/>
      </c>
      <c r="AB76" s="45">
        <f>AB74/(1+disc_rate)^(AB$4/12)</f>
        <v/>
      </c>
      <c r="AC76" s="45">
        <f>AC74/(1+disc_rate)^(AC$4/12)</f>
        <v/>
      </c>
      <c r="AD76" s="45">
        <f>AD74/(1+disc_rate)^(AD$4/12)</f>
        <v/>
      </c>
      <c r="AE76" s="45">
        <f>AE74/(1+disc_rate)^(AE$4/12)</f>
        <v/>
      </c>
      <c r="AF76" s="45">
        <f>AF74/(1+disc_rate)^(AF$4/12)</f>
        <v/>
      </c>
      <c r="AG76" s="45">
        <f>AG74/(1+disc_rate)^(AG$4/12)</f>
        <v/>
      </c>
      <c r="AH76" s="45">
        <f>AH74/(1+disc_rate)^(AH$4/12)</f>
        <v/>
      </c>
      <c r="AI76" s="45">
        <f>AI74/(1+disc_rate)^(AI$4/12)</f>
        <v/>
      </c>
      <c r="AJ76" s="45">
        <f>AJ74/(1+disc_rate)^(AJ$4/12)</f>
        <v/>
      </c>
      <c r="AK76" s="45">
        <f>AK74/(1+disc_rate)^(AK$4/12)</f>
        <v/>
      </c>
      <c r="AL76" s="45">
        <f>AL74/(1+disc_rate)^(AL$4/12)</f>
        <v/>
      </c>
      <c r="AM76" s="45">
        <f>AM74/(1+disc_rate)^(AM$4/12)</f>
        <v/>
      </c>
      <c r="AN76" s="45">
        <f>AN74/(1+disc_rate)^(AN$4/12)</f>
        <v/>
      </c>
      <c r="AO76" s="45">
        <f>AO74/(1+disc_rate)^(AO$4/12)</f>
        <v/>
      </c>
      <c r="AP76" s="45">
        <f>AP74/(1+disc_rate)^(AP$4/12)</f>
        <v/>
      </c>
      <c r="AQ76" s="45">
        <f>AQ74/(1+disc_rate)^(AQ$4/12)</f>
        <v/>
      </c>
      <c r="AR76" s="45">
        <f>AR74/(1+disc_rate)^(AR$4/12)</f>
        <v/>
      </c>
      <c r="AS76" s="45">
        <f>AS74/(1+disc_rate)^(AS$4/12)</f>
        <v/>
      </c>
      <c r="AT76" s="45">
        <f>AT74/(1+disc_rate)^(AT$4/12)</f>
        <v/>
      </c>
      <c r="AU76" s="45">
        <f>AU74/(1+disc_rate)^(AU$4/12)</f>
        <v/>
      </c>
      <c r="AV76" s="45">
        <f>AV74/(1+disc_rate)^(AV$4/12)</f>
        <v/>
      </c>
      <c r="AW76" s="45">
        <f>AW74/(1+disc_rate)^(AW$4/12)</f>
        <v/>
      </c>
      <c r="AX76" s="45">
        <f>AX74/(1+disc_rate)^(AX$4/12)</f>
        <v/>
      </c>
      <c r="AY76" s="45">
        <f>AY74/(1+disc_rate)^(AY$4/12)</f>
        <v/>
      </c>
      <c r="AZ76" s="45">
        <f>AZ74/(1+disc_rate)^(AZ$4/12)</f>
        <v/>
      </c>
      <c r="BA76" s="45">
        <f>BA74/(1+disc_rate)^(BA$4/12)</f>
        <v/>
      </c>
      <c r="BB76" s="45">
        <f>BB74/(1+disc_rate)^(BB$4/12)</f>
        <v/>
      </c>
      <c r="BC76" s="45">
        <f>BC74/(1+disc_rate)^(BC$4/12)</f>
        <v/>
      </c>
      <c r="BD76" s="45">
        <f>BD74/(1+disc_rate)^(BD$4/12)</f>
        <v/>
      </c>
      <c r="BE76" s="45">
        <f>BE74/(1+disc_rate)^(BE$4/12)</f>
        <v/>
      </c>
      <c r="BF76" s="45">
        <f>BF74/(1+disc_rate)^(BF$4/12)</f>
        <v/>
      </c>
      <c r="BG76" s="45">
        <f>BG74/(1+disc_rate)^(BG$4/12)</f>
        <v/>
      </c>
      <c r="BH76" s="45">
        <f>BH74/(1+disc_rate)^(BH$4/12)</f>
        <v/>
      </c>
      <c r="BI76" s="45">
        <f>BI74/(1+disc_rate)^(BI$4/12)</f>
        <v/>
      </c>
      <c r="BJ76" s="45">
        <f>BJ74/(1+disc_rate)^(BJ$4/12)</f>
        <v/>
      </c>
      <c r="BK76" s="45">
        <f>BK74/(1+disc_rate)^(BK$4/12)</f>
        <v/>
      </c>
    </row>
    <row r="77">
      <c r="A77" s="25" t="inlineStr">
        <is>
          <t>Payback flag (month if cumulative ≥ CAC, else 999)</t>
        </is>
      </c>
      <c r="B77" s="28" t="inlineStr">
        <is>
          <t>month</t>
        </is>
      </c>
      <c r="D77" s="46">
        <f>IF(D75&gt;=cac_gig,D$4,999)</f>
        <v/>
      </c>
      <c r="E77" s="46">
        <f>IF(E75&gt;=cac_gig,E$4,999)</f>
        <v/>
      </c>
      <c r="F77" s="46">
        <f>IF(F75&gt;=cac_gig,F$4,999)</f>
        <v/>
      </c>
      <c r="G77" s="46">
        <f>IF(G75&gt;=cac_gig,G$4,999)</f>
        <v/>
      </c>
      <c r="H77" s="46">
        <f>IF(H75&gt;=cac_gig,H$4,999)</f>
        <v/>
      </c>
      <c r="I77" s="46">
        <f>IF(I75&gt;=cac_gig,I$4,999)</f>
        <v/>
      </c>
      <c r="J77" s="46">
        <f>IF(J75&gt;=cac_gig,J$4,999)</f>
        <v/>
      </c>
      <c r="K77" s="46">
        <f>IF(K75&gt;=cac_gig,K$4,999)</f>
        <v/>
      </c>
      <c r="L77" s="46">
        <f>IF(L75&gt;=cac_gig,L$4,999)</f>
        <v/>
      </c>
      <c r="M77" s="46">
        <f>IF(M75&gt;=cac_gig,M$4,999)</f>
        <v/>
      </c>
      <c r="N77" s="46">
        <f>IF(N75&gt;=cac_gig,N$4,999)</f>
        <v/>
      </c>
      <c r="O77" s="46">
        <f>IF(O75&gt;=cac_gig,O$4,999)</f>
        <v/>
      </c>
      <c r="P77" s="46">
        <f>IF(P75&gt;=cac_gig,P$4,999)</f>
        <v/>
      </c>
      <c r="Q77" s="46">
        <f>IF(Q75&gt;=cac_gig,Q$4,999)</f>
        <v/>
      </c>
      <c r="R77" s="46">
        <f>IF(R75&gt;=cac_gig,R$4,999)</f>
        <v/>
      </c>
      <c r="S77" s="46">
        <f>IF(S75&gt;=cac_gig,S$4,999)</f>
        <v/>
      </c>
      <c r="T77" s="46">
        <f>IF(T75&gt;=cac_gig,T$4,999)</f>
        <v/>
      </c>
      <c r="U77" s="46">
        <f>IF(U75&gt;=cac_gig,U$4,999)</f>
        <v/>
      </c>
      <c r="V77" s="46">
        <f>IF(V75&gt;=cac_gig,V$4,999)</f>
        <v/>
      </c>
      <c r="W77" s="46">
        <f>IF(W75&gt;=cac_gig,W$4,999)</f>
        <v/>
      </c>
      <c r="X77" s="46">
        <f>IF(X75&gt;=cac_gig,X$4,999)</f>
        <v/>
      </c>
      <c r="Y77" s="46">
        <f>IF(Y75&gt;=cac_gig,Y$4,999)</f>
        <v/>
      </c>
      <c r="Z77" s="46">
        <f>IF(Z75&gt;=cac_gig,Z$4,999)</f>
        <v/>
      </c>
      <c r="AA77" s="46">
        <f>IF(AA75&gt;=cac_gig,AA$4,999)</f>
        <v/>
      </c>
      <c r="AB77" s="46">
        <f>IF(AB75&gt;=cac_gig,AB$4,999)</f>
        <v/>
      </c>
      <c r="AC77" s="46">
        <f>IF(AC75&gt;=cac_gig,AC$4,999)</f>
        <v/>
      </c>
      <c r="AD77" s="46">
        <f>IF(AD75&gt;=cac_gig,AD$4,999)</f>
        <v/>
      </c>
      <c r="AE77" s="46">
        <f>IF(AE75&gt;=cac_gig,AE$4,999)</f>
        <v/>
      </c>
      <c r="AF77" s="46">
        <f>IF(AF75&gt;=cac_gig,AF$4,999)</f>
        <v/>
      </c>
      <c r="AG77" s="46">
        <f>IF(AG75&gt;=cac_gig,AG$4,999)</f>
        <v/>
      </c>
      <c r="AH77" s="46">
        <f>IF(AH75&gt;=cac_gig,AH$4,999)</f>
        <v/>
      </c>
      <c r="AI77" s="46">
        <f>IF(AI75&gt;=cac_gig,AI$4,999)</f>
        <v/>
      </c>
      <c r="AJ77" s="46">
        <f>IF(AJ75&gt;=cac_gig,AJ$4,999)</f>
        <v/>
      </c>
      <c r="AK77" s="46">
        <f>IF(AK75&gt;=cac_gig,AK$4,999)</f>
        <v/>
      </c>
      <c r="AL77" s="46">
        <f>IF(AL75&gt;=cac_gig,AL$4,999)</f>
        <v/>
      </c>
      <c r="AM77" s="46">
        <f>IF(AM75&gt;=cac_gig,AM$4,999)</f>
        <v/>
      </c>
      <c r="AN77" s="46">
        <f>IF(AN75&gt;=cac_gig,AN$4,999)</f>
        <v/>
      </c>
      <c r="AO77" s="46">
        <f>IF(AO75&gt;=cac_gig,AO$4,999)</f>
        <v/>
      </c>
      <c r="AP77" s="46">
        <f>IF(AP75&gt;=cac_gig,AP$4,999)</f>
        <v/>
      </c>
      <c r="AQ77" s="46">
        <f>IF(AQ75&gt;=cac_gig,AQ$4,999)</f>
        <v/>
      </c>
      <c r="AR77" s="46">
        <f>IF(AR75&gt;=cac_gig,AR$4,999)</f>
        <v/>
      </c>
      <c r="AS77" s="46">
        <f>IF(AS75&gt;=cac_gig,AS$4,999)</f>
        <v/>
      </c>
      <c r="AT77" s="46">
        <f>IF(AT75&gt;=cac_gig,AT$4,999)</f>
        <v/>
      </c>
      <c r="AU77" s="46">
        <f>IF(AU75&gt;=cac_gig,AU$4,999)</f>
        <v/>
      </c>
      <c r="AV77" s="46">
        <f>IF(AV75&gt;=cac_gig,AV$4,999)</f>
        <v/>
      </c>
      <c r="AW77" s="46">
        <f>IF(AW75&gt;=cac_gig,AW$4,999)</f>
        <v/>
      </c>
      <c r="AX77" s="46">
        <f>IF(AX75&gt;=cac_gig,AX$4,999)</f>
        <v/>
      </c>
      <c r="AY77" s="46">
        <f>IF(AY75&gt;=cac_gig,AY$4,999)</f>
        <v/>
      </c>
      <c r="AZ77" s="46">
        <f>IF(AZ75&gt;=cac_gig,AZ$4,999)</f>
        <v/>
      </c>
      <c r="BA77" s="46">
        <f>IF(BA75&gt;=cac_gig,BA$4,999)</f>
        <v/>
      </c>
      <c r="BB77" s="46">
        <f>IF(BB75&gt;=cac_gig,BB$4,999)</f>
        <v/>
      </c>
      <c r="BC77" s="46">
        <f>IF(BC75&gt;=cac_gig,BC$4,999)</f>
        <v/>
      </c>
      <c r="BD77" s="46">
        <f>IF(BD75&gt;=cac_gig,BD$4,999)</f>
        <v/>
      </c>
      <c r="BE77" s="46">
        <f>IF(BE75&gt;=cac_gig,BE$4,999)</f>
        <v/>
      </c>
      <c r="BF77" s="46">
        <f>IF(BF75&gt;=cac_gig,BF$4,999)</f>
        <v/>
      </c>
      <c r="BG77" s="46">
        <f>IF(BG75&gt;=cac_gig,BG$4,999)</f>
        <v/>
      </c>
      <c r="BH77" s="46">
        <f>IF(BH75&gt;=cac_gig,BH$4,999)</f>
        <v/>
      </c>
      <c r="BI77" s="46">
        <f>IF(BI75&gt;=cac_gig,BI$4,999)</f>
        <v/>
      </c>
      <c r="BJ77" s="46">
        <f>IF(BJ75&gt;=cac_gig,BJ$4,999)</f>
        <v/>
      </c>
      <c r="BK77" s="46">
        <f>IF(BK75&gt;=cac_gig,BK$4,999)</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K7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s>
  <sheetData>
    <row r="1">
      <c r="A1" s="1" t="inlineStr">
        <is>
          <t>Cohort: the NON-GIG savers (shopkeepers, self-employed trades, workers outside the apps, small business owners) in one monthly cohort, followed for 60 months (scenario from Inputs!C2)</t>
        </is>
      </c>
    </row>
    <row r="2">
      <c r="A2" s="28" t="inlineStr">
        <is>
          <t>Month 0 (column C) holds the starting state. Loan, card and insurance economics are booked in the month the loan, card or policy is issued. Numbers are for the whole cohort unless the row says 'per activated saver'.</t>
        </is>
      </c>
    </row>
    <row r="4">
      <c r="A4" s="2" t="inlineStr">
        <is>
          <t>Month of cohort life</t>
        </is>
      </c>
      <c r="B4" s="2" t="inlineStr">
        <is>
          <t>unit</t>
        </is>
      </c>
      <c r="C4" s="41" t="n">
        <v>0</v>
      </c>
      <c r="D4" s="41" t="n">
        <v>1</v>
      </c>
      <c r="E4" s="41" t="n">
        <v>2</v>
      </c>
      <c r="F4" s="41" t="n">
        <v>3</v>
      </c>
      <c r="G4" s="41" t="n">
        <v>4</v>
      </c>
      <c r="H4" s="41" t="n">
        <v>5</v>
      </c>
      <c r="I4" s="41" t="n">
        <v>6</v>
      </c>
      <c r="J4" s="41" t="n">
        <v>7</v>
      </c>
      <c r="K4" s="41" t="n">
        <v>8</v>
      </c>
      <c r="L4" s="41" t="n">
        <v>9</v>
      </c>
      <c r="M4" s="41" t="n">
        <v>10</v>
      </c>
      <c r="N4" s="41" t="n">
        <v>11</v>
      </c>
      <c r="O4" s="41" t="n">
        <v>12</v>
      </c>
      <c r="P4" s="41" t="n">
        <v>13</v>
      </c>
      <c r="Q4" s="41" t="n">
        <v>14</v>
      </c>
      <c r="R4" s="41" t="n">
        <v>15</v>
      </c>
      <c r="S4" s="41" t="n">
        <v>16</v>
      </c>
      <c r="T4" s="41" t="n">
        <v>17</v>
      </c>
      <c r="U4" s="41" t="n">
        <v>18</v>
      </c>
      <c r="V4" s="41" t="n">
        <v>19</v>
      </c>
      <c r="W4" s="41" t="n">
        <v>20</v>
      </c>
      <c r="X4" s="41" t="n">
        <v>21</v>
      </c>
      <c r="Y4" s="41" t="n">
        <v>22</v>
      </c>
      <c r="Z4" s="41" t="n">
        <v>23</v>
      </c>
      <c r="AA4" s="41" t="n">
        <v>24</v>
      </c>
      <c r="AB4" s="41" t="n">
        <v>25</v>
      </c>
      <c r="AC4" s="41" t="n">
        <v>26</v>
      </c>
      <c r="AD4" s="41" t="n">
        <v>27</v>
      </c>
      <c r="AE4" s="41" t="n">
        <v>28</v>
      </c>
      <c r="AF4" s="41" t="n">
        <v>29</v>
      </c>
      <c r="AG4" s="41" t="n">
        <v>30</v>
      </c>
      <c r="AH4" s="41" t="n">
        <v>31</v>
      </c>
      <c r="AI4" s="41" t="n">
        <v>32</v>
      </c>
      <c r="AJ4" s="41" t="n">
        <v>33</v>
      </c>
      <c r="AK4" s="41" t="n">
        <v>34</v>
      </c>
      <c r="AL4" s="41" t="n">
        <v>35</v>
      </c>
      <c r="AM4" s="41" t="n">
        <v>36</v>
      </c>
      <c r="AN4" s="41" t="n">
        <v>37</v>
      </c>
      <c r="AO4" s="41" t="n">
        <v>38</v>
      </c>
      <c r="AP4" s="41" t="n">
        <v>39</v>
      </c>
      <c r="AQ4" s="41" t="n">
        <v>40</v>
      </c>
      <c r="AR4" s="41" t="n">
        <v>41</v>
      </c>
      <c r="AS4" s="41" t="n">
        <v>42</v>
      </c>
      <c r="AT4" s="41" t="n">
        <v>43</v>
      </c>
      <c r="AU4" s="41" t="n">
        <v>44</v>
      </c>
      <c r="AV4" s="41" t="n">
        <v>45</v>
      </c>
      <c r="AW4" s="41" t="n">
        <v>46</v>
      </c>
      <c r="AX4" s="41" t="n">
        <v>47</v>
      </c>
      <c r="AY4" s="41" t="n">
        <v>48</v>
      </c>
      <c r="AZ4" s="41" t="n">
        <v>49</v>
      </c>
      <c r="BA4" s="41" t="n">
        <v>50</v>
      </c>
      <c r="BB4" s="41" t="n">
        <v>51</v>
      </c>
      <c r="BC4" s="41" t="n">
        <v>52</v>
      </c>
      <c r="BD4" s="41" t="n">
        <v>53</v>
      </c>
      <c r="BE4" s="41" t="n">
        <v>54</v>
      </c>
      <c r="BF4" s="41" t="n">
        <v>55</v>
      </c>
      <c r="BG4" s="41" t="n">
        <v>56</v>
      </c>
      <c r="BH4" s="41" t="n">
        <v>57</v>
      </c>
      <c r="BI4" s="41" t="n">
        <v>58</v>
      </c>
      <c r="BJ4" s="41" t="n">
        <v>59</v>
      </c>
      <c r="BK4" s="41" t="n">
        <v>60</v>
      </c>
    </row>
    <row r="5">
      <c r="A5" s="6" t="inlineStr">
        <is>
          <t>Savers</t>
        </is>
      </c>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c r="AC5" s="7" t="n"/>
      <c r="AD5" s="7" t="n"/>
      <c r="AE5" s="7" t="n"/>
      <c r="AF5" s="7" t="n"/>
      <c r="AG5" s="7" t="n"/>
      <c r="AH5" s="7" t="n"/>
      <c r="AI5" s="7" t="n"/>
      <c r="AJ5" s="7" t="n"/>
      <c r="AK5" s="7" t="n"/>
      <c r="AL5" s="7" t="n"/>
      <c r="AM5" s="7" t="n"/>
      <c r="AN5" s="7" t="n"/>
      <c r="AO5" s="7" t="n"/>
      <c r="AP5" s="7" t="n"/>
      <c r="AQ5" s="7" t="n"/>
      <c r="AR5" s="7" t="n"/>
      <c r="AS5" s="7" t="n"/>
      <c r="AT5" s="7" t="n"/>
      <c r="AU5" s="7" t="n"/>
      <c r="AV5" s="7" t="n"/>
      <c r="AW5" s="7" t="n"/>
      <c r="AX5" s="7" t="n"/>
      <c r="AY5" s="7" t="n"/>
      <c r="AZ5" s="7" t="n"/>
      <c r="BA5" s="7" t="n"/>
      <c r="BB5" s="7" t="n"/>
      <c r="BC5" s="7" t="n"/>
      <c r="BD5" s="7" t="n"/>
      <c r="BE5" s="7" t="n"/>
      <c r="BF5" s="7" t="n"/>
      <c r="BG5" s="7" t="n"/>
      <c r="BH5" s="7" t="n"/>
      <c r="BI5" s="7" t="n"/>
      <c r="BJ5" s="7" t="n"/>
      <c r="BK5" s="7" t="n"/>
    </row>
    <row r="6">
      <c r="A6" s="25" t="inlineStr">
        <is>
          <t>Share of activated savers still saving</t>
        </is>
      </c>
      <c r="B6" s="28" t="inlineStr">
        <is>
          <t>share</t>
        </is>
      </c>
      <c r="C6" s="29" t="n">
        <v>1</v>
      </c>
      <c r="D6" s="31">
        <f>IF(D$4&lt;=1,ret_m1_ng^D$4,IF(D$4&lt;=3,ret_m1_ng*(ret_m3_ng/ret_m1_ng)^((D$4-1)/2),IF(D$4&lt;=6,ret_m3_ng*(ret_m6_ng/ret_m3_ng)^((D$4-3)/3),IF(D$4&lt;=12,ret_m6_ng*(ret_m12_ng/ret_m6_ng)^((D$4-6)/6),IF(D$4&lt;=24,ret_m12_ng*(ret_m24_ng/ret_m12_ng)^((D$4-12)/12),ret_m24_ng*(1-churn_late_ng)^(D$4-24))))))</f>
        <v/>
      </c>
      <c r="E6" s="31">
        <f>IF(E$4&lt;=1,ret_m1_ng^E$4,IF(E$4&lt;=3,ret_m1_ng*(ret_m3_ng/ret_m1_ng)^((E$4-1)/2),IF(E$4&lt;=6,ret_m3_ng*(ret_m6_ng/ret_m3_ng)^((E$4-3)/3),IF(E$4&lt;=12,ret_m6_ng*(ret_m12_ng/ret_m6_ng)^((E$4-6)/6),IF(E$4&lt;=24,ret_m12_ng*(ret_m24_ng/ret_m12_ng)^((E$4-12)/12),ret_m24_ng*(1-churn_late_ng)^(E$4-24))))))</f>
        <v/>
      </c>
      <c r="F6" s="31">
        <f>IF(F$4&lt;=1,ret_m1_ng^F$4,IF(F$4&lt;=3,ret_m1_ng*(ret_m3_ng/ret_m1_ng)^((F$4-1)/2),IF(F$4&lt;=6,ret_m3_ng*(ret_m6_ng/ret_m3_ng)^((F$4-3)/3),IF(F$4&lt;=12,ret_m6_ng*(ret_m12_ng/ret_m6_ng)^((F$4-6)/6),IF(F$4&lt;=24,ret_m12_ng*(ret_m24_ng/ret_m12_ng)^((F$4-12)/12),ret_m24_ng*(1-churn_late_ng)^(F$4-24))))))</f>
        <v/>
      </c>
      <c r="G6" s="31">
        <f>IF(G$4&lt;=1,ret_m1_ng^G$4,IF(G$4&lt;=3,ret_m1_ng*(ret_m3_ng/ret_m1_ng)^((G$4-1)/2),IF(G$4&lt;=6,ret_m3_ng*(ret_m6_ng/ret_m3_ng)^((G$4-3)/3),IF(G$4&lt;=12,ret_m6_ng*(ret_m12_ng/ret_m6_ng)^((G$4-6)/6),IF(G$4&lt;=24,ret_m12_ng*(ret_m24_ng/ret_m12_ng)^((G$4-12)/12),ret_m24_ng*(1-churn_late_ng)^(G$4-24))))))</f>
        <v/>
      </c>
      <c r="H6" s="31">
        <f>IF(H$4&lt;=1,ret_m1_ng^H$4,IF(H$4&lt;=3,ret_m1_ng*(ret_m3_ng/ret_m1_ng)^((H$4-1)/2),IF(H$4&lt;=6,ret_m3_ng*(ret_m6_ng/ret_m3_ng)^((H$4-3)/3),IF(H$4&lt;=12,ret_m6_ng*(ret_m12_ng/ret_m6_ng)^((H$4-6)/6),IF(H$4&lt;=24,ret_m12_ng*(ret_m24_ng/ret_m12_ng)^((H$4-12)/12),ret_m24_ng*(1-churn_late_ng)^(H$4-24))))))</f>
        <v/>
      </c>
      <c r="I6" s="31">
        <f>IF(I$4&lt;=1,ret_m1_ng^I$4,IF(I$4&lt;=3,ret_m1_ng*(ret_m3_ng/ret_m1_ng)^((I$4-1)/2),IF(I$4&lt;=6,ret_m3_ng*(ret_m6_ng/ret_m3_ng)^((I$4-3)/3),IF(I$4&lt;=12,ret_m6_ng*(ret_m12_ng/ret_m6_ng)^((I$4-6)/6),IF(I$4&lt;=24,ret_m12_ng*(ret_m24_ng/ret_m12_ng)^((I$4-12)/12),ret_m24_ng*(1-churn_late_ng)^(I$4-24))))))</f>
        <v/>
      </c>
      <c r="J6" s="31">
        <f>IF(J$4&lt;=1,ret_m1_ng^J$4,IF(J$4&lt;=3,ret_m1_ng*(ret_m3_ng/ret_m1_ng)^((J$4-1)/2),IF(J$4&lt;=6,ret_m3_ng*(ret_m6_ng/ret_m3_ng)^((J$4-3)/3),IF(J$4&lt;=12,ret_m6_ng*(ret_m12_ng/ret_m6_ng)^((J$4-6)/6),IF(J$4&lt;=24,ret_m12_ng*(ret_m24_ng/ret_m12_ng)^((J$4-12)/12),ret_m24_ng*(1-churn_late_ng)^(J$4-24))))))</f>
        <v/>
      </c>
      <c r="K6" s="31">
        <f>IF(K$4&lt;=1,ret_m1_ng^K$4,IF(K$4&lt;=3,ret_m1_ng*(ret_m3_ng/ret_m1_ng)^((K$4-1)/2),IF(K$4&lt;=6,ret_m3_ng*(ret_m6_ng/ret_m3_ng)^((K$4-3)/3),IF(K$4&lt;=12,ret_m6_ng*(ret_m12_ng/ret_m6_ng)^((K$4-6)/6),IF(K$4&lt;=24,ret_m12_ng*(ret_m24_ng/ret_m12_ng)^((K$4-12)/12),ret_m24_ng*(1-churn_late_ng)^(K$4-24))))))</f>
        <v/>
      </c>
      <c r="L6" s="31">
        <f>IF(L$4&lt;=1,ret_m1_ng^L$4,IF(L$4&lt;=3,ret_m1_ng*(ret_m3_ng/ret_m1_ng)^((L$4-1)/2),IF(L$4&lt;=6,ret_m3_ng*(ret_m6_ng/ret_m3_ng)^((L$4-3)/3),IF(L$4&lt;=12,ret_m6_ng*(ret_m12_ng/ret_m6_ng)^((L$4-6)/6),IF(L$4&lt;=24,ret_m12_ng*(ret_m24_ng/ret_m12_ng)^((L$4-12)/12),ret_m24_ng*(1-churn_late_ng)^(L$4-24))))))</f>
        <v/>
      </c>
      <c r="M6" s="31">
        <f>IF(M$4&lt;=1,ret_m1_ng^M$4,IF(M$4&lt;=3,ret_m1_ng*(ret_m3_ng/ret_m1_ng)^((M$4-1)/2),IF(M$4&lt;=6,ret_m3_ng*(ret_m6_ng/ret_m3_ng)^((M$4-3)/3),IF(M$4&lt;=12,ret_m6_ng*(ret_m12_ng/ret_m6_ng)^((M$4-6)/6),IF(M$4&lt;=24,ret_m12_ng*(ret_m24_ng/ret_m12_ng)^((M$4-12)/12),ret_m24_ng*(1-churn_late_ng)^(M$4-24))))))</f>
        <v/>
      </c>
      <c r="N6" s="31">
        <f>IF(N$4&lt;=1,ret_m1_ng^N$4,IF(N$4&lt;=3,ret_m1_ng*(ret_m3_ng/ret_m1_ng)^((N$4-1)/2),IF(N$4&lt;=6,ret_m3_ng*(ret_m6_ng/ret_m3_ng)^((N$4-3)/3),IF(N$4&lt;=12,ret_m6_ng*(ret_m12_ng/ret_m6_ng)^((N$4-6)/6),IF(N$4&lt;=24,ret_m12_ng*(ret_m24_ng/ret_m12_ng)^((N$4-12)/12),ret_m24_ng*(1-churn_late_ng)^(N$4-24))))))</f>
        <v/>
      </c>
      <c r="O6" s="31">
        <f>IF(O$4&lt;=1,ret_m1_ng^O$4,IF(O$4&lt;=3,ret_m1_ng*(ret_m3_ng/ret_m1_ng)^((O$4-1)/2),IF(O$4&lt;=6,ret_m3_ng*(ret_m6_ng/ret_m3_ng)^((O$4-3)/3),IF(O$4&lt;=12,ret_m6_ng*(ret_m12_ng/ret_m6_ng)^((O$4-6)/6),IF(O$4&lt;=24,ret_m12_ng*(ret_m24_ng/ret_m12_ng)^((O$4-12)/12),ret_m24_ng*(1-churn_late_ng)^(O$4-24))))))</f>
        <v/>
      </c>
      <c r="P6" s="31">
        <f>IF(P$4&lt;=1,ret_m1_ng^P$4,IF(P$4&lt;=3,ret_m1_ng*(ret_m3_ng/ret_m1_ng)^((P$4-1)/2),IF(P$4&lt;=6,ret_m3_ng*(ret_m6_ng/ret_m3_ng)^((P$4-3)/3),IF(P$4&lt;=12,ret_m6_ng*(ret_m12_ng/ret_m6_ng)^((P$4-6)/6),IF(P$4&lt;=24,ret_m12_ng*(ret_m24_ng/ret_m12_ng)^((P$4-12)/12),ret_m24_ng*(1-churn_late_ng)^(P$4-24))))))</f>
        <v/>
      </c>
      <c r="Q6" s="31">
        <f>IF(Q$4&lt;=1,ret_m1_ng^Q$4,IF(Q$4&lt;=3,ret_m1_ng*(ret_m3_ng/ret_m1_ng)^((Q$4-1)/2),IF(Q$4&lt;=6,ret_m3_ng*(ret_m6_ng/ret_m3_ng)^((Q$4-3)/3),IF(Q$4&lt;=12,ret_m6_ng*(ret_m12_ng/ret_m6_ng)^((Q$4-6)/6),IF(Q$4&lt;=24,ret_m12_ng*(ret_m24_ng/ret_m12_ng)^((Q$4-12)/12),ret_m24_ng*(1-churn_late_ng)^(Q$4-24))))))</f>
        <v/>
      </c>
      <c r="R6" s="31">
        <f>IF(R$4&lt;=1,ret_m1_ng^R$4,IF(R$4&lt;=3,ret_m1_ng*(ret_m3_ng/ret_m1_ng)^((R$4-1)/2),IF(R$4&lt;=6,ret_m3_ng*(ret_m6_ng/ret_m3_ng)^((R$4-3)/3),IF(R$4&lt;=12,ret_m6_ng*(ret_m12_ng/ret_m6_ng)^((R$4-6)/6),IF(R$4&lt;=24,ret_m12_ng*(ret_m24_ng/ret_m12_ng)^((R$4-12)/12),ret_m24_ng*(1-churn_late_ng)^(R$4-24))))))</f>
        <v/>
      </c>
      <c r="S6" s="31">
        <f>IF(S$4&lt;=1,ret_m1_ng^S$4,IF(S$4&lt;=3,ret_m1_ng*(ret_m3_ng/ret_m1_ng)^((S$4-1)/2),IF(S$4&lt;=6,ret_m3_ng*(ret_m6_ng/ret_m3_ng)^((S$4-3)/3),IF(S$4&lt;=12,ret_m6_ng*(ret_m12_ng/ret_m6_ng)^((S$4-6)/6),IF(S$4&lt;=24,ret_m12_ng*(ret_m24_ng/ret_m12_ng)^((S$4-12)/12),ret_m24_ng*(1-churn_late_ng)^(S$4-24))))))</f>
        <v/>
      </c>
      <c r="T6" s="31">
        <f>IF(T$4&lt;=1,ret_m1_ng^T$4,IF(T$4&lt;=3,ret_m1_ng*(ret_m3_ng/ret_m1_ng)^((T$4-1)/2),IF(T$4&lt;=6,ret_m3_ng*(ret_m6_ng/ret_m3_ng)^((T$4-3)/3),IF(T$4&lt;=12,ret_m6_ng*(ret_m12_ng/ret_m6_ng)^((T$4-6)/6),IF(T$4&lt;=24,ret_m12_ng*(ret_m24_ng/ret_m12_ng)^((T$4-12)/12),ret_m24_ng*(1-churn_late_ng)^(T$4-24))))))</f>
        <v/>
      </c>
      <c r="U6" s="31">
        <f>IF(U$4&lt;=1,ret_m1_ng^U$4,IF(U$4&lt;=3,ret_m1_ng*(ret_m3_ng/ret_m1_ng)^((U$4-1)/2),IF(U$4&lt;=6,ret_m3_ng*(ret_m6_ng/ret_m3_ng)^((U$4-3)/3),IF(U$4&lt;=12,ret_m6_ng*(ret_m12_ng/ret_m6_ng)^((U$4-6)/6),IF(U$4&lt;=24,ret_m12_ng*(ret_m24_ng/ret_m12_ng)^((U$4-12)/12),ret_m24_ng*(1-churn_late_ng)^(U$4-24))))))</f>
        <v/>
      </c>
      <c r="V6" s="31">
        <f>IF(V$4&lt;=1,ret_m1_ng^V$4,IF(V$4&lt;=3,ret_m1_ng*(ret_m3_ng/ret_m1_ng)^((V$4-1)/2),IF(V$4&lt;=6,ret_m3_ng*(ret_m6_ng/ret_m3_ng)^((V$4-3)/3),IF(V$4&lt;=12,ret_m6_ng*(ret_m12_ng/ret_m6_ng)^((V$4-6)/6),IF(V$4&lt;=24,ret_m12_ng*(ret_m24_ng/ret_m12_ng)^((V$4-12)/12),ret_m24_ng*(1-churn_late_ng)^(V$4-24))))))</f>
        <v/>
      </c>
      <c r="W6" s="31">
        <f>IF(W$4&lt;=1,ret_m1_ng^W$4,IF(W$4&lt;=3,ret_m1_ng*(ret_m3_ng/ret_m1_ng)^((W$4-1)/2),IF(W$4&lt;=6,ret_m3_ng*(ret_m6_ng/ret_m3_ng)^((W$4-3)/3),IF(W$4&lt;=12,ret_m6_ng*(ret_m12_ng/ret_m6_ng)^((W$4-6)/6),IF(W$4&lt;=24,ret_m12_ng*(ret_m24_ng/ret_m12_ng)^((W$4-12)/12),ret_m24_ng*(1-churn_late_ng)^(W$4-24))))))</f>
        <v/>
      </c>
      <c r="X6" s="31">
        <f>IF(X$4&lt;=1,ret_m1_ng^X$4,IF(X$4&lt;=3,ret_m1_ng*(ret_m3_ng/ret_m1_ng)^((X$4-1)/2),IF(X$4&lt;=6,ret_m3_ng*(ret_m6_ng/ret_m3_ng)^((X$4-3)/3),IF(X$4&lt;=12,ret_m6_ng*(ret_m12_ng/ret_m6_ng)^((X$4-6)/6),IF(X$4&lt;=24,ret_m12_ng*(ret_m24_ng/ret_m12_ng)^((X$4-12)/12),ret_m24_ng*(1-churn_late_ng)^(X$4-24))))))</f>
        <v/>
      </c>
      <c r="Y6" s="31">
        <f>IF(Y$4&lt;=1,ret_m1_ng^Y$4,IF(Y$4&lt;=3,ret_m1_ng*(ret_m3_ng/ret_m1_ng)^((Y$4-1)/2),IF(Y$4&lt;=6,ret_m3_ng*(ret_m6_ng/ret_m3_ng)^((Y$4-3)/3),IF(Y$4&lt;=12,ret_m6_ng*(ret_m12_ng/ret_m6_ng)^((Y$4-6)/6),IF(Y$4&lt;=24,ret_m12_ng*(ret_m24_ng/ret_m12_ng)^((Y$4-12)/12),ret_m24_ng*(1-churn_late_ng)^(Y$4-24))))))</f>
        <v/>
      </c>
      <c r="Z6" s="31">
        <f>IF(Z$4&lt;=1,ret_m1_ng^Z$4,IF(Z$4&lt;=3,ret_m1_ng*(ret_m3_ng/ret_m1_ng)^((Z$4-1)/2),IF(Z$4&lt;=6,ret_m3_ng*(ret_m6_ng/ret_m3_ng)^((Z$4-3)/3),IF(Z$4&lt;=12,ret_m6_ng*(ret_m12_ng/ret_m6_ng)^((Z$4-6)/6),IF(Z$4&lt;=24,ret_m12_ng*(ret_m24_ng/ret_m12_ng)^((Z$4-12)/12),ret_m24_ng*(1-churn_late_ng)^(Z$4-24))))))</f>
        <v/>
      </c>
      <c r="AA6" s="31">
        <f>IF(AA$4&lt;=1,ret_m1_ng^AA$4,IF(AA$4&lt;=3,ret_m1_ng*(ret_m3_ng/ret_m1_ng)^((AA$4-1)/2),IF(AA$4&lt;=6,ret_m3_ng*(ret_m6_ng/ret_m3_ng)^((AA$4-3)/3),IF(AA$4&lt;=12,ret_m6_ng*(ret_m12_ng/ret_m6_ng)^((AA$4-6)/6),IF(AA$4&lt;=24,ret_m12_ng*(ret_m24_ng/ret_m12_ng)^((AA$4-12)/12),ret_m24_ng*(1-churn_late_ng)^(AA$4-24))))))</f>
        <v/>
      </c>
      <c r="AB6" s="31">
        <f>IF(AB$4&lt;=1,ret_m1_ng^AB$4,IF(AB$4&lt;=3,ret_m1_ng*(ret_m3_ng/ret_m1_ng)^((AB$4-1)/2),IF(AB$4&lt;=6,ret_m3_ng*(ret_m6_ng/ret_m3_ng)^((AB$4-3)/3),IF(AB$4&lt;=12,ret_m6_ng*(ret_m12_ng/ret_m6_ng)^((AB$4-6)/6),IF(AB$4&lt;=24,ret_m12_ng*(ret_m24_ng/ret_m12_ng)^((AB$4-12)/12),ret_m24_ng*(1-churn_late_ng)^(AB$4-24))))))</f>
        <v/>
      </c>
      <c r="AC6" s="31">
        <f>IF(AC$4&lt;=1,ret_m1_ng^AC$4,IF(AC$4&lt;=3,ret_m1_ng*(ret_m3_ng/ret_m1_ng)^((AC$4-1)/2),IF(AC$4&lt;=6,ret_m3_ng*(ret_m6_ng/ret_m3_ng)^((AC$4-3)/3),IF(AC$4&lt;=12,ret_m6_ng*(ret_m12_ng/ret_m6_ng)^((AC$4-6)/6),IF(AC$4&lt;=24,ret_m12_ng*(ret_m24_ng/ret_m12_ng)^((AC$4-12)/12),ret_m24_ng*(1-churn_late_ng)^(AC$4-24))))))</f>
        <v/>
      </c>
      <c r="AD6" s="31">
        <f>IF(AD$4&lt;=1,ret_m1_ng^AD$4,IF(AD$4&lt;=3,ret_m1_ng*(ret_m3_ng/ret_m1_ng)^((AD$4-1)/2),IF(AD$4&lt;=6,ret_m3_ng*(ret_m6_ng/ret_m3_ng)^((AD$4-3)/3),IF(AD$4&lt;=12,ret_m6_ng*(ret_m12_ng/ret_m6_ng)^((AD$4-6)/6),IF(AD$4&lt;=24,ret_m12_ng*(ret_m24_ng/ret_m12_ng)^((AD$4-12)/12),ret_m24_ng*(1-churn_late_ng)^(AD$4-24))))))</f>
        <v/>
      </c>
      <c r="AE6" s="31">
        <f>IF(AE$4&lt;=1,ret_m1_ng^AE$4,IF(AE$4&lt;=3,ret_m1_ng*(ret_m3_ng/ret_m1_ng)^((AE$4-1)/2),IF(AE$4&lt;=6,ret_m3_ng*(ret_m6_ng/ret_m3_ng)^((AE$4-3)/3),IF(AE$4&lt;=12,ret_m6_ng*(ret_m12_ng/ret_m6_ng)^((AE$4-6)/6),IF(AE$4&lt;=24,ret_m12_ng*(ret_m24_ng/ret_m12_ng)^((AE$4-12)/12),ret_m24_ng*(1-churn_late_ng)^(AE$4-24))))))</f>
        <v/>
      </c>
      <c r="AF6" s="31">
        <f>IF(AF$4&lt;=1,ret_m1_ng^AF$4,IF(AF$4&lt;=3,ret_m1_ng*(ret_m3_ng/ret_m1_ng)^((AF$4-1)/2),IF(AF$4&lt;=6,ret_m3_ng*(ret_m6_ng/ret_m3_ng)^((AF$4-3)/3),IF(AF$4&lt;=12,ret_m6_ng*(ret_m12_ng/ret_m6_ng)^((AF$4-6)/6),IF(AF$4&lt;=24,ret_m12_ng*(ret_m24_ng/ret_m12_ng)^((AF$4-12)/12),ret_m24_ng*(1-churn_late_ng)^(AF$4-24))))))</f>
        <v/>
      </c>
      <c r="AG6" s="31">
        <f>IF(AG$4&lt;=1,ret_m1_ng^AG$4,IF(AG$4&lt;=3,ret_m1_ng*(ret_m3_ng/ret_m1_ng)^((AG$4-1)/2),IF(AG$4&lt;=6,ret_m3_ng*(ret_m6_ng/ret_m3_ng)^((AG$4-3)/3),IF(AG$4&lt;=12,ret_m6_ng*(ret_m12_ng/ret_m6_ng)^((AG$4-6)/6),IF(AG$4&lt;=24,ret_m12_ng*(ret_m24_ng/ret_m12_ng)^((AG$4-12)/12),ret_m24_ng*(1-churn_late_ng)^(AG$4-24))))))</f>
        <v/>
      </c>
      <c r="AH6" s="31">
        <f>IF(AH$4&lt;=1,ret_m1_ng^AH$4,IF(AH$4&lt;=3,ret_m1_ng*(ret_m3_ng/ret_m1_ng)^((AH$4-1)/2),IF(AH$4&lt;=6,ret_m3_ng*(ret_m6_ng/ret_m3_ng)^((AH$4-3)/3),IF(AH$4&lt;=12,ret_m6_ng*(ret_m12_ng/ret_m6_ng)^((AH$4-6)/6),IF(AH$4&lt;=24,ret_m12_ng*(ret_m24_ng/ret_m12_ng)^((AH$4-12)/12),ret_m24_ng*(1-churn_late_ng)^(AH$4-24))))))</f>
        <v/>
      </c>
      <c r="AI6" s="31">
        <f>IF(AI$4&lt;=1,ret_m1_ng^AI$4,IF(AI$4&lt;=3,ret_m1_ng*(ret_m3_ng/ret_m1_ng)^((AI$4-1)/2),IF(AI$4&lt;=6,ret_m3_ng*(ret_m6_ng/ret_m3_ng)^((AI$4-3)/3),IF(AI$4&lt;=12,ret_m6_ng*(ret_m12_ng/ret_m6_ng)^((AI$4-6)/6),IF(AI$4&lt;=24,ret_m12_ng*(ret_m24_ng/ret_m12_ng)^((AI$4-12)/12),ret_m24_ng*(1-churn_late_ng)^(AI$4-24))))))</f>
        <v/>
      </c>
      <c r="AJ6" s="31">
        <f>IF(AJ$4&lt;=1,ret_m1_ng^AJ$4,IF(AJ$4&lt;=3,ret_m1_ng*(ret_m3_ng/ret_m1_ng)^((AJ$4-1)/2),IF(AJ$4&lt;=6,ret_m3_ng*(ret_m6_ng/ret_m3_ng)^((AJ$4-3)/3),IF(AJ$4&lt;=12,ret_m6_ng*(ret_m12_ng/ret_m6_ng)^((AJ$4-6)/6),IF(AJ$4&lt;=24,ret_m12_ng*(ret_m24_ng/ret_m12_ng)^((AJ$4-12)/12),ret_m24_ng*(1-churn_late_ng)^(AJ$4-24))))))</f>
        <v/>
      </c>
      <c r="AK6" s="31">
        <f>IF(AK$4&lt;=1,ret_m1_ng^AK$4,IF(AK$4&lt;=3,ret_m1_ng*(ret_m3_ng/ret_m1_ng)^((AK$4-1)/2),IF(AK$4&lt;=6,ret_m3_ng*(ret_m6_ng/ret_m3_ng)^((AK$4-3)/3),IF(AK$4&lt;=12,ret_m6_ng*(ret_m12_ng/ret_m6_ng)^((AK$4-6)/6),IF(AK$4&lt;=24,ret_m12_ng*(ret_m24_ng/ret_m12_ng)^((AK$4-12)/12),ret_m24_ng*(1-churn_late_ng)^(AK$4-24))))))</f>
        <v/>
      </c>
      <c r="AL6" s="31">
        <f>IF(AL$4&lt;=1,ret_m1_ng^AL$4,IF(AL$4&lt;=3,ret_m1_ng*(ret_m3_ng/ret_m1_ng)^((AL$4-1)/2),IF(AL$4&lt;=6,ret_m3_ng*(ret_m6_ng/ret_m3_ng)^((AL$4-3)/3),IF(AL$4&lt;=12,ret_m6_ng*(ret_m12_ng/ret_m6_ng)^((AL$4-6)/6),IF(AL$4&lt;=24,ret_m12_ng*(ret_m24_ng/ret_m12_ng)^((AL$4-12)/12),ret_m24_ng*(1-churn_late_ng)^(AL$4-24))))))</f>
        <v/>
      </c>
      <c r="AM6" s="31">
        <f>IF(AM$4&lt;=1,ret_m1_ng^AM$4,IF(AM$4&lt;=3,ret_m1_ng*(ret_m3_ng/ret_m1_ng)^((AM$4-1)/2),IF(AM$4&lt;=6,ret_m3_ng*(ret_m6_ng/ret_m3_ng)^((AM$4-3)/3),IF(AM$4&lt;=12,ret_m6_ng*(ret_m12_ng/ret_m6_ng)^((AM$4-6)/6),IF(AM$4&lt;=24,ret_m12_ng*(ret_m24_ng/ret_m12_ng)^((AM$4-12)/12),ret_m24_ng*(1-churn_late_ng)^(AM$4-24))))))</f>
        <v/>
      </c>
      <c r="AN6" s="31">
        <f>IF(AN$4&lt;=1,ret_m1_ng^AN$4,IF(AN$4&lt;=3,ret_m1_ng*(ret_m3_ng/ret_m1_ng)^((AN$4-1)/2),IF(AN$4&lt;=6,ret_m3_ng*(ret_m6_ng/ret_m3_ng)^((AN$4-3)/3),IF(AN$4&lt;=12,ret_m6_ng*(ret_m12_ng/ret_m6_ng)^((AN$4-6)/6),IF(AN$4&lt;=24,ret_m12_ng*(ret_m24_ng/ret_m12_ng)^((AN$4-12)/12),ret_m24_ng*(1-churn_late_ng)^(AN$4-24))))))</f>
        <v/>
      </c>
      <c r="AO6" s="31">
        <f>IF(AO$4&lt;=1,ret_m1_ng^AO$4,IF(AO$4&lt;=3,ret_m1_ng*(ret_m3_ng/ret_m1_ng)^((AO$4-1)/2),IF(AO$4&lt;=6,ret_m3_ng*(ret_m6_ng/ret_m3_ng)^((AO$4-3)/3),IF(AO$4&lt;=12,ret_m6_ng*(ret_m12_ng/ret_m6_ng)^((AO$4-6)/6),IF(AO$4&lt;=24,ret_m12_ng*(ret_m24_ng/ret_m12_ng)^((AO$4-12)/12),ret_m24_ng*(1-churn_late_ng)^(AO$4-24))))))</f>
        <v/>
      </c>
      <c r="AP6" s="31">
        <f>IF(AP$4&lt;=1,ret_m1_ng^AP$4,IF(AP$4&lt;=3,ret_m1_ng*(ret_m3_ng/ret_m1_ng)^((AP$4-1)/2),IF(AP$4&lt;=6,ret_m3_ng*(ret_m6_ng/ret_m3_ng)^((AP$4-3)/3),IF(AP$4&lt;=12,ret_m6_ng*(ret_m12_ng/ret_m6_ng)^((AP$4-6)/6),IF(AP$4&lt;=24,ret_m12_ng*(ret_m24_ng/ret_m12_ng)^((AP$4-12)/12),ret_m24_ng*(1-churn_late_ng)^(AP$4-24))))))</f>
        <v/>
      </c>
      <c r="AQ6" s="31">
        <f>IF(AQ$4&lt;=1,ret_m1_ng^AQ$4,IF(AQ$4&lt;=3,ret_m1_ng*(ret_m3_ng/ret_m1_ng)^((AQ$4-1)/2),IF(AQ$4&lt;=6,ret_m3_ng*(ret_m6_ng/ret_m3_ng)^((AQ$4-3)/3),IF(AQ$4&lt;=12,ret_m6_ng*(ret_m12_ng/ret_m6_ng)^((AQ$4-6)/6),IF(AQ$4&lt;=24,ret_m12_ng*(ret_m24_ng/ret_m12_ng)^((AQ$4-12)/12),ret_m24_ng*(1-churn_late_ng)^(AQ$4-24))))))</f>
        <v/>
      </c>
      <c r="AR6" s="31">
        <f>IF(AR$4&lt;=1,ret_m1_ng^AR$4,IF(AR$4&lt;=3,ret_m1_ng*(ret_m3_ng/ret_m1_ng)^((AR$4-1)/2),IF(AR$4&lt;=6,ret_m3_ng*(ret_m6_ng/ret_m3_ng)^((AR$4-3)/3),IF(AR$4&lt;=12,ret_m6_ng*(ret_m12_ng/ret_m6_ng)^((AR$4-6)/6),IF(AR$4&lt;=24,ret_m12_ng*(ret_m24_ng/ret_m12_ng)^((AR$4-12)/12),ret_m24_ng*(1-churn_late_ng)^(AR$4-24))))))</f>
        <v/>
      </c>
      <c r="AS6" s="31">
        <f>IF(AS$4&lt;=1,ret_m1_ng^AS$4,IF(AS$4&lt;=3,ret_m1_ng*(ret_m3_ng/ret_m1_ng)^((AS$4-1)/2),IF(AS$4&lt;=6,ret_m3_ng*(ret_m6_ng/ret_m3_ng)^((AS$4-3)/3),IF(AS$4&lt;=12,ret_m6_ng*(ret_m12_ng/ret_m6_ng)^((AS$4-6)/6),IF(AS$4&lt;=24,ret_m12_ng*(ret_m24_ng/ret_m12_ng)^((AS$4-12)/12),ret_m24_ng*(1-churn_late_ng)^(AS$4-24))))))</f>
        <v/>
      </c>
      <c r="AT6" s="31">
        <f>IF(AT$4&lt;=1,ret_m1_ng^AT$4,IF(AT$4&lt;=3,ret_m1_ng*(ret_m3_ng/ret_m1_ng)^((AT$4-1)/2),IF(AT$4&lt;=6,ret_m3_ng*(ret_m6_ng/ret_m3_ng)^((AT$4-3)/3),IF(AT$4&lt;=12,ret_m6_ng*(ret_m12_ng/ret_m6_ng)^((AT$4-6)/6),IF(AT$4&lt;=24,ret_m12_ng*(ret_m24_ng/ret_m12_ng)^((AT$4-12)/12),ret_m24_ng*(1-churn_late_ng)^(AT$4-24))))))</f>
        <v/>
      </c>
      <c r="AU6" s="31">
        <f>IF(AU$4&lt;=1,ret_m1_ng^AU$4,IF(AU$4&lt;=3,ret_m1_ng*(ret_m3_ng/ret_m1_ng)^((AU$4-1)/2),IF(AU$4&lt;=6,ret_m3_ng*(ret_m6_ng/ret_m3_ng)^((AU$4-3)/3),IF(AU$4&lt;=12,ret_m6_ng*(ret_m12_ng/ret_m6_ng)^((AU$4-6)/6),IF(AU$4&lt;=24,ret_m12_ng*(ret_m24_ng/ret_m12_ng)^((AU$4-12)/12),ret_m24_ng*(1-churn_late_ng)^(AU$4-24))))))</f>
        <v/>
      </c>
      <c r="AV6" s="31">
        <f>IF(AV$4&lt;=1,ret_m1_ng^AV$4,IF(AV$4&lt;=3,ret_m1_ng*(ret_m3_ng/ret_m1_ng)^((AV$4-1)/2),IF(AV$4&lt;=6,ret_m3_ng*(ret_m6_ng/ret_m3_ng)^((AV$4-3)/3),IF(AV$4&lt;=12,ret_m6_ng*(ret_m12_ng/ret_m6_ng)^((AV$4-6)/6),IF(AV$4&lt;=24,ret_m12_ng*(ret_m24_ng/ret_m12_ng)^((AV$4-12)/12),ret_m24_ng*(1-churn_late_ng)^(AV$4-24))))))</f>
        <v/>
      </c>
      <c r="AW6" s="31">
        <f>IF(AW$4&lt;=1,ret_m1_ng^AW$4,IF(AW$4&lt;=3,ret_m1_ng*(ret_m3_ng/ret_m1_ng)^((AW$4-1)/2),IF(AW$4&lt;=6,ret_m3_ng*(ret_m6_ng/ret_m3_ng)^((AW$4-3)/3),IF(AW$4&lt;=12,ret_m6_ng*(ret_m12_ng/ret_m6_ng)^((AW$4-6)/6),IF(AW$4&lt;=24,ret_m12_ng*(ret_m24_ng/ret_m12_ng)^((AW$4-12)/12),ret_m24_ng*(1-churn_late_ng)^(AW$4-24))))))</f>
        <v/>
      </c>
      <c r="AX6" s="31">
        <f>IF(AX$4&lt;=1,ret_m1_ng^AX$4,IF(AX$4&lt;=3,ret_m1_ng*(ret_m3_ng/ret_m1_ng)^((AX$4-1)/2),IF(AX$4&lt;=6,ret_m3_ng*(ret_m6_ng/ret_m3_ng)^((AX$4-3)/3),IF(AX$4&lt;=12,ret_m6_ng*(ret_m12_ng/ret_m6_ng)^((AX$4-6)/6),IF(AX$4&lt;=24,ret_m12_ng*(ret_m24_ng/ret_m12_ng)^((AX$4-12)/12),ret_m24_ng*(1-churn_late_ng)^(AX$4-24))))))</f>
        <v/>
      </c>
      <c r="AY6" s="31">
        <f>IF(AY$4&lt;=1,ret_m1_ng^AY$4,IF(AY$4&lt;=3,ret_m1_ng*(ret_m3_ng/ret_m1_ng)^((AY$4-1)/2),IF(AY$4&lt;=6,ret_m3_ng*(ret_m6_ng/ret_m3_ng)^((AY$4-3)/3),IF(AY$4&lt;=12,ret_m6_ng*(ret_m12_ng/ret_m6_ng)^((AY$4-6)/6),IF(AY$4&lt;=24,ret_m12_ng*(ret_m24_ng/ret_m12_ng)^((AY$4-12)/12),ret_m24_ng*(1-churn_late_ng)^(AY$4-24))))))</f>
        <v/>
      </c>
      <c r="AZ6" s="31">
        <f>IF(AZ$4&lt;=1,ret_m1_ng^AZ$4,IF(AZ$4&lt;=3,ret_m1_ng*(ret_m3_ng/ret_m1_ng)^((AZ$4-1)/2),IF(AZ$4&lt;=6,ret_m3_ng*(ret_m6_ng/ret_m3_ng)^((AZ$4-3)/3),IF(AZ$4&lt;=12,ret_m6_ng*(ret_m12_ng/ret_m6_ng)^((AZ$4-6)/6),IF(AZ$4&lt;=24,ret_m12_ng*(ret_m24_ng/ret_m12_ng)^((AZ$4-12)/12),ret_m24_ng*(1-churn_late_ng)^(AZ$4-24))))))</f>
        <v/>
      </c>
      <c r="BA6" s="31">
        <f>IF(BA$4&lt;=1,ret_m1_ng^BA$4,IF(BA$4&lt;=3,ret_m1_ng*(ret_m3_ng/ret_m1_ng)^((BA$4-1)/2),IF(BA$4&lt;=6,ret_m3_ng*(ret_m6_ng/ret_m3_ng)^((BA$4-3)/3),IF(BA$4&lt;=12,ret_m6_ng*(ret_m12_ng/ret_m6_ng)^((BA$4-6)/6),IF(BA$4&lt;=24,ret_m12_ng*(ret_m24_ng/ret_m12_ng)^((BA$4-12)/12),ret_m24_ng*(1-churn_late_ng)^(BA$4-24))))))</f>
        <v/>
      </c>
      <c r="BB6" s="31">
        <f>IF(BB$4&lt;=1,ret_m1_ng^BB$4,IF(BB$4&lt;=3,ret_m1_ng*(ret_m3_ng/ret_m1_ng)^((BB$4-1)/2),IF(BB$4&lt;=6,ret_m3_ng*(ret_m6_ng/ret_m3_ng)^((BB$4-3)/3),IF(BB$4&lt;=12,ret_m6_ng*(ret_m12_ng/ret_m6_ng)^((BB$4-6)/6),IF(BB$4&lt;=24,ret_m12_ng*(ret_m24_ng/ret_m12_ng)^((BB$4-12)/12),ret_m24_ng*(1-churn_late_ng)^(BB$4-24))))))</f>
        <v/>
      </c>
      <c r="BC6" s="31">
        <f>IF(BC$4&lt;=1,ret_m1_ng^BC$4,IF(BC$4&lt;=3,ret_m1_ng*(ret_m3_ng/ret_m1_ng)^((BC$4-1)/2),IF(BC$4&lt;=6,ret_m3_ng*(ret_m6_ng/ret_m3_ng)^((BC$4-3)/3),IF(BC$4&lt;=12,ret_m6_ng*(ret_m12_ng/ret_m6_ng)^((BC$4-6)/6),IF(BC$4&lt;=24,ret_m12_ng*(ret_m24_ng/ret_m12_ng)^((BC$4-12)/12),ret_m24_ng*(1-churn_late_ng)^(BC$4-24))))))</f>
        <v/>
      </c>
      <c r="BD6" s="31">
        <f>IF(BD$4&lt;=1,ret_m1_ng^BD$4,IF(BD$4&lt;=3,ret_m1_ng*(ret_m3_ng/ret_m1_ng)^((BD$4-1)/2),IF(BD$4&lt;=6,ret_m3_ng*(ret_m6_ng/ret_m3_ng)^((BD$4-3)/3),IF(BD$4&lt;=12,ret_m6_ng*(ret_m12_ng/ret_m6_ng)^((BD$4-6)/6),IF(BD$4&lt;=24,ret_m12_ng*(ret_m24_ng/ret_m12_ng)^((BD$4-12)/12),ret_m24_ng*(1-churn_late_ng)^(BD$4-24))))))</f>
        <v/>
      </c>
      <c r="BE6" s="31">
        <f>IF(BE$4&lt;=1,ret_m1_ng^BE$4,IF(BE$4&lt;=3,ret_m1_ng*(ret_m3_ng/ret_m1_ng)^((BE$4-1)/2),IF(BE$4&lt;=6,ret_m3_ng*(ret_m6_ng/ret_m3_ng)^((BE$4-3)/3),IF(BE$4&lt;=12,ret_m6_ng*(ret_m12_ng/ret_m6_ng)^((BE$4-6)/6),IF(BE$4&lt;=24,ret_m12_ng*(ret_m24_ng/ret_m12_ng)^((BE$4-12)/12),ret_m24_ng*(1-churn_late_ng)^(BE$4-24))))))</f>
        <v/>
      </c>
      <c r="BF6" s="31">
        <f>IF(BF$4&lt;=1,ret_m1_ng^BF$4,IF(BF$4&lt;=3,ret_m1_ng*(ret_m3_ng/ret_m1_ng)^((BF$4-1)/2),IF(BF$4&lt;=6,ret_m3_ng*(ret_m6_ng/ret_m3_ng)^((BF$4-3)/3),IF(BF$4&lt;=12,ret_m6_ng*(ret_m12_ng/ret_m6_ng)^((BF$4-6)/6),IF(BF$4&lt;=24,ret_m12_ng*(ret_m24_ng/ret_m12_ng)^((BF$4-12)/12),ret_m24_ng*(1-churn_late_ng)^(BF$4-24))))))</f>
        <v/>
      </c>
      <c r="BG6" s="31">
        <f>IF(BG$4&lt;=1,ret_m1_ng^BG$4,IF(BG$4&lt;=3,ret_m1_ng*(ret_m3_ng/ret_m1_ng)^((BG$4-1)/2),IF(BG$4&lt;=6,ret_m3_ng*(ret_m6_ng/ret_m3_ng)^((BG$4-3)/3),IF(BG$4&lt;=12,ret_m6_ng*(ret_m12_ng/ret_m6_ng)^((BG$4-6)/6),IF(BG$4&lt;=24,ret_m12_ng*(ret_m24_ng/ret_m12_ng)^((BG$4-12)/12),ret_m24_ng*(1-churn_late_ng)^(BG$4-24))))))</f>
        <v/>
      </c>
      <c r="BH6" s="31">
        <f>IF(BH$4&lt;=1,ret_m1_ng^BH$4,IF(BH$4&lt;=3,ret_m1_ng*(ret_m3_ng/ret_m1_ng)^((BH$4-1)/2),IF(BH$4&lt;=6,ret_m3_ng*(ret_m6_ng/ret_m3_ng)^((BH$4-3)/3),IF(BH$4&lt;=12,ret_m6_ng*(ret_m12_ng/ret_m6_ng)^((BH$4-6)/6),IF(BH$4&lt;=24,ret_m12_ng*(ret_m24_ng/ret_m12_ng)^((BH$4-12)/12),ret_m24_ng*(1-churn_late_ng)^(BH$4-24))))))</f>
        <v/>
      </c>
      <c r="BI6" s="31">
        <f>IF(BI$4&lt;=1,ret_m1_ng^BI$4,IF(BI$4&lt;=3,ret_m1_ng*(ret_m3_ng/ret_m1_ng)^((BI$4-1)/2),IF(BI$4&lt;=6,ret_m3_ng*(ret_m6_ng/ret_m3_ng)^((BI$4-3)/3),IF(BI$4&lt;=12,ret_m6_ng*(ret_m12_ng/ret_m6_ng)^((BI$4-6)/6),IF(BI$4&lt;=24,ret_m12_ng*(ret_m24_ng/ret_m12_ng)^((BI$4-12)/12),ret_m24_ng*(1-churn_late_ng)^(BI$4-24))))))</f>
        <v/>
      </c>
      <c r="BJ6" s="31">
        <f>IF(BJ$4&lt;=1,ret_m1_ng^BJ$4,IF(BJ$4&lt;=3,ret_m1_ng*(ret_m3_ng/ret_m1_ng)^((BJ$4-1)/2),IF(BJ$4&lt;=6,ret_m3_ng*(ret_m6_ng/ret_m3_ng)^((BJ$4-3)/3),IF(BJ$4&lt;=12,ret_m6_ng*(ret_m12_ng/ret_m6_ng)^((BJ$4-6)/6),IF(BJ$4&lt;=24,ret_m12_ng*(ret_m24_ng/ret_m12_ng)^((BJ$4-12)/12),ret_m24_ng*(1-churn_late_ng)^(BJ$4-24))))))</f>
        <v/>
      </c>
      <c r="BK6" s="31">
        <f>IF(BK$4&lt;=1,ret_m1_ng^BK$4,IF(BK$4&lt;=3,ret_m1_ng*(ret_m3_ng/ret_m1_ng)^((BK$4-1)/2),IF(BK$4&lt;=6,ret_m3_ng*(ret_m6_ng/ret_m3_ng)^((BK$4-3)/3),IF(BK$4&lt;=12,ret_m6_ng*(ret_m12_ng/ret_m6_ng)^((BK$4-6)/6),IF(BK$4&lt;=24,ret_m12_ng*(ret_m24_ng/ret_m12_ng)^((BK$4-12)/12),ret_m24_ng*(1-churn_late_ng)^(BK$4-24))))))</f>
        <v/>
      </c>
    </row>
    <row r="7">
      <c r="A7" s="2" t="inlineStr">
        <is>
          <t>Active savers</t>
        </is>
      </c>
      <c r="B7" s="28" t="inlineStr">
        <is>
          <t>savers</t>
        </is>
      </c>
      <c r="D7" s="32">
        <f>seg_n_ng*D6</f>
        <v/>
      </c>
      <c r="E7" s="32">
        <f>seg_n_ng*E6</f>
        <v/>
      </c>
      <c r="F7" s="32">
        <f>seg_n_ng*F6</f>
        <v/>
      </c>
      <c r="G7" s="32">
        <f>seg_n_ng*G6</f>
        <v/>
      </c>
      <c r="H7" s="32">
        <f>seg_n_ng*H6</f>
        <v/>
      </c>
      <c r="I7" s="32">
        <f>seg_n_ng*I6</f>
        <v/>
      </c>
      <c r="J7" s="32">
        <f>seg_n_ng*J6</f>
        <v/>
      </c>
      <c r="K7" s="32">
        <f>seg_n_ng*K6</f>
        <v/>
      </c>
      <c r="L7" s="32">
        <f>seg_n_ng*L6</f>
        <v/>
      </c>
      <c r="M7" s="32">
        <f>seg_n_ng*M6</f>
        <v/>
      </c>
      <c r="N7" s="32">
        <f>seg_n_ng*N6</f>
        <v/>
      </c>
      <c r="O7" s="32">
        <f>seg_n_ng*O6</f>
        <v/>
      </c>
      <c r="P7" s="32">
        <f>seg_n_ng*P6</f>
        <v/>
      </c>
      <c r="Q7" s="32">
        <f>seg_n_ng*Q6</f>
        <v/>
      </c>
      <c r="R7" s="32">
        <f>seg_n_ng*R6</f>
        <v/>
      </c>
      <c r="S7" s="32">
        <f>seg_n_ng*S6</f>
        <v/>
      </c>
      <c r="T7" s="32">
        <f>seg_n_ng*T6</f>
        <v/>
      </c>
      <c r="U7" s="32">
        <f>seg_n_ng*U6</f>
        <v/>
      </c>
      <c r="V7" s="32">
        <f>seg_n_ng*V6</f>
        <v/>
      </c>
      <c r="W7" s="32">
        <f>seg_n_ng*W6</f>
        <v/>
      </c>
      <c r="X7" s="32">
        <f>seg_n_ng*X6</f>
        <v/>
      </c>
      <c r="Y7" s="32">
        <f>seg_n_ng*Y6</f>
        <v/>
      </c>
      <c r="Z7" s="32">
        <f>seg_n_ng*Z6</f>
        <v/>
      </c>
      <c r="AA7" s="32">
        <f>seg_n_ng*AA6</f>
        <v/>
      </c>
      <c r="AB7" s="32">
        <f>seg_n_ng*AB6</f>
        <v/>
      </c>
      <c r="AC7" s="32">
        <f>seg_n_ng*AC6</f>
        <v/>
      </c>
      <c r="AD7" s="32">
        <f>seg_n_ng*AD6</f>
        <v/>
      </c>
      <c r="AE7" s="32">
        <f>seg_n_ng*AE6</f>
        <v/>
      </c>
      <c r="AF7" s="32">
        <f>seg_n_ng*AF6</f>
        <v/>
      </c>
      <c r="AG7" s="32">
        <f>seg_n_ng*AG6</f>
        <v/>
      </c>
      <c r="AH7" s="32">
        <f>seg_n_ng*AH6</f>
        <v/>
      </c>
      <c r="AI7" s="32">
        <f>seg_n_ng*AI6</f>
        <v/>
      </c>
      <c r="AJ7" s="32">
        <f>seg_n_ng*AJ6</f>
        <v/>
      </c>
      <c r="AK7" s="32">
        <f>seg_n_ng*AK6</f>
        <v/>
      </c>
      <c r="AL7" s="32">
        <f>seg_n_ng*AL6</f>
        <v/>
      </c>
      <c r="AM7" s="32">
        <f>seg_n_ng*AM6</f>
        <v/>
      </c>
      <c r="AN7" s="32">
        <f>seg_n_ng*AN6</f>
        <v/>
      </c>
      <c r="AO7" s="32">
        <f>seg_n_ng*AO6</f>
        <v/>
      </c>
      <c r="AP7" s="32">
        <f>seg_n_ng*AP6</f>
        <v/>
      </c>
      <c r="AQ7" s="32">
        <f>seg_n_ng*AQ6</f>
        <v/>
      </c>
      <c r="AR7" s="32">
        <f>seg_n_ng*AR6</f>
        <v/>
      </c>
      <c r="AS7" s="32">
        <f>seg_n_ng*AS6</f>
        <v/>
      </c>
      <c r="AT7" s="32">
        <f>seg_n_ng*AT6</f>
        <v/>
      </c>
      <c r="AU7" s="32">
        <f>seg_n_ng*AU6</f>
        <v/>
      </c>
      <c r="AV7" s="32">
        <f>seg_n_ng*AV6</f>
        <v/>
      </c>
      <c r="AW7" s="32">
        <f>seg_n_ng*AW6</f>
        <v/>
      </c>
      <c r="AX7" s="32">
        <f>seg_n_ng*AX6</f>
        <v/>
      </c>
      <c r="AY7" s="32">
        <f>seg_n_ng*AY6</f>
        <v/>
      </c>
      <c r="AZ7" s="32">
        <f>seg_n_ng*AZ6</f>
        <v/>
      </c>
      <c r="BA7" s="32">
        <f>seg_n_ng*BA6</f>
        <v/>
      </c>
      <c r="BB7" s="32">
        <f>seg_n_ng*BB6</f>
        <v/>
      </c>
      <c r="BC7" s="32">
        <f>seg_n_ng*BC6</f>
        <v/>
      </c>
      <c r="BD7" s="32">
        <f>seg_n_ng*BD6</f>
        <v/>
      </c>
      <c r="BE7" s="32">
        <f>seg_n_ng*BE6</f>
        <v/>
      </c>
      <c r="BF7" s="32">
        <f>seg_n_ng*BF6</f>
        <v/>
      </c>
      <c r="BG7" s="32">
        <f>seg_n_ng*BG6</f>
        <v/>
      </c>
      <c r="BH7" s="32">
        <f>seg_n_ng*BH6</f>
        <v/>
      </c>
      <c r="BI7" s="32">
        <f>seg_n_ng*BI6</f>
        <v/>
      </c>
      <c r="BJ7" s="32">
        <f>seg_n_ng*BJ6</f>
        <v/>
      </c>
      <c r="BK7" s="32">
        <f>seg_n_ng*BK6</f>
        <v/>
      </c>
    </row>
    <row r="8">
      <c r="A8" s="25" t="inlineStr">
        <is>
          <t>Money saved per active saver</t>
        </is>
      </c>
      <c r="B8" s="28" t="inlineStr">
        <is>
          <t>₹ per month</t>
        </is>
      </c>
      <c r="D8" s="32">
        <f>daily_amount_ng*(1+amount_growth_ng)^INT((D$4-1)/12)*debits_success_ng</f>
        <v/>
      </c>
      <c r="E8" s="32">
        <f>daily_amount_ng*(1+amount_growth_ng)^INT((E$4-1)/12)*debits_success_ng</f>
        <v/>
      </c>
      <c r="F8" s="32">
        <f>daily_amount_ng*(1+amount_growth_ng)^INT((F$4-1)/12)*debits_success_ng</f>
        <v/>
      </c>
      <c r="G8" s="32">
        <f>daily_amount_ng*(1+amount_growth_ng)^INT((G$4-1)/12)*debits_success_ng</f>
        <v/>
      </c>
      <c r="H8" s="32">
        <f>daily_amount_ng*(1+amount_growth_ng)^INT((H$4-1)/12)*debits_success_ng</f>
        <v/>
      </c>
      <c r="I8" s="32">
        <f>daily_amount_ng*(1+amount_growth_ng)^INT((I$4-1)/12)*debits_success_ng</f>
        <v/>
      </c>
      <c r="J8" s="32">
        <f>daily_amount_ng*(1+amount_growth_ng)^INT((J$4-1)/12)*debits_success_ng</f>
        <v/>
      </c>
      <c r="K8" s="32">
        <f>daily_amount_ng*(1+amount_growth_ng)^INT((K$4-1)/12)*debits_success_ng</f>
        <v/>
      </c>
      <c r="L8" s="32">
        <f>daily_amount_ng*(1+amount_growth_ng)^INT((L$4-1)/12)*debits_success_ng</f>
        <v/>
      </c>
      <c r="M8" s="32">
        <f>daily_amount_ng*(1+amount_growth_ng)^INT((M$4-1)/12)*debits_success_ng</f>
        <v/>
      </c>
      <c r="N8" s="32">
        <f>daily_amount_ng*(1+amount_growth_ng)^INT((N$4-1)/12)*debits_success_ng</f>
        <v/>
      </c>
      <c r="O8" s="32">
        <f>daily_amount_ng*(1+amount_growth_ng)^INT((O$4-1)/12)*debits_success_ng</f>
        <v/>
      </c>
      <c r="P8" s="32">
        <f>daily_amount_ng*(1+amount_growth_ng)^INT((P$4-1)/12)*debits_success_ng</f>
        <v/>
      </c>
      <c r="Q8" s="32">
        <f>daily_amount_ng*(1+amount_growth_ng)^INT((Q$4-1)/12)*debits_success_ng</f>
        <v/>
      </c>
      <c r="R8" s="32">
        <f>daily_amount_ng*(1+amount_growth_ng)^INT((R$4-1)/12)*debits_success_ng</f>
        <v/>
      </c>
      <c r="S8" s="32">
        <f>daily_amount_ng*(1+amount_growth_ng)^INT((S$4-1)/12)*debits_success_ng</f>
        <v/>
      </c>
      <c r="T8" s="32">
        <f>daily_amount_ng*(1+amount_growth_ng)^INT((T$4-1)/12)*debits_success_ng</f>
        <v/>
      </c>
      <c r="U8" s="32">
        <f>daily_amount_ng*(1+amount_growth_ng)^INT((U$4-1)/12)*debits_success_ng</f>
        <v/>
      </c>
      <c r="V8" s="32">
        <f>daily_amount_ng*(1+amount_growth_ng)^INT((V$4-1)/12)*debits_success_ng</f>
        <v/>
      </c>
      <c r="W8" s="32">
        <f>daily_amount_ng*(1+amount_growth_ng)^INT((W$4-1)/12)*debits_success_ng</f>
        <v/>
      </c>
      <c r="X8" s="32">
        <f>daily_amount_ng*(1+amount_growth_ng)^INT((X$4-1)/12)*debits_success_ng</f>
        <v/>
      </c>
      <c r="Y8" s="32">
        <f>daily_amount_ng*(1+amount_growth_ng)^INT((Y$4-1)/12)*debits_success_ng</f>
        <v/>
      </c>
      <c r="Z8" s="32">
        <f>daily_amount_ng*(1+amount_growth_ng)^INT((Z$4-1)/12)*debits_success_ng</f>
        <v/>
      </c>
      <c r="AA8" s="32">
        <f>daily_amount_ng*(1+amount_growth_ng)^INT((AA$4-1)/12)*debits_success_ng</f>
        <v/>
      </c>
      <c r="AB8" s="32">
        <f>daily_amount_ng*(1+amount_growth_ng)^INT((AB$4-1)/12)*debits_success_ng</f>
        <v/>
      </c>
      <c r="AC8" s="32">
        <f>daily_amount_ng*(1+amount_growth_ng)^INT((AC$4-1)/12)*debits_success_ng</f>
        <v/>
      </c>
      <c r="AD8" s="32">
        <f>daily_amount_ng*(1+amount_growth_ng)^INT((AD$4-1)/12)*debits_success_ng</f>
        <v/>
      </c>
      <c r="AE8" s="32">
        <f>daily_amount_ng*(1+amount_growth_ng)^INT((AE$4-1)/12)*debits_success_ng</f>
        <v/>
      </c>
      <c r="AF8" s="32">
        <f>daily_amount_ng*(1+amount_growth_ng)^INT((AF$4-1)/12)*debits_success_ng</f>
        <v/>
      </c>
      <c r="AG8" s="32">
        <f>daily_amount_ng*(1+amount_growth_ng)^INT((AG$4-1)/12)*debits_success_ng</f>
        <v/>
      </c>
      <c r="AH8" s="32">
        <f>daily_amount_ng*(1+amount_growth_ng)^INT((AH$4-1)/12)*debits_success_ng</f>
        <v/>
      </c>
      <c r="AI8" s="32">
        <f>daily_amount_ng*(1+amount_growth_ng)^INT((AI$4-1)/12)*debits_success_ng</f>
        <v/>
      </c>
      <c r="AJ8" s="32">
        <f>daily_amount_ng*(1+amount_growth_ng)^INT((AJ$4-1)/12)*debits_success_ng</f>
        <v/>
      </c>
      <c r="AK8" s="32">
        <f>daily_amount_ng*(1+amount_growth_ng)^INT((AK$4-1)/12)*debits_success_ng</f>
        <v/>
      </c>
      <c r="AL8" s="32">
        <f>daily_amount_ng*(1+amount_growth_ng)^INT((AL$4-1)/12)*debits_success_ng</f>
        <v/>
      </c>
      <c r="AM8" s="32">
        <f>daily_amount_ng*(1+amount_growth_ng)^INT((AM$4-1)/12)*debits_success_ng</f>
        <v/>
      </c>
      <c r="AN8" s="32">
        <f>daily_amount_ng*(1+amount_growth_ng)^INT((AN$4-1)/12)*debits_success_ng</f>
        <v/>
      </c>
      <c r="AO8" s="32">
        <f>daily_amount_ng*(1+amount_growth_ng)^INT((AO$4-1)/12)*debits_success_ng</f>
        <v/>
      </c>
      <c r="AP8" s="32">
        <f>daily_amount_ng*(1+amount_growth_ng)^INT((AP$4-1)/12)*debits_success_ng</f>
        <v/>
      </c>
      <c r="AQ8" s="32">
        <f>daily_amount_ng*(1+amount_growth_ng)^INT((AQ$4-1)/12)*debits_success_ng</f>
        <v/>
      </c>
      <c r="AR8" s="32">
        <f>daily_amount_ng*(1+amount_growth_ng)^INT((AR$4-1)/12)*debits_success_ng</f>
        <v/>
      </c>
      <c r="AS8" s="32">
        <f>daily_amount_ng*(1+amount_growth_ng)^INT((AS$4-1)/12)*debits_success_ng</f>
        <v/>
      </c>
      <c r="AT8" s="32">
        <f>daily_amount_ng*(1+amount_growth_ng)^INT((AT$4-1)/12)*debits_success_ng</f>
        <v/>
      </c>
      <c r="AU8" s="32">
        <f>daily_amount_ng*(1+amount_growth_ng)^INT((AU$4-1)/12)*debits_success_ng</f>
        <v/>
      </c>
      <c r="AV8" s="32">
        <f>daily_amount_ng*(1+amount_growth_ng)^INT((AV$4-1)/12)*debits_success_ng</f>
        <v/>
      </c>
      <c r="AW8" s="32">
        <f>daily_amount_ng*(1+amount_growth_ng)^INT((AW$4-1)/12)*debits_success_ng</f>
        <v/>
      </c>
      <c r="AX8" s="32">
        <f>daily_amount_ng*(1+amount_growth_ng)^INT((AX$4-1)/12)*debits_success_ng</f>
        <v/>
      </c>
      <c r="AY8" s="32">
        <f>daily_amount_ng*(1+amount_growth_ng)^INT((AY$4-1)/12)*debits_success_ng</f>
        <v/>
      </c>
      <c r="AZ8" s="32">
        <f>daily_amount_ng*(1+amount_growth_ng)^INT((AZ$4-1)/12)*debits_success_ng</f>
        <v/>
      </c>
      <c r="BA8" s="32">
        <f>daily_amount_ng*(1+amount_growth_ng)^INT((BA$4-1)/12)*debits_success_ng</f>
        <v/>
      </c>
      <c r="BB8" s="32">
        <f>daily_amount_ng*(1+amount_growth_ng)^INT((BB$4-1)/12)*debits_success_ng</f>
        <v/>
      </c>
      <c r="BC8" s="32">
        <f>daily_amount_ng*(1+amount_growth_ng)^INT((BC$4-1)/12)*debits_success_ng</f>
        <v/>
      </c>
      <c r="BD8" s="32">
        <f>daily_amount_ng*(1+amount_growth_ng)^INT((BD$4-1)/12)*debits_success_ng</f>
        <v/>
      </c>
      <c r="BE8" s="32">
        <f>daily_amount_ng*(1+amount_growth_ng)^INT((BE$4-1)/12)*debits_success_ng</f>
        <v/>
      </c>
      <c r="BF8" s="32">
        <f>daily_amount_ng*(1+amount_growth_ng)^INT((BF$4-1)/12)*debits_success_ng</f>
        <v/>
      </c>
      <c r="BG8" s="32">
        <f>daily_amount_ng*(1+amount_growth_ng)^INT((BG$4-1)/12)*debits_success_ng</f>
        <v/>
      </c>
      <c r="BH8" s="32">
        <f>daily_amount_ng*(1+amount_growth_ng)^INT((BH$4-1)/12)*debits_success_ng</f>
        <v/>
      </c>
      <c r="BI8" s="32">
        <f>daily_amount_ng*(1+amount_growth_ng)^INT((BI$4-1)/12)*debits_success_ng</f>
        <v/>
      </c>
      <c r="BJ8" s="32">
        <f>daily_amount_ng*(1+amount_growth_ng)^INT((BJ$4-1)/12)*debits_success_ng</f>
        <v/>
      </c>
      <c r="BK8" s="32">
        <f>daily_amount_ng*(1+amount_growth_ng)^INT((BK$4-1)/12)*debits_success_ng</f>
        <v/>
      </c>
    </row>
    <row r="9">
      <c r="A9" s="25" t="inlineStr">
        <is>
          <t>Money saved (contributions)</t>
        </is>
      </c>
      <c r="B9" s="28" t="inlineStr">
        <is>
          <t>₹</t>
        </is>
      </c>
      <c r="D9" s="32">
        <f>D7*D8</f>
        <v/>
      </c>
      <c r="E9" s="32">
        <f>E7*E8</f>
        <v/>
      </c>
      <c r="F9" s="32">
        <f>F7*F8</f>
        <v/>
      </c>
      <c r="G9" s="32">
        <f>G7*G8</f>
        <v/>
      </c>
      <c r="H9" s="32">
        <f>H7*H8</f>
        <v/>
      </c>
      <c r="I9" s="32">
        <f>I7*I8</f>
        <v/>
      </c>
      <c r="J9" s="32">
        <f>J7*J8</f>
        <v/>
      </c>
      <c r="K9" s="32">
        <f>K7*K8</f>
        <v/>
      </c>
      <c r="L9" s="32">
        <f>L7*L8</f>
        <v/>
      </c>
      <c r="M9" s="32">
        <f>M7*M8</f>
        <v/>
      </c>
      <c r="N9" s="32">
        <f>N7*N8</f>
        <v/>
      </c>
      <c r="O9" s="32">
        <f>O7*O8</f>
        <v/>
      </c>
      <c r="P9" s="32">
        <f>P7*P8</f>
        <v/>
      </c>
      <c r="Q9" s="32">
        <f>Q7*Q8</f>
        <v/>
      </c>
      <c r="R9" s="32">
        <f>R7*R8</f>
        <v/>
      </c>
      <c r="S9" s="32">
        <f>S7*S8</f>
        <v/>
      </c>
      <c r="T9" s="32">
        <f>T7*T8</f>
        <v/>
      </c>
      <c r="U9" s="32">
        <f>U7*U8</f>
        <v/>
      </c>
      <c r="V9" s="32">
        <f>V7*V8</f>
        <v/>
      </c>
      <c r="W9" s="32">
        <f>W7*W8</f>
        <v/>
      </c>
      <c r="X9" s="32">
        <f>X7*X8</f>
        <v/>
      </c>
      <c r="Y9" s="32">
        <f>Y7*Y8</f>
        <v/>
      </c>
      <c r="Z9" s="32">
        <f>Z7*Z8</f>
        <v/>
      </c>
      <c r="AA9" s="32">
        <f>AA7*AA8</f>
        <v/>
      </c>
      <c r="AB9" s="32">
        <f>AB7*AB8</f>
        <v/>
      </c>
      <c r="AC9" s="32">
        <f>AC7*AC8</f>
        <v/>
      </c>
      <c r="AD9" s="32">
        <f>AD7*AD8</f>
        <v/>
      </c>
      <c r="AE9" s="32">
        <f>AE7*AE8</f>
        <v/>
      </c>
      <c r="AF9" s="32">
        <f>AF7*AF8</f>
        <v/>
      </c>
      <c r="AG9" s="32">
        <f>AG7*AG8</f>
        <v/>
      </c>
      <c r="AH9" s="32">
        <f>AH7*AH8</f>
        <v/>
      </c>
      <c r="AI9" s="32">
        <f>AI7*AI8</f>
        <v/>
      </c>
      <c r="AJ9" s="32">
        <f>AJ7*AJ8</f>
        <v/>
      </c>
      <c r="AK9" s="32">
        <f>AK7*AK8</f>
        <v/>
      </c>
      <c r="AL9" s="32">
        <f>AL7*AL8</f>
        <v/>
      </c>
      <c r="AM9" s="32">
        <f>AM7*AM8</f>
        <v/>
      </c>
      <c r="AN9" s="32">
        <f>AN7*AN8</f>
        <v/>
      </c>
      <c r="AO9" s="32">
        <f>AO7*AO8</f>
        <v/>
      </c>
      <c r="AP9" s="32">
        <f>AP7*AP8</f>
        <v/>
      </c>
      <c r="AQ9" s="32">
        <f>AQ7*AQ8</f>
        <v/>
      </c>
      <c r="AR9" s="32">
        <f>AR7*AR8</f>
        <v/>
      </c>
      <c r="AS9" s="32">
        <f>AS7*AS8</f>
        <v/>
      </c>
      <c r="AT9" s="32">
        <f>AT7*AT8</f>
        <v/>
      </c>
      <c r="AU9" s="32">
        <f>AU7*AU8</f>
        <v/>
      </c>
      <c r="AV9" s="32">
        <f>AV7*AV8</f>
        <v/>
      </c>
      <c r="AW9" s="32">
        <f>AW7*AW8</f>
        <v/>
      </c>
      <c r="AX9" s="32">
        <f>AX7*AX8</f>
        <v/>
      </c>
      <c r="AY9" s="32">
        <f>AY7*AY8</f>
        <v/>
      </c>
      <c r="AZ9" s="32">
        <f>AZ7*AZ8</f>
        <v/>
      </c>
      <c r="BA9" s="32">
        <f>BA7*BA8</f>
        <v/>
      </c>
      <c r="BB9" s="32">
        <f>BB7*BB8</f>
        <v/>
      </c>
      <c r="BC9" s="32">
        <f>BC7*BC8</f>
        <v/>
      </c>
      <c r="BD9" s="32">
        <f>BD7*BD8</f>
        <v/>
      </c>
      <c r="BE9" s="32">
        <f>BE7*BE8</f>
        <v/>
      </c>
      <c r="BF9" s="32">
        <f>BF7*BF8</f>
        <v/>
      </c>
      <c r="BG9" s="32">
        <f>BG7*BG8</f>
        <v/>
      </c>
      <c r="BH9" s="32">
        <f>BH7*BH8</f>
        <v/>
      </c>
      <c r="BI9" s="32">
        <f>BI7*BI8</f>
        <v/>
      </c>
      <c r="BJ9" s="32">
        <f>BJ7*BJ8</f>
        <v/>
      </c>
      <c r="BK9" s="32">
        <f>BK7*BK8</f>
        <v/>
      </c>
    </row>
    <row r="10">
      <c r="A10" s="6" t="inlineStr">
        <is>
          <t>Balances (money sits with the fund house or bank, never with us)</t>
        </is>
      </c>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7" t="n"/>
    </row>
    <row r="11">
      <c r="A11" s="25" t="inlineStr">
        <is>
          <t>Share of last month's savers still saving</t>
        </is>
      </c>
      <c r="B11" s="28" t="inlineStr">
        <is>
          <t>share</t>
        </is>
      </c>
      <c r="D11" s="31">
        <f>D6/C6</f>
        <v/>
      </c>
      <c r="E11" s="31">
        <f>E6/D6</f>
        <v/>
      </c>
      <c r="F11" s="31">
        <f>F6/E6</f>
        <v/>
      </c>
      <c r="G11" s="31">
        <f>G6/F6</f>
        <v/>
      </c>
      <c r="H11" s="31">
        <f>H6/G6</f>
        <v/>
      </c>
      <c r="I11" s="31">
        <f>I6/H6</f>
        <v/>
      </c>
      <c r="J11" s="31">
        <f>J6/I6</f>
        <v/>
      </c>
      <c r="K11" s="31">
        <f>K6/J6</f>
        <v/>
      </c>
      <c r="L11" s="31">
        <f>L6/K6</f>
        <v/>
      </c>
      <c r="M11" s="31">
        <f>M6/L6</f>
        <v/>
      </c>
      <c r="N11" s="31">
        <f>N6/M6</f>
        <v/>
      </c>
      <c r="O11" s="31">
        <f>O6/N6</f>
        <v/>
      </c>
      <c r="P11" s="31">
        <f>P6/O6</f>
        <v/>
      </c>
      <c r="Q11" s="31">
        <f>Q6/P6</f>
        <v/>
      </c>
      <c r="R11" s="31">
        <f>R6/Q6</f>
        <v/>
      </c>
      <c r="S11" s="31">
        <f>S6/R6</f>
        <v/>
      </c>
      <c r="T11" s="31">
        <f>T6/S6</f>
        <v/>
      </c>
      <c r="U11" s="31">
        <f>U6/T6</f>
        <v/>
      </c>
      <c r="V11" s="31">
        <f>V6/U6</f>
        <v/>
      </c>
      <c r="W11" s="31">
        <f>W6/V6</f>
        <v/>
      </c>
      <c r="X11" s="31">
        <f>X6/W6</f>
        <v/>
      </c>
      <c r="Y11" s="31">
        <f>Y6/X6</f>
        <v/>
      </c>
      <c r="Z11" s="31">
        <f>Z6/Y6</f>
        <v/>
      </c>
      <c r="AA11" s="31">
        <f>AA6/Z6</f>
        <v/>
      </c>
      <c r="AB11" s="31">
        <f>AB6/AA6</f>
        <v/>
      </c>
      <c r="AC11" s="31">
        <f>AC6/AB6</f>
        <v/>
      </c>
      <c r="AD11" s="31">
        <f>AD6/AC6</f>
        <v/>
      </c>
      <c r="AE11" s="31">
        <f>AE6/AD6</f>
        <v/>
      </c>
      <c r="AF11" s="31">
        <f>AF6/AE6</f>
        <v/>
      </c>
      <c r="AG11" s="31">
        <f>AG6/AF6</f>
        <v/>
      </c>
      <c r="AH11" s="31">
        <f>AH6/AG6</f>
        <v/>
      </c>
      <c r="AI11" s="31">
        <f>AI6/AH6</f>
        <v/>
      </c>
      <c r="AJ11" s="31">
        <f>AJ6/AI6</f>
        <v/>
      </c>
      <c r="AK11" s="31">
        <f>AK6/AJ6</f>
        <v/>
      </c>
      <c r="AL11" s="31">
        <f>AL6/AK6</f>
        <v/>
      </c>
      <c r="AM11" s="31">
        <f>AM6/AL6</f>
        <v/>
      </c>
      <c r="AN11" s="31">
        <f>AN6/AM6</f>
        <v/>
      </c>
      <c r="AO11" s="31">
        <f>AO6/AN6</f>
        <v/>
      </c>
      <c r="AP11" s="31">
        <f>AP6/AO6</f>
        <v/>
      </c>
      <c r="AQ11" s="31">
        <f>AQ6/AP6</f>
        <v/>
      </c>
      <c r="AR11" s="31">
        <f>AR6/AQ6</f>
        <v/>
      </c>
      <c r="AS11" s="31">
        <f>AS6/AR6</f>
        <v/>
      </c>
      <c r="AT11" s="31">
        <f>AT6/AS6</f>
        <v/>
      </c>
      <c r="AU11" s="31">
        <f>AU6/AT6</f>
        <v/>
      </c>
      <c r="AV11" s="31">
        <f>AV6/AU6</f>
        <v/>
      </c>
      <c r="AW11" s="31">
        <f>AW6/AV6</f>
        <v/>
      </c>
      <c r="AX11" s="31">
        <f>AX6/AW6</f>
        <v/>
      </c>
      <c r="AY11" s="31">
        <f>AY6/AX6</f>
        <v/>
      </c>
      <c r="AZ11" s="31">
        <f>AZ6/AY6</f>
        <v/>
      </c>
      <c r="BA11" s="31">
        <f>BA6/AZ6</f>
        <v/>
      </c>
      <c r="BB11" s="31">
        <f>BB6/BA6</f>
        <v/>
      </c>
      <c r="BC11" s="31">
        <f>BC6/BB6</f>
        <v/>
      </c>
      <c r="BD11" s="31">
        <f>BD6/BC6</f>
        <v/>
      </c>
      <c r="BE11" s="31">
        <f>BE6/BD6</f>
        <v/>
      </c>
      <c r="BF11" s="31">
        <f>BF6/BE6</f>
        <v/>
      </c>
      <c r="BG11" s="31">
        <f>BG6/BF6</f>
        <v/>
      </c>
      <c r="BH11" s="31">
        <f>BH6/BG6</f>
        <v/>
      </c>
      <c r="BI11" s="31">
        <f>BI6/BH6</f>
        <v/>
      </c>
      <c r="BJ11" s="31">
        <f>BJ6/BI6</f>
        <v/>
      </c>
      <c r="BK11" s="31">
        <f>BK6/BJ6</f>
        <v/>
      </c>
    </row>
    <row r="12">
      <c r="A12" s="25" t="inlineStr">
        <is>
          <t>Last month's active balance after returns</t>
        </is>
      </c>
      <c r="B12" s="28" t="inlineStr">
        <is>
          <t>₹</t>
        </is>
      </c>
      <c r="D12" s="32">
        <f>C15*(1+fund_yield_ng/12)</f>
        <v/>
      </c>
      <c r="E12" s="32">
        <f>D15*(1+fund_yield_ng/12)</f>
        <v/>
      </c>
      <c r="F12" s="32">
        <f>E15*(1+fund_yield_ng/12)</f>
        <v/>
      </c>
      <c r="G12" s="32">
        <f>F15*(1+fund_yield_ng/12)</f>
        <v/>
      </c>
      <c r="H12" s="32">
        <f>G15*(1+fund_yield_ng/12)</f>
        <v/>
      </c>
      <c r="I12" s="32">
        <f>H15*(1+fund_yield_ng/12)</f>
        <v/>
      </c>
      <c r="J12" s="32">
        <f>I15*(1+fund_yield_ng/12)</f>
        <v/>
      </c>
      <c r="K12" s="32">
        <f>J15*(1+fund_yield_ng/12)</f>
        <v/>
      </c>
      <c r="L12" s="32">
        <f>K15*(1+fund_yield_ng/12)</f>
        <v/>
      </c>
      <c r="M12" s="32">
        <f>L15*(1+fund_yield_ng/12)</f>
        <v/>
      </c>
      <c r="N12" s="32">
        <f>M15*(1+fund_yield_ng/12)</f>
        <v/>
      </c>
      <c r="O12" s="32">
        <f>N15*(1+fund_yield_ng/12)</f>
        <v/>
      </c>
      <c r="P12" s="32">
        <f>O15*(1+fund_yield_ng/12)</f>
        <v/>
      </c>
      <c r="Q12" s="32">
        <f>P15*(1+fund_yield_ng/12)</f>
        <v/>
      </c>
      <c r="R12" s="32">
        <f>Q15*(1+fund_yield_ng/12)</f>
        <v/>
      </c>
      <c r="S12" s="32">
        <f>R15*(1+fund_yield_ng/12)</f>
        <v/>
      </c>
      <c r="T12" s="32">
        <f>S15*(1+fund_yield_ng/12)</f>
        <v/>
      </c>
      <c r="U12" s="32">
        <f>T15*(1+fund_yield_ng/12)</f>
        <v/>
      </c>
      <c r="V12" s="32">
        <f>U15*(1+fund_yield_ng/12)</f>
        <v/>
      </c>
      <c r="W12" s="32">
        <f>V15*(1+fund_yield_ng/12)</f>
        <v/>
      </c>
      <c r="X12" s="32">
        <f>W15*(1+fund_yield_ng/12)</f>
        <v/>
      </c>
      <c r="Y12" s="32">
        <f>X15*(1+fund_yield_ng/12)</f>
        <v/>
      </c>
      <c r="Z12" s="32">
        <f>Y15*(1+fund_yield_ng/12)</f>
        <v/>
      </c>
      <c r="AA12" s="32">
        <f>Z15*(1+fund_yield_ng/12)</f>
        <v/>
      </c>
      <c r="AB12" s="32">
        <f>AA15*(1+fund_yield_ng/12)</f>
        <v/>
      </c>
      <c r="AC12" s="32">
        <f>AB15*(1+fund_yield_ng/12)</f>
        <v/>
      </c>
      <c r="AD12" s="32">
        <f>AC15*(1+fund_yield_ng/12)</f>
        <v/>
      </c>
      <c r="AE12" s="32">
        <f>AD15*(1+fund_yield_ng/12)</f>
        <v/>
      </c>
      <c r="AF12" s="32">
        <f>AE15*(1+fund_yield_ng/12)</f>
        <v/>
      </c>
      <c r="AG12" s="32">
        <f>AF15*(1+fund_yield_ng/12)</f>
        <v/>
      </c>
      <c r="AH12" s="32">
        <f>AG15*(1+fund_yield_ng/12)</f>
        <v/>
      </c>
      <c r="AI12" s="32">
        <f>AH15*(1+fund_yield_ng/12)</f>
        <v/>
      </c>
      <c r="AJ12" s="32">
        <f>AI15*(1+fund_yield_ng/12)</f>
        <v/>
      </c>
      <c r="AK12" s="32">
        <f>AJ15*(1+fund_yield_ng/12)</f>
        <v/>
      </c>
      <c r="AL12" s="32">
        <f>AK15*(1+fund_yield_ng/12)</f>
        <v/>
      </c>
      <c r="AM12" s="32">
        <f>AL15*(1+fund_yield_ng/12)</f>
        <v/>
      </c>
      <c r="AN12" s="32">
        <f>AM15*(1+fund_yield_ng/12)</f>
        <v/>
      </c>
      <c r="AO12" s="32">
        <f>AN15*(1+fund_yield_ng/12)</f>
        <v/>
      </c>
      <c r="AP12" s="32">
        <f>AO15*(1+fund_yield_ng/12)</f>
        <v/>
      </c>
      <c r="AQ12" s="32">
        <f>AP15*(1+fund_yield_ng/12)</f>
        <v/>
      </c>
      <c r="AR12" s="32">
        <f>AQ15*(1+fund_yield_ng/12)</f>
        <v/>
      </c>
      <c r="AS12" s="32">
        <f>AR15*(1+fund_yield_ng/12)</f>
        <v/>
      </c>
      <c r="AT12" s="32">
        <f>AS15*(1+fund_yield_ng/12)</f>
        <v/>
      </c>
      <c r="AU12" s="32">
        <f>AT15*(1+fund_yield_ng/12)</f>
        <v/>
      </c>
      <c r="AV12" s="32">
        <f>AU15*(1+fund_yield_ng/12)</f>
        <v/>
      </c>
      <c r="AW12" s="32">
        <f>AV15*(1+fund_yield_ng/12)</f>
        <v/>
      </c>
      <c r="AX12" s="32">
        <f>AW15*(1+fund_yield_ng/12)</f>
        <v/>
      </c>
      <c r="AY12" s="32">
        <f>AX15*(1+fund_yield_ng/12)</f>
        <v/>
      </c>
      <c r="AZ12" s="32">
        <f>AY15*(1+fund_yield_ng/12)</f>
        <v/>
      </c>
      <c r="BA12" s="32">
        <f>AZ15*(1+fund_yield_ng/12)</f>
        <v/>
      </c>
      <c r="BB12" s="32">
        <f>BA15*(1+fund_yield_ng/12)</f>
        <v/>
      </c>
      <c r="BC12" s="32">
        <f>BB15*(1+fund_yield_ng/12)</f>
        <v/>
      </c>
      <c r="BD12" s="32">
        <f>BC15*(1+fund_yield_ng/12)</f>
        <v/>
      </c>
      <c r="BE12" s="32">
        <f>BD15*(1+fund_yield_ng/12)</f>
        <v/>
      </c>
      <c r="BF12" s="32">
        <f>BE15*(1+fund_yield_ng/12)</f>
        <v/>
      </c>
      <c r="BG12" s="32">
        <f>BF15*(1+fund_yield_ng/12)</f>
        <v/>
      </c>
      <c r="BH12" s="32">
        <f>BG15*(1+fund_yield_ng/12)</f>
        <v/>
      </c>
      <c r="BI12" s="32">
        <f>BH15*(1+fund_yield_ng/12)</f>
        <v/>
      </c>
      <c r="BJ12" s="32">
        <f>BI15*(1+fund_yield_ng/12)</f>
        <v/>
      </c>
      <c r="BK12" s="32">
        <f>BJ15*(1+fund_yield_ng/12)</f>
        <v/>
      </c>
    </row>
    <row r="13">
      <c r="A13" s="25" t="inlineStr">
        <is>
          <t>…belonging to savers who stay</t>
        </is>
      </c>
      <c r="B13" s="28" t="inlineStr">
        <is>
          <t>₹</t>
        </is>
      </c>
      <c r="D13" s="32">
        <f>D12*D11</f>
        <v/>
      </c>
      <c r="E13" s="32">
        <f>E12*E11</f>
        <v/>
      </c>
      <c r="F13" s="32">
        <f>F12*F11</f>
        <v/>
      </c>
      <c r="G13" s="32">
        <f>G12*G11</f>
        <v/>
      </c>
      <c r="H13" s="32">
        <f>H12*H11</f>
        <v/>
      </c>
      <c r="I13" s="32">
        <f>I12*I11</f>
        <v/>
      </c>
      <c r="J13" s="32">
        <f>J12*J11</f>
        <v/>
      </c>
      <c r="K13" s="32">
        <f>K12*K11</f>
        <v/>
      </c>
      <c r="L13" s="32">
        <f>L12*L11</f>
        <v/>
      </c>
      <c r="M13" s="32">
        <f>M12*M11</f>
        <v/>
      </c>
      <c r="N13" s="32">
        <f>N12*N11</f>
        <v/>
      </c>
      <c r="O13" s="32">
        <f>O12*O11</f>
        <v/>
      </c>
      <c r="P13" s="32">
        <f>P12*P11</f>
        <v/>
      </c>
      <c r="Q13" s="32">
        <f>Q12*Q11</f>
        <v/>
      </c>
      <c r="R13" s="32">
        <f>R12*R11</f>
        <v/>
      </c>
      <c r="S13" s="32">
        <f>S12*S11</f>
        <v/>
      </c>
      <c r="T13" s="32">
        <f>T12*T11</f>
        <v/>
      </c>
      <c r="U13" s="32">
        <f>U12*U11</f>
        <v/>
      </c>
      <c r="V13" s="32">
        <f>V12*V11</f>
        <v/>
      </c>
      <c r="W13" s="32">
        <f>W12*W11</f>
        <v/>
      </c>
      <c r="X13" s="32">
        <f>X12*X11</f>
        <v/>
      </c>
      <c r="Y13" s="32">
        <f>Y12*Y11</f>
        <v/>
      </c>
      <c r="Z13" s="32">
        <f>Z12*Z11</f>
        <v/>
      </c>
      <c r="AA13" s="32">
        <f>AA12*AA11</f>
        <v/>
      </c>
      <c r="AB13" s="32">
        <f>AB12*AB11</f>
        <v/>
      </c>
      <c r="AC13" s="32">
        <f>AC12*AC11</f>
        <v/>
      </c>
      <c r="AD13" s="32">
        <f>AD12*AD11</f>
        <v/>
      </c>
      <c r="AE13" s="32">
        <f>AE12*AE11</f>
        <v/>
      </c>
      <c r="AF13" s="32">
        <f>AF12*AF11</f>
        <v/>
      </c>
      <c r="AG13" s="32">
        <f>AG12*AG11</f>
        <v/>
      </c>
      <c r="AH13" s="32">
        <f>AH12*AH11</f>
        <v/>
      </c>
      <c r="AI13" s="32">
        <f>AI12*AI11</f>
        <v/>
      </c>
      <c r="AJ13" s="32">
        <f>AJ12*AJ11</f>
        <v/>
      </c>
      <c r="AK13" s="32">
        <f>AK12*AK11</f>
        <v/>
      </c>
      <c r="AL13" s="32">
        <f>AL12*AL11</f>
        <v/>
      </c>
      <c r="AM13" s="32">
        <f>AM12*AM11</f>
        <v/>
      </c>
      <c r="AN13" s="32">
        <f>AN12*AN11</f>
        <v/>
      </c>
      <c r="AO13" s="32">
        <f>AO12*AO11</f>
        <v/>
      </c>
      <c r="AP13" s="32">
        <f>AP12*AP11</f>
        <v/>
      </c>
      <c r="AQ13" s="32">
        <f>AQ12*AQ11</f>
        <v/>
      </c>
      <c r="AR13" s="32">
        <f>AR12*AR11</f>
        <v/>
      </c>
      <c r="AS13" s="32">
        <f>AS12*AS11</f>
        <v/>
      </c>
      <c r="AT13" s="32">
        <f>AT12*AT11</f>
        <v/>
      </c>
      <c r="AU13" s="32">
        <f>AU12*AU11</f>
        <v/>
      </c>
      <c r="AV13" s="32">
        <f>AV12*AV11</f>
        <v/>
      </c>
      <c r="AW13" s="32">
        <f>AW12*AW11</f>
        <v/>
      </c>
      <c r="AX13" s="32">
        <f>AX12*AX11</f>
        <v/>
      </c>
      <c r="AY13" s="32">
        <f>AY12*AY11</f>
        <v/>
      </c>
      <c r="AZ13" s="32">
        <f>AZ12*AZ11</f>
        <v/>
      </c>
      <c r="BA13" s="32">
        <f>BA12*BA11</f>
        <v/>
      </c>
      <c r="BB13" s="32">
        <f>BB12*BB11</f>
        <v/>
      </c>
      <c r="BC13" s="32">
        <f>BC12*BC11</f>
        <v/>
      </c>
      <c r="BD13" s="32">
        <f>BD12*BD11</f>
        <v/>
      </c>
      <c r="BE13" s="32">
        <f>BE12*BE11</f>
        <v/>
      </c>
      <c r="BF13" s="32">
        <f>BF12*BF11</f>
        <v/>
      </c>
      <c r="BG13" s="32">
        <f>BG12*BG11</f>
        <v/>
      </c>
      <c r="BH13" s="32">
        <f>BH12*BH11</f>
        <v/>
      </c>
      <c r="BI13" s="32">
        <f>BI12*BI11</f>
        <v/>
      </c>
      <c r="BJ13" s="32">
        <f>BJ12*BJ11</f>
        <v/>
      </c>
      <c r="BK13" s="32">
        <f>BK12*BK11</f>
        <v/>
      </c>
    </row>
    <row r="14">
      <c r="A14" s="25" t="inlineStr">
        <is>
          <t>…belonging to savers who stop this month</t>
        </is>
      </c>
      <c r="B14" s="28" t="inlineStr">
        <is>
          <t>₹</t>
        </is>
      </c>
      <c r="D14" s="32">
        <f>D12*(1-D11)</f>
        <v/>
      </c>
      <c r="E14" s="32">
        <f>E12*(1-E11)</f>
        <v/>
      </c>
      <c r="F14" s="32">
        <f>F12*(1-F11)</f>
        <v/>
      </c>
      <c r="G14" s="32">
        <f>G12*(1-G11)</f>
        <v/>
      </c>
      <c r="H14" s="32">
        <f>H12*(1-H11)</f>
        <v/>
      </c>
      <c r="I14" s="32">
        <f>I12*(1-I11)</f>
        <v/>
      </c>
      <c r="J14" s="32">
        <f>J12*(1-J11)</f>
        <v/>
      </c>
      <c r="K14" s="32">
        <f>K12*(1-K11)</f>
        <v/>
      </c>
      <c r="L14" s="32">
        <f>L12*(1-L11)</f>
        <v/>
      </c>
      <c r="M14" s="32">
        <f>M12*(1-M11)</f>
        <v/>
      </c>
      <c r="N14" s="32">
        <f>N12*(1-N11)</f>
        <v/>
      </c>
      <c r="O14" s="32">
        <f>O12*(1-O11)</f>
        <v/>
      </c>
      <c r="P14" s="32">
        <f>P12*(1-P11)</f>
        <v/>
      </c>
      <c r="Q14" s="32">
        <f>Q12*(1-Q11)</f>
        <v/>
      </c>
      <c r="R14" s="32">
        <f>R12*(1-R11)</f>
        <v/>
      </c>
      <c r="S14" s="32">
        <f>S12*(1-S11)</f>
        <v/>
      </c>
      <c r="T14" s="32">
        <f>T12*(1-T11)</f>
        <v/>
      </c>
      <c r="U14" s="32">
        <f>U12*(1-U11)</f>
        <v/>
      </c>
      <c r="V14" s="32">
        <f>V12*(1-V11)</f>
        <v/>
      </c>
      <c r="W14" s="32">
        <f>W12*(1-W11)</f>
        <v/>
      </c>
      <c r="X14" s="32">
        <f>X12*(1-X11)</f>
        <v/>
      </c>
      <c r="Y14" s="32">
        <f>Y12*(1-Y11)</f>
        <v/>
      </c>
      <c r="Z14" s="32">
        <f>Z12*(1-Z11)</f>
        <v/>
      </c>
      <c r="AA14" s="32">
        <f>AA12*(1-AA11)</f>
        <v/>
      </c>
      <c r="AB14" s="32">
        <f>AB12*(1-AB11)</f>
        <v/>
      </c>
      <c r="AC14" s="32">
        <f>AC12*(1-AC11)</f>
        <v/>
      </c>
      <c r="AD14" s="32">
        <f>AD12*(1-AD11)</f>
        <v/>
      </c>
      <c r="AE14" s="32">
        <f>AE12*(1-AE11)</f>
        <v/>
      </c>
      <c r="AF14" s="32">
        <f>AF12*(1-AF11)</f>
        <v/>
      </c>
      <c r="AG14" s="32">
        <f>AG12*(1-AG11)</f>
        <v/>
      </c>
      <c r="AH14" s="32">
        <f>AH12*(1-AH11)</f>
        <v/>
      </c>
      <c r="AI14" s="32">
        <f>AI12*(1-AI11)</f>
        <v/>
      </c>
      <c r="AJ14" s="32">
        <f>AJ12*(1-AJ11)</f>
        <v/>
      </c>
      <c r="AK14" s="32">
        <f>AK12*(1-AK11)</f>
        <v/>
      </c>
      <c r="AL14" s="32">
        <f>AL12*(1-AL11)</f>
        <v/>
      </c>
      <c r="AM14" s="32">
        <f>AM12*(1-AM11)</f>
        <v/>
      </c>
      <c r="AN14" s="32">
        <f>AN12*(1-AN11)</f>
        <v/>
      </c>
      <c r="AO14" s="32">
        <f>AO12*(1-AO11)</f>
        <v/>
      </c>
      <c r="AP14" s="32">
        <f>AP12*(1-AP11)</f>
        <v/>
      </c>
      <c r="AQ14" s="32">
        <f>AQ12*(1-AQ11)</f>
        <v/>
      </c>
      <c r="AR14" s="32">
        <f>AR12*(1-AR11)</f>
        <v/>
      </c>
      <c r="AS14" s="32">
        <f>AS12*(1-AS11)</f>
        <v/>
      </c>
      <c r="AT14" s="32">
        <f>AT12*(1-AT11)</f>
        <v/>
      </c>
      <c r="AU14" s="32">
        <f>AU12*(1-AU11)</f>
        <v/>
      </c>
      <c r="AV14" s="32">
        <f>AV12*(1-AV11)</f>
        <v/>
      </c>
      <c r="AW14" s="32">
        <f>AW12*(1-AW11)</f>
        <v/>
      </c>
      <c r="AX14" s="32">
        <f>AX12*(1-AX11)</f>
        <v/>
      </c>
      <c r="AY14" s="32">
        <f>AY12*(1-AY11)</f>
        <v/>
      </c>
      <c r="AZ14" s="32">
        <f>AZ12*(1-AZ11)</f>
        <v/>
      </c>
      <c r="BA14" s="32">
        <f>BA12*(1-BA11)</f>
        <v/>
      </c>
      <c r="BB14" s="32">
        <f>BB12*(1-BB11)</f>
        <v/>
      </c>
      <c r="BC14" s="32">
        <f>BC12*(1-BC11)</f>
        <v/>
      </c>
      <c r="BD14" s="32">
        <f>BD12*(1-BD11)</f>
        <v/>
      </c>
      <c r="BE14" s="32">
        <f>BE12*(1-BE11)</f>
        <v/>
      </c>
      <c r="BF14" s="32">
        <f>BF12*(1-BF11)</f>
        <v/>
      </c>
      <c r="BG14" s="32">
        <f>BG12*(1-BG11)</f>
        <v/>
      </c>
      <c r="BH14" s="32">
        <f>BH12*(1-BH11)</f>
        <v/>
      </c>
      <c r="BI14" s="32">
        <f>BI12*(1-BI11)</f>
        <v/>
      </c>
      <c r="BJ14" s="32">
        <f>BJ12*(1-BJ11)</f>
        <v/>
      </c>
      <c r="BK14" s="32">
        <f>BK12*(1-BK11)</f>
        <v/>
      </c>
    </row>
    <row r="15">
      <c r="A15" s="25" t="inlineStr">
        <is>
          <t>Balance of active savers</t>
        </is>
      </c>
      <c r="B15" s="28" t="inlineStr">
        <is>
          <t>₹</t>
        </is>
      </c>
      <c r="C15" s="30" t="n">
        <v>0</v>
      </c>
      <c r="D15" s="32">
        <f>D13*(1-withdraw_rate_ng)+D9</f>
        <v/>
      </c>
      <c r="E15" s="32">
        <f>E13*(1-withdraw_rate_ng)+E9</f>
        <v/>
      </c>
      <c r="F15" s="32">
        <f>F13*(1-withdraw_rate_ng)+F9</f>
        <v/>
      </c>
      <c r="G15" s="32">
        <f>G13*(1-withdraw_rate_ng)+G9</f>
        <v/>
      </c>
      <c r="H15" s="32">
        <f>H13*(1-withdraw_rate_ng)+H9</f>
        <v/>
      </c>
      <c r="I15" s="32">
        <f>I13*(1-withdraw_rate_ng)+I9</f>
        <v/>
      </c>
      <c r="J15" s="32">
        <f>J13*(1-withdraw_rate_ng)+J9</f>
        <v/>
      </c>
      <c r="K15" s="32">
        <f>K13*(1-withdraw_rate_ng)+K9</f>
        <v/>
      </c>
      <c r="L15" s="32">
        <f>L13*(1-withdraw_rate_ng)+L9</f>
        <v/>
      </c>
      <c r="M15" s="32">
        <f>M13*(1-withdraw_rate_ng)+M9</f>
        <v/>
      </c>
      <c r="N15" s="32">
        <f>N13*(1-withdraw_rate_ng)+N9</f>
        <v/>
      </c>
      <c r="O15" s="32">
        <f>O13*(1-withdraw_rate_ng)+O9</f>
        <v/>
      </c>
      <c r="P15" s="32">
        <f>P13*(1-withdraw_rate_ng)+P9</f>
        <v/>
      </c>
      <c r="Q15" s="32">
        <f>Q13*(1-withdraw_rate_ng)+Q9</f>
        <v/>
      </c>
      <c r="R15" s="32">
        <f>R13*(1-withdraw_rate_ng)+R9</f>
        <v/>
      </c>
      <c r="S15" s="32">
        <f>S13*(1-withdraw_rate_ng)+S9</f>
        <v/>
      </c>
      <c r="T15" s="32">
        <f>T13*(1-withdraw_rate_ng)+T9</f>
        <v/>
      </c>
      <c r="U15" s="32">
        <f>U13*(1-withdraw_rate_ng)+U9</f>
        <v/>
      </c>
      <c r="V15" s="32">
        <f>V13*(1-withdraw_rate_ng)+V9</f>
        <v/>
      </c>
      <c r="W15" s="32">
        <f>W13*(1-withdraw_rate_ng)+W9</f>
        <v/>
      </c>
      <c r="X15" s="32">
        <f>X13*(1-withdraw_rate_ng)+X9</f>
        <v/>
      </c>
      <c r="Y15" s="32">
        <f>Y13*(1-withdraw_rate_ng)+Y9</f>
        <v/>
      </c>
      <c r="Z15" s="32">
        <f>Z13*(1-withdraw_rate_ng)+Z9</f>
        <v/>
      </c>
      <c r="AA15" s="32">
        <f>AA13*(1-withdraw_rate_ng)+AA9</f>
        <v/>
      </c>
      <c r="AB15" s="32">
        <f>AB13*(1-withdraw_rate_ng)+AB9</f>
        <v/>
      </c>
      <c r="AC15" s="32">
        <f>AC13*(1-withdraw_rate_ng)+AC9</f>
        <v/>
      </c>
      <c r="AD15" s="32">
        <f>AD13*(1-withdraw_rate_ng)+AD9</f>
        <v/>
      </c>
      <c r="AE15" s="32">
        <f>AE13*(1-withdraw_rate_ng)+AE9</f>
        <v/>
      </c>
      <c r="AF15" s="32">
        <f>AF13*(1-withdraw_rate_ng)+AF9</f>
        <v/>
      </c>
      <c r="AG15" s="32">
        <f>AG13*(1-withdraw_rate_ng)+AG9</f>
        <v/>
      </c>
      <c r="AH15" s="32">
        <f>AH13*(1-withdraw_rate_ng)+AH9</f>
        <v/>
      </c>
      <c r="AI15" s="32">
        <f>AI13*(1-withdraw_rate_ng)+AI9</f>
        <v/>
      </c>
      <c r="AJ15" s="32">
        <f>AJ13*(1-withdraw_rate_ng)+AJ9</f>
        <v/>
      </c>
      <c r="AK15" s="32">
        <f>AK13*(1-withdraw_rate_ng)+AK9</f>
        <v/>
      </c>
      <c r="AL15" s="32">
        <f>AL13*(1-withdraw_rate_ng)+AL9</f>
        <v/>
      </c>
      <c r="AM15" s="32">
        <f>AM13*(1-withdraw_rate_ng)+AM9</f>
        <v/>
      </c>
      <c r="AN15" s="32">
        <f>AN13*(1-withdraw_rate_ng)+AN9</f>
        <v/>
      </c>
      <c r="AO15" s="32">
        <f>AO13*(1-withdraw_rate_ng)+AO9</f>
        <v/>
      </c>
      <c r="AP15" s="32">
        <f>AP13*(1-withdraw_rate_ng)+AP9</f>
        <v/>
      </c>
      <c r="AQ15" s="32">
        <f>AQ13*(1-withdraw_rate_ng)+AQ9</f>
        <v/>
      </c>
      <c r="AR15" s="32">
        <f>AR13*(1-withdraw_rate_ng)+AR9</f>
        <v/>
      </c>
      <c r="AS15" s="32">
        <f>AS13*(1-withdraw_rate_ng)+AS9</f>
        <v/>
      </c>
      <c r="AT15" s="32">
        <f>AT13*(1-withdraw_rate_ng)+AT9</f>
        <v/>
      </c>
      <c r="AU15" s="32">
        <f>AU13*(1-withdraw_rate_ng)+AU9</f>
        <v/>
      </c>
      <c r="AV15" s="32">
        <f>AV13*(1-withdraw_rate_ng)+AV9</f>
        <v/>
      </c>
      <c r="AW15" s="32">
        <f>AW13*(1-withdraw_rate_ng)+AW9</f>
        <v/>
      </c>
      <c r="AX15" s="32">
        <f>AX13*(1-withdraw_rate_ng)+AX9</f>
        <v/>
      </c>
      <c r="AY15" s="32">
        <f>AY13*(1-withdraw_rate_ng)+AY9</f>
        <v/>
      </c>
      <c r="AZ15" s="32">
        <f>AZ13*(1-withdraw_rate_ng)+AZ9</f>
        <v/>
      </c>
      <c r="BA15" s="32">
        <f>BA13*(1-withdraw_rate_ng)+BA9</f>
        <v/>
      </c>
      <c r="BB15" s="32">
        <f>BB13*(1-withdraw_rate_ng)+BB9</f>
        <v/>
      </c>
      <c r="BC15" s="32">
        <f>BC13*(1-withdraw_rate_ng)+BC9</f>
        <v/>
      </c>
      <c r="BD15" s="32">
        <f>BD13*(1-withdraw_rate_ng)+BD9</f>
        <v/>
      </c>
      <c r="BE15" s="32">
        <f>BE13*(1-withdraw_rate_ng)+BE9</f>
        <v/>
      </c>
      <c r="BF15" s="32">
        <f>BF13*(1-withdraw_rate_ng)+BF9</f>
        <v/>
      </c>
      <c r="BG15" s="32">
        <f>BG13*(1-withdraw_rate_ng)+BG9</f>
        <v/>
      </c>
      <c r="BH15" s="32">
        <f>BH13*(1-withdraw_rate_ng)+BH9</f>
        <v/>
      </c>
      <c r="BI15" s="32">
        <f>BI13*(1-withdraw_rate_ng)+BI9</f>
        <v/>
      </c>
      <c r="BJ15" s="32">
        <f>BJ13*(1-withdraw_rate_ng)+BJ9</f>
        <v/>
      </c>
      <c r="BK15" s="32">
        <f>BK13*(1-withdraw_rate_ng)+BK9</f>
        <v/>
      </c>
    </row>
    <row r="16">
      <c r="A16" s="25" t="inlineStr">
        <is>
          <t>Balance left behind by savers who stopped</t>
        </is>
      </c>
      <c r="B16" s="28" t="inlineStr">
        <is>
          <t>₹</t>
        </is>
      </c>
      <c r="C16" s="30" t="n">
        <v>0</v>
      </c>
      <c r="D16" s="32">
        <f>C16*(1+fund_yield_ng/12)*(1-dormant_withdraw_ng)+D14*(1-leaver_withdraw_ng)</f>
        <v/>
      </c>
      <c r="E16" s="32">
        <f>D16*(1+fund_yield_ng/12)*(1-dormant_withdraw_ng)+E14*(1-leaver_withdraw_ng)</f>
        <v/>
      </c>
      <c r="F16" s="32">
        <f>E16*(1+fund_yield_ng/12)*(1-dormant_withdraw_ng)+F14*(1-leaver_withdraw_ng)</f>
        <v/>
      </c>
      <c r="G16" s="32">
        <f>F16*(1+fund_yield_ng/12)*(1-dormant_withdraw_ng)+G14*(1-leaver_withdraw_ng)</f>
        <v/>
      </c>
      <c r="H16" s="32">
        <f>G16*(1+fund_yield_ng/12)*(1-dormant_withdraw_ng)+H14*(1-leaver_withdraw_ng)</f>
        <v/>
      </c>
      <c r="I16" s="32">
        <f>H16*(1+fund_yield_ng/12)*(1-dormant_withdraw_ng)+I14*(1-leaver_withdraw_ng)</f>
        <v/>
      </c>
      <c r="J16" s="32">
        <f>I16*(1+fund_yield_ng/12)*(1-dormant_withdraw_ng)+J14*(1-leaver_withdraw_ng)</f>
        <v/>
      </c>
      <c r="K16" s="32">
        <f>J16*(1+fund_yield_ng/12)*(1-dormant_withdraw_ng)+K14*(1-leaver_withdraw_ng)</f>
        <v/>
      </c>
      <c r="L16" s="32">
        <f>K16*(1+fund_yield_ng/12)*(1-dormant_withdraw_ng)+L14*(1-leaver_withdraw_ng)</f>
        <v/>
      </c>
      <c r="M16" s="32">
        <f>L16*(1+fund_yield_ng/12)*(1-dormant_withdraw_ng)+M14*(1-leaver_withdraw_ng)</f>
        <v/>
      </c>
      <c r="N16" s="32">
        <f>M16*(1+fund_yield_ng/12)*(1-dormant_withdraw_ng)+N14*(1-leaver_withdraw_ng)</f>
        <v/>
      </c>
      <c r="O16" s="32">
        <f>N16*(1+fund_yield_ng/12)*(1-dormant_withdraw_ng)+O14*(1-leaver_withdraw_ng)</f>
        <v/>
      </c>
      <c r="P16" s="32">
        <f>O16*(1+fund_yield_ng/12)*(1-dormant_withdraw_ng)+P14*(1-leaver_withdraw_ng)</f>
        <v/>
      </c>
      <c r="Q16" s="32">
        <f>P16*(1+fund_yield_ng/12)*(1-dormant_withdraw_ng)+Q14*(1-leaver_withdraw_ng)</f>
        <v/>
      </c>
      <c r="R16" s="32">
        <f>Q16*(1+fund_yield_ng/12)*(1-dormant_withdraw_ng)+R14*(1-leaver_withdraw_ng)</f>
        <v/>
      </c>
      <c r="S16" s="32">
        <f>R16*(1+fund_yield_ng/12)*(1-dormant_withdraw_ng)+S14*(1-leaver_withdraw_ng)</f>
        <v/>
      </c>
      <c r="T16" s="32">
        <f>S16*(1+fund_yield_ng/12)*(1-dormant_withdraw_ng)+T14*(1-leaver_withdraw_ng)</f>
        <v/>
      </c>
      <c r="U16" s="32">
        <f>T16*(1+fund_yield_ng/12)*(1-dormant_withdraw_ng)+U14*(1-leaver_withdraw_ng)</f>
        <v/>
      </c>
      <c r="V16" s="32">
        <f>U16*(1+fund_yield_ng/12)*(1-dormant_withdraw_ng)+V14*(1-leaver_withdraw_ng)</f>
        <v/>
      </c>
      <c r="W16" s="32">
        <f>V16*(1+fund_yield_ng/12)*(1-dormant_withdraw_ng)+W14*(1-leaver_withdraw_ng)</f>
        <v/>
      </c>
      <c r="X16" s="32">
        <f>W16*(1+fund_yield_ng/12)*(1-dormant_withdraw_ng)+X14*(1-leaver_withdraw_ng)</f>
        <v/>
      </c>
      <c r="Y16" s="32">
        <f>X16*(1+fund_yield_ng/12)*(1-dormant_withdraw_ng)+Y14*(1-leaver_withdraw_ng)</f>
        <v/>
      </c>
      <c r="Z16" s="32">
        <f>Y16*(1+fund_yield_ng/12)*(1-dormant_withdraw_ng)+Z14*(1-leaver_withdraw_ng)</f>
        <v/>
      </c>
      <c r="AA16" s="32">
        <f>Z16*(1+fund_yield_ng/12)*(1-dormant_withdraw_ng)+AA14*(1-leaver_withdraw_ng)</f>
        <v/>
      </c>
      <c r="AB16" s="32">
        <f>AA16*(1+fund_yield_ng/12)*(1-dormant_withdraw_ng)+AB14*(1-leaver_withdraw_ng)</f>
        <v/>
      </c>
      <c r="AC16" s="32">
        <f>AB16*(1+fund_yield_ng/12)*(1-dormant_withdraw_ng)+AC14*(1-leaver_withdraw_ng)</f>
        <v/>
      </c>
      <c r="AD16" s="32">
        <f>AC16*(1+fund_yield_ng/12)*(1-dormant_withdraw_ng)+AD14*(1-leaver_withdraw_ng)</f>
        <v/>
      </c>
      <c r="AE16" s="32">
        <f>AD16*(1+fund_yield_ng/12)*(1-dormant_withdraw_ng)+AE14*(1-leaver_withdraw_ng)</f>
        <v/>
      </c>
      <c r="AF16" s="32">
        <f>AE16*(1+fund_yield_ng/12)*(1-dormant_withdraw_ng)+AF14*(1-leaver_withdraw_ng)</f>
        <v/>
      </c>
      <c r="AG16" s="32">
        <f>AF16*(1+fund_yield_ng/12)*(1-dormant_withdraw_ng)+AG14*(1-leaver_withdraw_ng)</f>
        <v/>
      </c>
      <c r="AH16" s="32">
        <f>AG16*(1+fund_yield_ng/12)*(1-dormant_withdraw_ng)+AH14*(1-leaver_withdraw_ng)</f>
        <v/>
      </c>
      <c r="AI16" s="32">
        <f>AH16*(1+fund_yield_ng/12)*(1-dormant_withdraw_ng)+AI14*(1-leaver_withdraw_ng)</f>
        <v/>
      </c>
      <c r="AJ16" s="32">
        <f>AI16*(1+fund_yield_ng/12)*(1-dormant_withdraw_ng)+AJ14*(1-leaver_withdraw_ng)</f>
        <v/>
      </c>
      <c r="AK16" s="32">
        <f>AJ16*(1+fund_yield_ng/12)*(1-dormant_withdraw_ng)+AK14*(1-leaver_withdraw_ng)</f>
        <v/>
      </c>
      <c r="AL16" s="32">
        <f>AK16*(1+fund_yield_ng/12)*(1-dormant_withdraw_ng)+AL14*(1-leaver_withdraw_ng)</f>
        <v/>
      </c>
      <c r="AM16" s="32">
        <f>AL16*(1+fund_yield_ng/12)*(1-dormant_withdraw_ng)+AM14*(1-leaver_withdraw_ng)</f>
        <v/>
      </c>
      <c r="AN16" s="32">
        <f>AM16*(1+fund_yield_ng/12)*(1-dormant_withdraw_ng)+AN14*(1-leaver_withdraw_ng)</f>
        <v/>
      </c>
      <c r="AO16" s="32">
        <f>AN16*(1+fund_yield_ng/12)*(1-dormant_withdraw_ng)+AO14*(1-leaver_withdraw_ng)</f>
        <v/>
      </c>
      <c r="AP16" s="32">
        <f>AO16*(1+fund_yield_ng/12)*(1-dormant_withdraw_ng)+AP14*(1-leaver_withdraw_ng)</f>
        <v/>
      </c>
      <c r="AQ16" s="32">
        <f>AP16*(1+fund_yield_ng/12)*(1-dormant_withdraw_ng)+AQ14*(1-leaver_withdraw_ng)</f>
        <v/>
      </c>
      <c r="AR16" s="32">
        <f>AQ16*(1+fund_yield_ng/12)*(1-dormant_withdraw_ng)+AR14*(1-leaver_withdraw_ng)</f>
        <v/>
      </c>
      <c r="AS16" s="32">
        <f>AR16*(1+fund_yield_ng/12)*(1-dormant_withdraw_ng)+AS14*(1-leaver_withdraw_ng)</f>
        <v/>
      </c>
      <c r="AT16" s="32">
        <f>AS16*(1+fund_yield_ng/12)*(1-dormant_withdraw_ng)+AT14*(1-leaver_withdraw_ng)</f>
        <v/>
      </c>
      <c r="AU16" s="32">
        <f>AT16*(1+fund_yield_ng/12)*(1-dormant_withdraw_ng)+AU14*(1-leaver_withdraw_ng)</f>
        <v/>
      </c>
      <c r="AV16" s="32">
        <f>AU16*(1+fund_yield_ng/12)*(1-dormant_withdraw_ng)+AV14*(1-leaver_withdraw_ng)</f>
        <v/>
      </c>
      <c r="AW16" s="32">
        <f>AV16*(1+fund_yield_ng/12)*(1-dormant_withdraw_ng)+AW14*(1-leaver_withdraw_ng)</f>
        <v/>
      </c>
      <c r="AX16" s="32">
        <f>AW16*(1+fund_yield_ng/12)*(1-dormant_withdraw_ng)+AX14*(1-leaver_withdraw_ng)</f>
        <v/>
      </c>
      <c r="AY16" s="32">
        <f>AX16*(1+fund_yield_ng/12)*(1-dormant_withdraw_ng)+AY14*(1-leaver_withdraw_ng)</f>
        <v/>
      </c>
      <c r="AZ16" s="32">
        <f>AY16*(1+fund_yield_ng/12)*(1-dormant_withdraw_ng)+AZ14*(1-leaver_withdraw_ng)</f>
        <v/>
      </c>
      <c r="BA16" s="32">
        <f>AZ16*(1+fund_yield_ng/12)*(1-dormant_withdraw_ng)+BA14*(1-leaver_withdraw_ng)</f>
        <v/>
      </c>
      <c r="BB16" s="32">
        <f>BA16*(1+fund_yield_ng/12)*(1-dormant_withdraw_ng)+BB14*(1-leaver_withdraw_ng)</f>
        <v/>
      </c>
      <c r="BC16" s="32">
        <f>BB16*(1+fund_yield_ng/12)*(1-dormant_withdraw_ng)+BC14*(1-leaver_withdraw_ng)</f>
        <v/>
      </c>
      <c r="BD16" s="32">
        <f>BC16*(1+fund_yield_ng/12)*(1-dormant_withdraw_ng)+BD14*(1-leaver_withdraw_ng)</f>
        <v/>
      </c>
      <c r="BE16" s="32">
        <f>BD16*(1+fund_yield_ng/12)*(1-dormant_withdraw_ng)+BE14*(1-leaver_withdraw_ng)</f>
        <v/>
      </c>
      <c r="BF16" s="32">
        <f>BE16*(1+fund_yield_ng/12)*(1-dormant_withdraw_ng)+BF14*(1-leaver_withdraw_ng)</f>
        <v/>
      </c>
      <c r="BG16" s="32">
        <f>BF16*(1+fund_yield_ng/12)*(1-dormant_withdraw_ng)+BG14*(1-leaver_withdraw_ng)</f>
        <v/>
      </c>
      <c r="BH16" s="32">
        <f>BG16*(1+fund_yield_ng/12)*(1-dormant_withdraw_ng)+BH14*(1-leaver_withdraw_ng)</f>
        <v/>
      </c>
      <c r="BI16" s="32">
        <f>BH16*(1+fund_yield_ng/12)*(1-dormant_withdraw_ng)+BI14*(1-leaver_withdraw_ng)</f>
        <v/>
      </c>
      <c r="BJ16" s="32">
        <f>BI16*(1+fund_yield_ng/12)*(1-dormant_withdraw_ng)+BJ14*(1-leaver_withdraw_ng)</f>
        <v/>
      </c>
      <c r="BK16" s="32">
        <f>BJ16*(1+fund_yield_ng/12)*(1-dormant_withdraw_ng)+BK14*(1-leaver_withdraw_ng)</f>
        <v/>
      </c>
    </row>
    <row r="17">
      <c r="A17" s="25" t="inlineStr">
        <is>
          <t>Withdrawals</t>
        </is>
      </c>
      <c r="B17" s="28" t="inlineStr">
        <is>
          <t>₹</t>
        </is>
      </c>
      <c r="D17" s="32">
        <f>D13*withdraw_rate_ng+D14*leaver_withdraw_ng+C16*(1+fund_yield_ng/12)*dormant_withdraw_ng</f>
        <v/>
      </c>
      <c r="E17" s="32">
        <f>E13*withdraw_rate_ng+E14*leaver_withdraw_ng+D16*(1+fund_yield_ng/12)*dormant_withdraw_ng</f>
        <v/>
      </c>
      <c r="F17" s="32">
        <f>F13*withdraw_rate_ng+F14*leaver_withdraw_ng+E16*(1+fund_yield_ng/12)*dormant_withdraw_ng</f>
        <v/>
      </c>
      <c r="G17" s="32">
        <f>G13*withdraw_rate_ng+G14*leaver_withdraw_ng+F16*(1+fund_yield_ng/12)*dormant_withdraw_ng</f>
        <v/>
      </c>
      <c r="H17" s="32">
        <f>H13*withdraw_rate_ng+H14*leaver_withdraw_ng+G16*(1+fund_yield_ng/12)*dormant_withdraw_ng</f>
        <v/>
      </c>
      <c r="I17" s="32">
        <f>I13*withdraw_rate_ng+I14*leaver_withdraw_ng+H16*(1+fund_yield_ng/12)*dormant_withdraw_ng</f>
        <v/>
      </c>
      <c r="J17" s="32">
        <f>J13*withdraw_rate_ng+J14*leaver_withdraw_ng+I16*(1+fund_yield_ng/12)*dormant_withdraw_ng</f>
        <v/>
      </c>
      <c r="K17" s="32">
        <f>K13*withdraw_rate_ng+K14*leaver_withdraw_ng+J16*(1+fund_yield_ng/12)*dormant_withdraw_ng</f>
        <v/>
      </c>
      <c r="L17" s="32">
        <f>L13*withdraw_rate_ng+L14*leaver_withdraw_ng+K16*(1+fund_yield_ng/12)*dormant_withdraw_ng</f>
        <v/>
      </c>
      <c r="M17" s="32">
        <f>M13*withdraw_rate_ng+M14*leaver_withdraw_ng+L16*(1+fund_yield_ng/12)*dormant_withdraw_ng</f>
        <v/>
      </c>
      <c r="N17" s="32">
        <f>N13*withdraw_rate_ng+N14*leaver_withdraw_ng+M16*(1+fund_yield_ng/12)*dormant_withdraw_ng</f>
        <v/>
      </c>
      <c r="O17" s="32">
        <f>O13*withdraw_rate_ng+O14*leaver_withdraw_ng+N16*(1+fund_yield_ng/12)*dormant_withdraw_ng</f>
        <v/>
      </c>
      <c r="P17" s="32">
        <f>P13*withdraw_rate_ng+P14*leaver_withdraw_ng+O16*(1+fund_yield_ng/12)*dormant_withdraw_ng</f>
        <v/>
      </c>
      <c r="Q17" s="32">
        <f>Q13*withdraw_rate_ng+Q14*leaver_withdraw_ng+P16*(1+fund_yield_ng/12)*dormant_withdraw_ng</f>
        <v/>
      </c>
      <c r="R17" s="32">
        <f>R13*withdraw_rate_ng+R14*leaver_withdraw_ng+Q16*(1+fund_yield_ng/12)*dormant_withdraw_ng</f>
        <v/>
      </c>
      <c r="S17" s="32">
        <f>S13*withdraw_rate_ng+S14*leaver_withdraw_ng+R16*(1+fund_yield_ng/12)*dormant_withdraw_ng</f>
        <v/>
      </c>
      <c r="T17" s="32">
        <f>T13*withdraw_rate_ng+T14*leaver_withdraw_ng+S16*(1+fund_yield_ng/12)*dormant_withdraw_ng</f>
        <v/>
      </c>
      <c r="U17" s="32">
        <f>U13*withdraw_rate_ng+U14*leaver_withdraw_ng+T16*(1+fund_yield_ng/12)*dormant_withdraw_ng</f>
        <v/>
      </c>
      <c r="V17" s="32">
        <f>V13*withdraw_rate_ng+V14*leaver_withdraw_ng+U16*(1+fund_yield_ng/12)*dormant_withdraw_ng</f>
        <v/>
      </c>
      <c r="W17" s="32">
        <f>W13*withdraw_rate_ng+W14*leaver_withdraw_ng+V16*(1+fund_yield_ng/12)*dormant_withdraw_ng</f>
        <v/>
      </c>
      <c r="X17" s="32">
        <f>X13*withdraw_rate_ng+X14*leaver_withdraw_ng+W16*(1+fund_yield_ng/12)*dormant_withdraw_ng</f>
        <v/>
      </c>
      <c r="Y17" s="32">
        <f>Y13*withdraw_rate_ng+Y14*leaver_withdraw_ng+X16*(1+fund_yield_ng/12)*dormant_withdraw_ng</f>
        <v/>
      </c>
      <c r="Z17" s="32">
        <f>Z13*withdraw_rate_ng+Z14*leaver_withdraw_ng+Y16*(1+fund_yield_ng/12)*dormant_withdraw_ng</f>
        <v/>
      </c>
      <c r="AA17" s="32">
        <f>AA13*withdraw_rate_ng+AA14*leaver_withdraw_ng+Z16*(1+fund_yield_ng/12)*dormant_withdraw_ng</f>
        <v/>
      </c>
      <c r="AB17" s="32">
        <f>AB13*withdraw_rate_ng+AB14*leaver_withdraw_ng+AA16*(1+fund_yield_ng/12)*dormant_withdraw_ng</f>
        <v/>
      </c>
      <c r="AC17" s="32">
        <f>AC13*withdraw_rate_ng+AC14*leaver_withdraw_ng+AB16*(1+fund_yield_ng/12)*dormant_withdraw_ng</f>
        <v/>
      </c>
      <c r="AD17" s="32">
        <f>AD13*withdraw_rate_ng+AD14*leaver_withdraw_ng+AC16*(1+fund_yield_ng/12)*dormant_withdraw_ng</f>
        <v/>
      </c>
      <c r="AE17" s="32">
        <f>AE13*withdraw_rate_ng+AE14*leaver_withdraw_ng+AD16*(1+fund_yield_ng/12)*dormant_withdraw_ng</f>
        <v/>
      </c>
      <c r="AF17" s="32">
        <f>AF13*withdraw_rate_ng+AF14*leaver_withdraw_ng+AE16*(1+fund_yield_ng/12)*dormant_withdraw_ng</f>
        <v/>
      </c>
      <c r="AG17" s="32">
        <f>AG13*withdraw_rate_ng+AG14*leaver_withdraw_ng+AF16*(1+fund_yield_ng/12)*dormant_withdraw_ng</f>
        <v/>
      </c>
      <c r="AH17" s="32">
        <f>AH13*withdraw_rate_ng+AH14*leaver_withdraw_ng+AG16*(1+fund_yield_ng/12)*dormant_withdraw_ng</f>
        <v/>
      </c>
      <c r="AI17" s="32">
        <f>AI13*withdraw_rate_ng+AI14*leaver_withdraw_ng+AH16*(1+fund_yield_ng/12)*dormant_withdraw_ng</f>
        <v/>
      </c>
      <c r="AJ17" s="32">
        <f>AJ13*withdraw_rate_ng+AJ14*leaver_withdraw_ng+AI16*(1+fund_yield_ng/12)*dormant_withdraw_ng</f>
        <v/>
      </c>
      <c r="AK17" s="32">
        <f>AK13*withdraw_rate_ng+AK14*leaver_withdraw_ng+AJ16*(1+fund_yield_ng/12)*dormant_withdraw_ng</f>
        <v/>
      </c>
      <c r="AL17" s="32">
        <f>AL13*withdraw_rate_ng+AL14*leaver_withdraw_ng+AK16*(1+fund_yield_ng/12)*dormant_withdraw_ng</f>
        <v/>
      </c>
      <c r="AM17" s="32">
        <f>AM13*withdraw_rate_ng+AM14*leaver_withdraw_ng+AL16*(1+fund_yield_ng/12)*dormant_withdraw_ng</f>
        <v/>
      </c>
      <c r="AN17" s="32">
        <f>AN13*withdraw_rate_ng+AN14*leaver_withdraw_ng+AM16*(1+fund_yield_ng/12)*dormant_withdraw_ng</f>
        <v/>
      </c>
      <c r="AO17" s="32">
        <f>AO13*withdraw_rate_ng+AO14*leaver_withdraw_ng+AN16*(1+fund_yield_ng/12)*dormant_withdraw_ng</f>
        <v/>
      </c>
      <c r="AP17" s="32">
        <f>AP13*withdraw_rate_ng+AP14*leaver_withdraw_ng+AO16*(1+fund_yield_ng/12)*dormant_withdraw_ng</f>
        <v/>
      </c>
      <c r="AQ17" s="32">
        <f>AQ13*withdraw_rate_ng+AQ14*leaver_withdraw_ng+AP16*(1+fund_yield_ng/12)*dormant_withdraw_ng</f>
        <v/>
      </c>
      <c r="AR17" s="32">
        <f>AR13*withdraw_rate_ng+AR14*leaver_withdraw_ng+AQ16*(1+fund_yield_ng/12)*dormant_withdraw_ng</f>
        <v/>
      </c>
      <c r="AS17" s="32">
        <f>AS13*withdraw_rate_ng+AS14*leaver_withdraw_ng+AR16*(1+fund_yield_ng/12)*dormant_withdraw_ng</f>
        <v/>
      </c>
      <c r="AT17" s="32">
        <f>AT13*withdraw_rate_ng+AT14*leaver_withdraw_ng+AS16*(1+fund_yield_ng/12)*dormant_withdraw_ng</f>
        <v/>
      </c>
      <c r="AU17" s="32">
        <f>AU13*withdraw_rate_ng+AU14*leaver_withdraw_ng+AT16*(1+fund_yield_ng/12)*dormant_withdraw_ng</f>
        <v/>
      </c>
      <c r="AV17" s="32">
        <f>AV13*withdraw_rate_ng+AV14*leaver_withdraw_ng+AU16*(1+fund_yield_ng/12)*dormant_withdraw_ng</f>
        <v/>
      </c>
      <c r="AW17" s="32">
        <f>AW13*withdraw_rate_ng+AW14*leaver_withdraw_ng+AV16*(1+fund_yield_ng/12)*dormant_withdraw_ng</f>
        <v/>
      </c>
      <c r="AX17" s="32">
        <f>AX13*withdraw_rate_ng+AX14*leaver_withdraw_ng+AW16*(1+fund_yield_ng/12)*dormant_withdraw_ng</f>
        <v/>
      </c>
      <c r="AY17" s="32">
        <f>AY13*withdraw_rate_ng+AY14*leaver_withdraw_ng+AX16*(1+fund_yield_ng/12)*dormant_withdraw_ng</f>
        <v/>
      </c>
      <c r="AZ17" s="32">
        <f>AZ13*withdraw_rate_ng+AZ14*leaver_withdraw_ng+AY16*(1+fund_yield_ng/12)*dormant_withdraw_ng</f>
        <v/>
      </c>
      <c r="BA17" s="32">
        <f>BA13*withdraw_rate_ng+BA14*leaver_withdraw_ng+AZ16*(1+fund_yield_ng/12)*dormant_withdraw_ng</f>
        <v/>
      </c>
      <c r="BB17" s="32">
        <f>BB13*withdraw_rate_ng+BB14*leaver_withdraw_ng+BA16*(1+fund_yield_ng/12)*dormant_withdraw_ng</f>
        <v/>
      </c>
      <c r="BC17" s="32">
        <f>BC13*withdraw_rate_ng+BC14*leaver_withdraw_ng+BB16*(1+fund_yield_ng/12)*dormant_withdraw_ng</f>
        <v/>
      </c>
      <c r="BD17" s="32">
        <f>BD13*withdraw_rate_ng+BD14*leaver_withdraw_ng+BC16*(1+fund_yield_ng/12)*dormant_withdraw_ng</f>
        <v/>
      </c>
      <c r="BE17" s="32">
        <f>BE13*withdraw_rate_ng+BE14*leaver_withdraw_ng+BD16*(1+fund_yield_ng/12)*dormant_withdraw_ng</f>
        <v/>
      </c>
      <c r="BF17" s="32">
        <f>BF13*withdraw_rate_ng+BF14*leaver_withdraw_ng+BE16*(1+fund_yield_ng/12)*dormant_withdraw_ng</f>
        <v/>
      </c>
      <c r="BG17" s="32">
        <f>BG13*withdraw_rate_ng+BG14*leaver_withdraw_ng+BF16*(1+fund_yield_ng/12)*dormant_withdraw_ng</f>
        <v/>
      </c>
      <c r="BH17" s="32">
        <f>BH13*withdraw_rate_ng+BH14*leaver_withdraw_ng+BG16*(1+fund_yield_ng/12)*dormant_withdraw_ng</f>
        <v/>
      </c>
      <c r="BI17" s="32">
        <f>BI13*withdraw_rate_ng+BI14*leaver_withdraw_ng+BH16*(1+fund_yield_ng/12)*dormant_withdraw_ng</f>
        <v/>
      </c>
      <c r="BJ17" s="32">
        <f>BJ13*withdraw_rate_ng+BJ14*leaver_withdraw_ng+BI16*(1+fund_yield_ng/12)*dormant_withdraw_ng</f>
        <v/>
      </c>
      <c r="BK17" s="32">
        <f>BK13*withdraw_rate_ng+BK14*leaver_withdraw_ng+BJ16*(1+fund_yield_ng/12)*dormant_withdraw_ng</f>
        <v/>
      </c>
    </row>
    <row r="18">
      <c r="A18" s="25" t="inlineStr">
        <is>
          <t>Total savings balance</t>
        </is>
      </c>
      <c r="B18" s="28" t="inlineStr">
        <is>
          <t>₹</t>
        </is>
      </c>
      <c r="C18" s="30" t="n">
        <v>0</v>
      </c>
      <c r="D18" s="32">
        <f>D15+D16</f>
        <v/>
      </c>
      <c r="E18" s="32">
        <f>E15+E16</f>
        <v/>
      </c>
      <c r="F18" s="32">
        <f>F15+F16</f>
        <v/>
      </c>
      <c r="G18" s="32">
        <f>G15+G16</f>
        <v/>
      </c>
      <c r="H18" s="32">
        <f>H15+H16</f>
        <v/>
      </c>
      <c r="I18" s="32">
        <f>I15+I16</f>
        <v/>
      </c>
      <c r="J18" s="32">
        <f>J15+J16</f>
        <v/>
      </c>
      <c r="K18" s="32">
        <f>K15+K16</f>
        <v/>
      </c>
      <c r="L18" s="32">
        <f>L15+L16</f>
        <v/>
      </c>
      <c r="M18" s="32">
        <f>M15+M16</f>
        <v/>
      </c>
      <c r="N18" s="32">
        <f>N15+N16</f>
        <v/>
      </c>
      <c r="O18" s="32">
        <f>O15+O16</f>
        <v/>
      </c>
      <c r="P18" s="32">
        <f>P15+P16</f>
        <v/>
      </c>
      <c r="Q18" s="32">
        <f>Q15+Q16</f>
        <v/>
      </c>
      <c r="R18" s="32">
        <f>R15+R16</f>
        <v/>
      </c>
      <c r="S18" s="32">
        <f>S15+S16</f>
        <v/>
      </c>
      <c r="T18" s="32">
        <f>T15+T16</f>
        <v/>
      </c>
      <c r="U18" s="32">
        <f>U15+U16</f>
        <v/>
      </c>
      <c r="V18" s="32">
        <f>V15+V16</f>
        <v/>
      </c>
      <c r="W18" s="32">
        <f>W15+W16</f>
        <v/>
      </c>
      <c r="X18" s="32">
        <f>X15+X16</f>
        <v/>
      </c>
      <c r="Y18" s="32">
        <f>Y15+Y16</f>
        <v/>
      </c>
      <c r="Z18" s="32">
        <f>Z15+Z16</f>
        <v/>
      </c>
      <c r="AA18" s="32">
        <f>AA15+AA16</f>
        <v/>
      </c>
      <c r="AB18" s="32">
        <f>AB15+AB16</f>
        <v/>
      </c>
      <c r="AC18" s="32">
        <f>AC15+AC16</f>
        <v/>
      </c>
      <c r="AD18" s="32">
        <f>AD15+AD16</f>
        <v/>
      </c>
      <c r="AE18" s="32">
        <f>AE15+AE16</f>
        <v/>
      </c>
      <c r="AF18" s="32">
        <f>AF15+AF16</f>
        <v/>
      </c>
      <c r="AG18" s="32">
        <f>AG15+AG16</f>
        <v/>
      </c>
      <c r="AH18" s="32">
        <f>AH15+AH16</f>
        <v/>
      </c>
      <c r="AI18" s="32">
        <f>AI15+AI16</f>
        <v/>
      </c>
      <c r="AJ18" s="32">
        <f>AJ15+AJ16</f>
        <v/>
      </c>
      <c r="AK18" s="32">
        <f>AK15+AK16</f>
        <v/>
      </c>
      <c r="AL18" s="32">
        <f>AL15+AL16</f>
        <v/>
      </c>
      <c r="AM18" s="32">
        <f>AM15+AM16</f>
        <v/>
      </c>
      <c r="AN18" s="32">
        <f>AN15+AN16</f>
        <v/>
      </c>
      <c r="AO18" s="32">
        <f>AO15+AO16</f>
        <v/>
      </c>
      <c r="AP18" s="32">
        <f>AP15+AP16</f>
        <v/>
      </c>
      <c r="AQ18" s="32">
        <f>AQ15+AQ16</f>
        <v/>
      </c>
      <c r="AR18" s="32">
        <f>AR15+AR16</f>
        <v/>
      </c>
      <c r="AS18" s="32">
        <f>AS15+AS16</f>
        <v/>
      </c>
      <c r="AT18" s="32">
        <f>AT15+AT16</f>
        <v/>
      </c>
      <c r="AU18" s="32">
        <f>AU15+AU16</f>
        <v/>
      </c>
      <c r="AV18" s="32">
        <f>AV15+AV16</f>
        <v/>
      </c>
      <c r="AW18" s="32">
        <f>AW15+AW16</f>
        <v/>
      </c>
      <c r="AX18" s="32">
        <f>AX15+AX16</f>
        <v/>
      </c>
      <c r="AY18" s="32">
        <f>AY15+AY16</f>
        <v/>
      </c>
      <c r="AZ18" s="32">
        <f>AZ15+AZ16</f>
        <v/>
      </c>
      <c r="BA18" s="32">
        <f>BA15+BA16</f>
        <v/>
      </c>
      <c r="BB18" s="32">
        <f>BB15+BB16</f>
        <v/>
      </c>
      <c r="BC18" s="32">
        <f>BC15+BC16</f>
        <v/>
      </c>
      <c r="BD18" s="32">
        <f>BD15+BD16</f>
        <v/>
      </c>
      <c r="BE18" s="32">
        <f>BE15+BE16</f>
        <v/>
      </c>
      <c r="BF18" s="32">
        <f>BF15+BF16</f>
        <v/>
      </c>
      <c r="BG18" s="32">
        <f>BG15+BG16</f>
        <v/>
      </c>
      <c r="BH18" s="32">
        <f>BH15+BH16</f>
        <v/>
      </c>
      <c r="BI18" s="32">
        <f>BI15+BI16</f>
        <v/>
      </c>
      <c r="BJ18" s="32">
        <f>BJ15+BJ16</f>
        <v/>
      </c>
      <c r="BK18" s="32">
        <f>BK15+BK16</f>
        <v/>
      </c>
    </row>
    <row r="19">
      <c r="A19" s="25" t="inlineStr">
        <is>
          <t>…held in digital gold (lever)</t>
        </is>
      </c>
      <c r="B19" s="28" t="inlineStr">
        <is>
          <t>₹</t>
        </is>
      </c>
      <c r="C19" s="30" t="n">
        <v>0</v>
      </c>
      <c r="D19" s="32">
        <f>D18*gold_on_ng*gold_share_ng</f>
        <v/>
      </c>
      <c r="E19" s="32">
        <f>E18*gold_on_ng*gold_share_ng</f>
        <v/>
      </c>
      <c r="F19" s="32">
        <f>F18*gold_on_ng*gold_share_ng</f>
        <v/>
      </c>
      <c r="G19" s="32">
        <f>G18*gold_on_ng*gold_share_ng</f>
        <v/>
      </c>
      <c r="H19" s="32">
        <f>H18*gold_on_ng*gold_share_ng</f>
        <v/>
      </c>
      <c r="I19" s="32">
        <f>I18*gold_on_ng*gold_share_ng</f>
        <v/>
      </c>
      <c r="J19" s="32">
        <f>J18*gold_on_ng*gold_share_ng</f>
        <v/>
      </c>
      <c r="K19" s="32">
        <f>K18*gold_on_ng*gold_share_ng</f>
        <v/>
      </c>
      <c r="L19" s="32">
        <f>L18*gold_on_ng*gold_share_ng</f>
        <v/>
      </c>
      <c r="M19" s="32">
        <f>M18*gold_on_ng*gold_share_ng</f>
        <v/>
      </c>
      <c r="N19" s="32">
        <f>N18*gold_on_ng*gold_share_ng</f>
        <v/>
      </c>
      <c r="O19" s="32">
        <f>O18*gold_on_ng*gold_share_ng</f>
        <v/>
      </c>
      <c r="P19" s="32">
        <f>P18*gold_on_ng*gold_share_ng</f>
        <v/>
      </c>
      <c r="Q19" s="32">
        <f>Q18*gold_on_ng*gold_share_ng</f>
        <v/>
      </c>
      <c r="R19" s="32">
        <f>R18*gold_on_ng*gold_share_ng</f>
        <v/>
      </c>
      <c r="S19" s="32">
        <f>S18*gold_on_ng*gold_share_ng</f>
        <v/>
      </c>
      <c r="T19" s="32">
        <f>T18*gold_on_ng*gold_share_ng</f>
        <v/>
      </c>
      <c r="U19" s="32">
        <f>U18*gold_on_ng*gold_share_ng</f>
        <v/>
      </c>
      <c r="V19" s="32">
        <f>V18*gold_on_ng*gold_share_ng</f>
        <v/>
      </c>
      <c r="W19" s="32">
        <f>W18*gold_on_ng*gold_share_ng</f>
        <v/>
      </c>
      <c r="X19" s="32">
        <f>X18*gold_on_ng*gold_share_ng</f>
        <v/>
      </c>
      <c r="Y19" s="32">
        <f>Y18*gold_on_ng*gold_share_ng</f>
        <v/>
      </c>
      <c r="Z19" s="32">
        <f>Z18*gold_on_ng*gold_share_ng</f>
        <v/>
      </c>
      <c r="AA19" s="32">
        <f>AA18*gold_on_ng*gold_share_ng</f>
        <v/>
      </c>
      <c r="AB19" s="32">
        <f>AB18*gold_on_ng*gold_share_ng</f>
        <v/>
      </c>
      <c r="AC19" s="32">
        <f>AC18*gold_on_ng*gold_share_ng</f>
        <v/>
      </c>
      <c r="AD19" s="32">
        <f>AD18*gold_on_ng*gold_share_ng</f>
        <v/>
      </c>
      <c r="AE19" s="32">
        <f>AE18*gold_on_ng*gold_share_ng</f>
        <v/>
      </c>
      <c r="AF19" s="32">
        <f>AF18*gold_on_ng*gold_share_ng</f>
        <v/>
      </c>
      <c r="AG19" s="32">
        <f>AG18*gold_on_ng*gold_share_ng</f>
        <v/>
      </c>
      <c r="AH19" s="32">
        <f>AH18*gold_on_ng*gold_share_ng</f>
        <v/>
      </c>
      <c r="AI19" s="32">
        <f>AI18*gold_on_ng*gold_share_ng</f>
        <v/>
      </c>
      <c r="AJ19" s="32">
        <f>AJ18*gold_on_ng*gold_share_ng</f>
        <v/>
      </c>
      <c r="AK19" s="32">
        <f>AK18*gold_on_ng*gold_share_ng</f>
        <v/>
      </c>
      <c r="AL19" s="32">
        <f>AL18*gold_on_ng*gold_share_ng</f>
        <v/>
      </c>
      <c r="AM19" s="32">
        <f>AM18*gold_on_ng*gold_share_ng</f>
        <v/>
      </c>
      <c r="AN19" s="32">
        <f>AN18*gold_on_ng*gold_share_ng</f>
        <v/>
      </c>
      <c r="AO19" s="32">
        <f>AO18*gold_on_ng*gold_share_ng</f>
        <v/>
      </c>
      <c r="AP19" s="32">
        <f>AP18*gold_on_ng*gold_share_ng</f>
        <v/>
      </c>
      <c r="AQ19" s="32">
        <f>AQ18*gold_on_ng*gold_share_ng</f>
        <v/>
      </c>
      <c r="AR19" s="32">
        <f>AR18*gold_on_ng*gold_share_ng</f>
        <v/>
      </c>
      <c r="AS19" s="32">
        <f>AS18*gold_on_ng*gold_share_ng</f>
        <v/>
      </c>
      <c r="AT19" s="32">
        <f>AT18*gold_on_ng*gold_share_ng</f>
        <v/>
      </c>
      <c r="AU19" s="32">
        <f>AU18*gold_on_ng*gold_share_ng</f>
        <v/>
      </c>
      <c r="AV19" s="32">
        <f>AV18*gold_on_ng*gold_share_ng</f>
        <v/>
      </c>
      <c r="AW19" s="32">
        <f>AW18*gold_on_ng*gold_share_ng</f>
        <v/>
      </c>
      <c r="AX19" s="32">
        <f>AX18*gold_on_ng*gold_share_ng</f>
        <v/>
      </c>
      <c r="AY19" s="32">
        <f>AY18*gold_on_ng*gold_share_ng</f>
        <v/>
      </c>
      <c r="AZ19" s="32">
        <f>AZ18*gold_on_ng*gold_share_ng</f>
        <v/>
      </c>
      <c r="BA19" s="32">
        <f>BA18*gold_on_ng*gold_share_ng</f>
        <v/>
      </c>
      <c r="BB19" s="32">
        <f>BB18*gold_on_ng*gold_share_ng</f>
        <v/>
      </c>
      <c r="BC19" s="32">
        <f>BC18*gold_on_ng*gold_share_ng</f>
        <v/>
      </c>
      <c r="BD19" s="32">
        <f>BD18*gold_on_ng*gold_share_ng</f>
        <v/>
      </c>
      <c r="BE19" s="32">
        <f>BE18*gold_on_ng*gold_share_ng</f>
        <v/>
      </c>
      <c r="BF19" s="32">
        <f>BF18*gold_on_ng*gold_share_ng</f>
        <v/>
      </c>
      <c r="BG19" s="32">
        <f>BG18*gold_on_ng*gold_share_ng</f>
        <v/>
      </c>
      <c r="BH19" s="32">
        <f>BH18*gold_on_ng*gold_share_ng</f>
        <v/>
      </c>
      <c r="BI19" s="32">
        <f>BI18*gold_on_ng*gold_share_ng</f>
        <v/>
      </c>
      <c r="BJ19" s="32">
        <f>BJ18*gold_on_ng*gold_share_ng</f>
        <v/>
      </c>
      <c r="BK19" s="32">
        <f>BK18*gold_on_ng*gold_share_ng</f>
        <v/>
      </c>
    </row>
    <row r="20">
      <c r="A20" s="25" t="inlineStr">
        <is>
          <t>…held in bank FDs</t>
        </is>
      </c>
      <c r="B20" s="28" t="inlineStr">
        <is>
          <t>₹</t>
        </is>
      </c>
      <c r="C20" s="30" t="n">
        <v>0</v>
      </c>
      <c r="D20" s="32">
        <f>IF(D$4&gt;=fd_start_ng,(D18-D19)*fd_share_ng,0)</f>
        <v/>
      </c>
      <c r="E20" s="32">
        <f>IF(E$4&gt;=fd_start_ng,(E18-E19)*fd_share_ng,0)</f>
        <v/>
      </c>
      <c r="F20" s="32">
        <f>IF(F$4&gt;=fd_start_ng,(F18-F19)*fd_share_ng,0)</f>
        <v/>
      </c>
      <c r="G20" s="32">
        <f>IF(G$4&gt;=fd_start_ng,(G18-G19)*fd_share_ng,0)</f>
        <v/>
      </c>
      <c r="H20" s="32">
        <f>IF(H$4&gt;=fd_start_ng,(H18-H19)*fd_share_ng,0)</f>
        <v/>
      </c>
      <c r="I20" s="32">
        <f>IF(I$4&gt;=fd_start_ng,(I18-I19)*fd_share_ng,0)</f>
        <v/>
      </c>
      <c r="J20" s="32">
        <f>IF(J$4&gt;=fd_start_ng,(J18-J19)*fd_share_ng,0)</f>
        <v/>
      </c>
      <c r="K20" s="32">
        <f>IF(K$4&gt;=fd_start_ng,(K18-K19)*fd_share_ng,0)</f>
        <v/>
      </c>
      <c r="L20" s="32">
        <f>IF(L$4&gt;=fd_start_ng,(L18-L19)*fd_share_ng,0)</f>
        <v/>
      </c>
      <c r="M20" s="32">
        <f>IF(M$4&gt;=fd_start_ng,(M18-M19)*fd_share_ng,0)</f>
        <v/>
      </c>
      <c r="N20" s="32">
        <f>IF(N$4&gt;=fd_start_ng,(N18-N19)*fd_share_ng,0)</f>
        <v/>
      </c>
      <c r="O20" s="32">
        <f>IF(O$4&gt;=fd_start_ng,(O18-O19)*fd_share_ng,0)</f>
        <v/>
      </c>
      <c r="P20" s="32">
        <f>IF(P$4&gt;=fd_start_ng,(P18-P19)*fd_share_ng,0)</f>
        <v/>
      </c>
      <c r="Q20" s="32">
        <f>IF(Q$4&gt;=fd_start_ng,(Q18-Q19)*fd_share_ng,0)</f>
        <v/>
      </c>
      <c r="R20" s="32">
        <f>IF(R$4&gt;=fd_start_ng,(R18-R19)*fd_share_ng,0)</f>
        <v/>
      </c>
      <c r="S20" s="32">
        <f>IF(S$4&gt;=fd_start_ng,(S18-S19)*fd_share_ng,0)</f>
        <v/>
      </c>
      <c r="T20" s="32">
        <f>IF(T$4&gt;=fd_start_ng,(T18-T19)*fd_share_ng,0)</f>
        <v/>
      </c>
      <c r="U20" s="32">
        <f>IF(U$4&gt;=fd_start_ng,(U18-U19)*fd_share_ng,0)</f>
        <v/>
      </c>
      <c r="V20" s="32">
        <f>IF(V$4&gt;=fd_start_ng,(V18-V19)*fd_share_ng,0)</f>
        <v/>
      </c>
      <c r="W20" s="32">
        <f>IF(W$4&gt;=fd_start_ng,(W18-W19)*fd_share_ng,0)</f>
        <v/>
      </c>
      <c r="X20" s="32">
        <f>IF(X$4&gt;=fd_start_ng,(X18-X19)*fd_share_ng,0)</f>
        <v/>
      </c>
      <c r="Y20" s="32">
        <f>IF(Y$4&gt;=fd_start_ng,(Y18-Y19)*fd_share_ng,0)</f>
        <v/>
      </c>
      <c r="Z20" s="32">
        <f>IF(Z$4&gt;=fd_start_ng,(Z18-Z19)*fd_share_ng,0)</f>
        <v/>
      </c>
      <c r="AA20" s="32">
        <f>IF(AA$4&gt;=fd_start_ng,(AA18-AA19)*fd_share_ng,0)</f>
        <v/>
      </c>
      <c r="AB20" s="32">
        <f>IF(AB$4&gt;=fd_start_ng,(AB18-AB19)*fd_share_ng,0)</f>
        <v/>
      </c>
      <c r="AC20" s="32">
        <f>IF(AC$4&gt;=fd_start_ng,(AC18-AC19)*fd_share_ng,0)</f>
        <v/>
      </c>
      <c r="AD20" s="32">
        <f>IF(AD$4&gt;=fd_start_ng,(AD18-AD19)*fd_share_ng,0)</f>
        <v/>
      </c>
      <c r="AE20" s="32">
        <f>IF(AE$4&gt;=fd_start_ng,(AE18-AE19)*fd_share_ng,0)</f>
        <v/>
      </c>
      <c r="AF20" s="32">
        <f>IF(AF$4&gt;=fd_start_ng,(AF18-AF19)*fd_share_ng,0)</f>
        <v/>
      </c>
      <c r="AG20" s="32">
        <f>IF(AG$4&gt;=fd_start_ng,(AG18-AG19)*fd_share_ng,0)</f>
        <v/>
      </c>
      <c r="AH20" s="32">
        <f>IF(AH$4&gt;=fd_start_ng,(AH18-AH19)*fd_share_ng,0)</f>
        <v/>
      </c>
      <c r="AI20" s="32">
        <f>IF(AI$4&gt;=fd_start_ng,(AI18-AI19)*fd_share_ng,0)</f>
        <v/>
      </c>
      <c r="AJ20" s="32">
        <f>IF(AJ$4&gt;=fd_start_ng,(AJ18-AJ19)*fd_share_ng,0)</f>
        <v/>
      </c>
      <c r="AK20" s="32">
        <f>IF(AK$4&gt;=fd_start_ng,(AK18-AK19)*fd_share_ng,0)</f>
        <v/>
      </c>
      <c r="AL20" s="32">
        <f>IF(AL$4&gt;=fd_start_ng,(AL18-AL19)*fd_share_ng,0)</f>
        <v/>
      </c>
      <c r="AM20" s="32">
        <f>IF(AM$4&gt;=fd_start_ng,(AM18-AM19)*fd_share_ng,0)</f>
        <v/>
      </c>
      <c r="AN20" s="32">
        <f>IF(AN$4&gt;=fd_start_ng,(AN18-AN19)*fd_share_ng,0)</f>
        <v/>
      </c>
      <c r="AO20" s="32">
        <f>IF(AO$4&gt;=fd_start_ng,(AO18-AO19)*fd_share_ng,0)</f>
        <v/>
      </c>
      <c r="AP20" s="32">
        <f>IF(AP$4&gt;=fd_start_ng,(AP18-AP19)*fd_share_ng,0)</f>
        <v/>
      </c>
      <c r="AQ20" s="32">
        <f>IF(AQ$4&gt;=fd_start_ng,(AQ18-AQ19)*fd_share_ng,0)</f>
        <v/>
      </c>
      <c r="AR20" s="32">
        <f>IF(AR$4&gt;=fd_start_ng,(AR18-AR19)*fd_share_ng,0)</f>
        <v/>
      </c>
      <c r="AS20" s="32">
        <f>IF(AS$4&gt;=fd_start_ng,(AS18-AS19)*fd_share_ng,0)</f>
        <v/>
      </c>
      <c r="AT20" s="32">
        <f>IF(AT$4&gt;=fd_start_ng,(AT18-AT19)*fd_share_ng,0)</f>
        <v/>
      </c>
      <c r="AU20" s="32">
        <f>IF(AU$4&gt;=fd_start_ng,(AU18-AU19)*fd_share_ng,0)</f>
        <v/>
      </c>
      <c r="AV20" s="32">
        <f>IF(AV$4&gt;=fd_start_ng,(AV18-AV19)*fd_share_ng,0)</f>
        <v/>
      </c>
      <c r="AW20" s="32">
        <f>IF(AW$4&gt;=fd_start_ng,(AW18-AW19)*fd_share_ng,0)</f>
        <v/>
      </c>
      <c r="AX20" s="32">
        <f>IF(AX$4&gt;=fd_start_ng,(AX18-AX19)*fd_share_ng,0)</f>
        <v/>
      </c>
      <c r="AY20" s="32">
        <f>IF(AY$4&gt;=fd_start_ng,(AY18-AY19)*fd_share_ng,0)</f>
        <v/>
      </c>
      <c r="AZ20" s="32">
        <f>IF(AZ$4&gt;=fd_start_ng,(AZ18-AZ19)*fd_share_ng,0)</f>
        <v/>
      </c>
      <c r="BA20" s="32">
        <f>IF(BA$4&gt;=fd_start_ng,(BA18-BA19)*fd_share_ng,0)</f>
        <v/>
      </c>
      <c r="BB20" s="32">
        <f>IF(BB$4&gt;=fd_start_ng,(BB18-BB19)*fd_share_ng,0)</f>
        <v/>
      </c>
      <c r="BC20" s="32">
        <f>IF(BC$4&gt;=fd_start_ng,(BC18-BC19)*fd_share_ng,0)</f>
        <v/>
      </c>
      <c r="BD20" s="32">
        <f>IF(BD$4&gt;=fd_start_ng,(BD18-BD19)*fd_share_ng,0)</f>
        <v/>
      </c>
      <c r="BE20" s="32">
        <f>IF(BE$4&gt;=fd_start_ng,(BE18-BE19)*fd_share_ng,0)</f>
        <v/>
      </c>
      <c r="BF20" s="32">
        <f>IF(BF$4&gt;=fd_start_ng,(BF18-BF19)*fd_share_ng,0)</f>
        <v/>
      </c>
      <c r="BG20" s="32">
        <f>IF(BG$4&gt;=fd_start_ng,(BG18-BG19)*fd_share_ng,0)</f>
        <v/>
      </c>
      <c r="BH20" s="32">
        <f>IF(BH$4&gt;=fd_start_ng,(BH18-BH19)*fd_share_ng,0)</f>
        <v/>
      </c>
      <c r="BI20" s="32">
        <f>IF(BI$4&gt;=fd_start_ng,(BI18-BI19)*fd_share_ng,0)</f>
        <v/>
      </c>
      <c r="BJ20" s="32">
        <f>IF(BJ$4&gt;=fd_start_ng,(BJ18-BJ19)*fd_share_ng,0)</f>
        <v/>
      </c>
      <c r="BK20" s="32">
        <f>IF(BK$4&gt;=fd_start_ng,(BK18-BK19)*fd_share_ng,0)</f>
        <v/>
      </c>
    </row>
    <row r="21">
      <c r="A21" s="25" t="inlineStr">
        <is>
          <t>…held in the liquid fund</t>
        </is>
      </c>
      <c r="B21" s="28" t="inlineStr">
        <is>
          <t>₹</t>
        </is>
      </c>
      <c r="C21" s="30" t="n">
        <v>0</v>
      </c>
      <c r="D21" s="32">
        <f>D18-D19-D20</f>
        <v/>
      </c>
      <c r="E21" s="32">
        <f>E18-E19-E20</f>
        <v/>
      </c>
      <c r="F21" s="32">
        <f>F18-F19-F20</f>
        <v/>
      </c>
      <c r="G21" s="32">
        <f>G18-G19-G20</f>
        <v/>
      </c>
      <c r="H21" s="32">
        <f>H18-H19-H20</f>
        <v/>
      </c>
      <c r="I21" s="32">
        <f>I18-I19-I20</f>
        <v/>
      </c>
      <c r="J21" s="32">
        <f>J18-J19-J20</f>
        <v/>
      </c>
      <c r="K21" s="32">
        <f>K18-K19-K20</f>
        <v/>
      </c>
      <c r="L21" s="32">
        <f>L18-L19-L20</f>
        <v/>
      </c>
      <c r="M21" s="32">
        <f>M18-M19-M20</f>
        <v/>
      </c>
      <c r="N21" s="32">
        <f>N18-N19-N20</f>
        <v/>
      </c>
      <c r="O21" s="32">
        <f>O18-O19-O20</f>
        <v/>
      </c>
      <c r="P21" s="32">
        <f>P18-P19-P20</f>
        <v/>
      </c>
      <c r="Q21" s="32">
        <f>Q18-Q19-Q20</f>
        <v/>
      </c>
      <c r="R21" s="32">
        <f>R18-R19-R20</f>
        <v/>
      </c>
      <c r="S21" s="32">
        <f>S18-S19-S20</f>
        <v/>
      </c>
      <c r="T21" s="32">
        <f>T18-T19-T20</f>
        <v/>
      </c>
      <c r="U21" s="32">
        <f>U18-U19-U20</f>
        <v/>
      </c>
      <c r="V21" s="32">
        <f>V18-V19-V20</f>
        <v/>
      </c>
      <c r="W21" s="32">
        <f>W18-W19-W20</f>
        <v/>
      </c>
      <c r="X21" s="32">
        <f>X18-X19-X20</f>
        <v/>
      </c>
      <c r="Y21" s="32">
        <f>Y18-Y19-Y20</f>
        <v/>
      </c>
      <c r="Z21" s="32">
        <f>Z18-Z19-Z20</f>
        <v/>
      </c>
      <c r="AA21" s="32">
        <f>AA18-AA19-AA20</f>
        <v/>
      </c>
      <c r="AB21" s="32">
        <f>AB18-AB19-AB20</f>
        <v/>
      </c>
      <c r="AC21" s="32">
        <f>AC18-AC19-AC20</f>
        <v/>
      </c>
      <c r="AD21" s="32">
        <f>AD18-AD19-AD20</f>
        <v/>
      </c>
      <c r="AE21" s="32">
        <f>AE18-AE19-AE20</f>
        <v/>
      </c>
      <c r="AF21" s="32">
        <f>AF18-AF19-AF20</f>
        <v/>
      </c>
      <c r="AG21" s="32">
        <f>AG18-AG19-AG20</f>
        <v/>
      </c>
      <c r="AH21" s="32">
        <f>AH18-AH19-AH20</f>
        <v/>
      </c>
      <c r="AI21" s="32">
        <f>AI18-AI19-AI20</f>
        <v/>
      </c>
      <c r="AJ21" s="32">
        <f>AJ18-AJ19-AJ20</f>
        <v/>
      </c>
      <c r="AK21" s="32">
        <f>AK18-AK19-AK20</f>
        <v/>
      </c>
      <c r="AL21" s="32">
        <f>AL18-AL19-AL20</f>
        <v/>
      </c>
      <c r="AM21" s="32">
        <f>AM18-AM19-AM20</f>
        <v/>
      </c>
      <c r="AN21" s="32">
        <f>AN18-AN19-AN20</f>
        <v/>
      </c>
      <c r="AO21" s="32">
        <f>AO18-AO19-AO20</f>
        <v/>
      </c>
      <c r="AP21" s="32">
        <f>AP18-AP19-AP20</f>
        <v/>
      </c>
      <c r="AQ21" s="32">
        <f>AQ18-AQ19-AQ20</f>
        <v/>
      </c>
      <c r="AR21" s="32">
        <f>AR18-AR19-AR20</f>
        <v/>
      </c>
      <c r="AS21" s="32">
        <f>AS18-AS19-AS20</f>
        <v/>
      </c>
      <c r="AT21" s="32">
        <f>AT18-AT19-AT20</f>
        <v/>
      </c>
      <c r="AU21" s="32">
        <f>AU18-AU19-AU20</f>
        <v/>
      </c>
      <c r="AV21" s="32">
        <f>AV18-AV19-AV20</f>
        <v/>
      </c>
      <c r="AW21" s="32">
        <f>AW18-AW19-AW20</f>
        <v/>
      </c>
      <c r="AX21" s="32">
        <f>AX18-AX19-AX20</f>
        <v/>
      </c>
      <c r="AY21" s="32">
        <f>AY18-AY19-AY20</f>
        <v/>
      </c>
      <c r="AZ21" s="32">
        <f>AZ18-AZ19-AZ20</f>
        <v/>
      </c>
      <c r="BA21" s="32">
        <f>BA18-BA19-BA20</f>
        <v/>
      </c>
      <c r="BB21" s="32">
        <f>BB18-BB19-BB20</f>
        <v/>
      </c>
      <c r="BC21" s="32">
        <f>BC18-BC19-BC20</f>
        <v/>
      </c>
      <c r="BD21" s="32">
        <f>BD18-BD19-BD20</f>
        <v/>
      </c>
      <c r="BE21" s="32">
        <f>BE18-BE19-BE20</f>
        <v/>
      </c>
      <c r="BF21" s="32">
        <f>BF18-BF19-BF20</f>
        <v/>
      </c>
      <c r="BG21" s="32">
        <f>BG18-BG19-BG20</f>
        <v/>
      </c>
      <c r="BH21" s="32">
        <f>BH18-BH19-BH20</f>
        <v/>
      </c>
      <c r="BI21" s="32">
        <f>BI18-BI19-BI20</f>
        <v/>
      </c>
      <c r="BJ21" s="32">
        <f>BJ18-BJ19-BJ20</f>
        <v/>
      </c>
      <c r="BK21" s="32">
        <f>BK18-BK19-BK20</f>
        <v/>
      </c>
    </row>
    <row r="22">
      <c r="A22" s="6" t="inlineStr">
        <is>
          <t>Loans through partner lenders (we are the loan service provider; the lender's money)</t>
        </is>
      </c>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c r="AR22" s="7" t="n"/>
      <c r="AS22" s="7" t="n"/>
      <c r="AT22" s="7" t="n"/>
      <c r="AU22" s="7" t="n"/>
      <c r="AV22" s="7" t="n"/>
      <c r="AW22" s="7" t="n"/>
      <c r="AX22" s="7" t="n"/>
      <c r="AY22" s="7" t="n"/>
      <c r="AZ22" s="7" t="n"/>
      <c r="BA22" s="7" t="n"/>
      <c r="BB22" s="7" t="n"/>
      <c r="BC22" s="7" t="n"/>
      <c r="BD22" s="7" t="n"/>
      <c r="BE22" s="7" t="n"/>
      <c r="BF22" s="7" t="n"/>
      <c r="BG22" s="7" t="n"/>
      <c r="BH22" s="7" t="n"/>
      <c r="BI22" s="7" t="n"/>
      <c r="BJ22" s="7" t="n"/>
      <c r="BK22" s="7" t="n"/>
    </row>
    <row r="23">
      <c r="A23" s="25" t="inlineStr">
        <is>
          <t>Share of active savers who have borrowed</t>
        </is>
      </c>
      <c r="B23" s="28" t="inlineStr">
        <is>
          <t>share</t>
        </is>
      </c>
      <c r="C23" s="29" t="n">
        <v>0</v>
      </c>
      <c r="D23" s="31">
        <f>IF(D$4&gt;=loan_start_ng,C23+(loan_eligible_ng-C23)*loan_apply_ng*loan_approval_ng,0)</f>
        <v/>
      </c>
      <c r="E23" s="31">
        <f>IF(E$4&gt;=loan_start_ng,D23+(loan_eligible_ng-D23)*loan_apply_ng*loan_approval_ng,0)</f>
        <v/>
      </c>
      <c r="F23" s="31">
        <f>IF(F$4&gt;=loan_start_ng,E23+(loan_eligible_ng-E23)*loan_apply_ng*loan_approval_ng,0)</f>
        <v/>
      </c>
      <c r="G23" s="31">
        <f>IF(G$4&gt;=loan_start_ng,F23+(loan_eligible_ng-F23)*loan_apply_ng*loan_approval_ng,0)</f>
        <v/>
      </c>
      <c r="H23" s="31">
        <f>IF(H$4&gt;=loan_start_ng,G23+(loan_eligible_ng-G23)*loan_apply_ng*loan_approval_ng,0)</f>
        <v/>
      </c>
      <c r="I23" s="31">
        <f>IF(I$4&gt;=loan_start_ng,H23+(loan_eligible_ng-H23)*loan_apply_ng*loan_approval_ng,0)</f>
        <v/>
      </c>
      <c r="J23" s="31">
        <f>IF(J$4&gt;=loan_start_ng,I23+(loan_eligible_ng-I23)*loan_apply_ng*loan_approval_ng,0)</f>
        <v/>
      </c>
      <c r="K23" s="31">
        <f>IF(K$4&gt;=loan_start_ng,J23+(loan_eligible_ng-J23)*loan_apply_ng*loan_approval_ng,0)</f>
        <v/>
      </c>
      <c r="L23" s="31">
        <f>IF(L$4&gt;=loan_start_ng,K23+(loan_eligible_ng-K23)*loan_apply_ng*loan_approval_ng,0)</f>
        <v/>
      </c>
      <c r="M23" s="31">
        <f>IF(M$4&gt;=loan_start_ng,L23+(loan_eligible_ng-L23)*loan_apply_ng*loan_approval_ng,0)</f>
        <v/>
      </c>
      <c r="N23" s="31">
        <f>IF(N$4&gt;=loan_start_ng,M23+(loan_eligible_ng-M23)*loan_apply_ng*loan_approval_ng,0)</f>
        <v/>
      </c>
      <c r="O23" s="31">
        <f>IF(O$4&gt;=loan_start_ng,N23+(loan_eligible_ng-N23)*loan_apply_ng*loan_approval_ng,0)</f>
        <v/>
      </c>
      <c r="P23" s="31">
        <f>IF(P$4&gt;=loan_start_ng,O23+(loan_eligible_ng-O23)*loan_apply_ng*loan_approval_ng,0)</f>
        <v/>
      </c>
      <c r="Q23" s="31">
        <f>IF(Q$4&gt;=loan_start_ng,P23+(loan_eligible_ng-P23)*loan_apply_ng*loan_approval_ng,0)</f>
        <v/>
      </c>
      <c r="R23" s="31">
        <f>IF(R$4&gt;=loan_start_ng,Q23+(loan_eligible_ng-Q23)*loan_apply_ng*loan_approval_ng,0)</f>
        <v/>
      </c>
      <c r="S23" s="31">
        <f>IF(S$4&gt;=loan_start_ng,R23+(loan_eligible_ng-R23)*loan_apply_ng*loan_approval_ng,0)</f>
        <v/>
      </c>
      <c r="T23" s="31">
        <f>IF(T$4&gt;=loan_start_ng,S23+(loan_eligible_ng-S23)*loan_apply_ng*loan_approval_ng,0)</f>
        <v/>
      </c>
      <c r="U23" s="31">
        <f>IF(U$4&gt;=loan_start_ng,T23+(loan_eligible_ng-T23)*loan_apply_ng*loan_approval_ng,0)</f>
        <v/>
      </c>
      <c r="V23" s="31">
        <f>IF(V$4&gt;=loan_start_ng,U23+(loan_eligible_ng-U23)*loan_apply_ng*loan_approval_ng,0)</f>
        <v/>
      </c>
      <c r="W23" s="31">
        <f>IF(W$4&gt;=loan_start_ng,V23+(loan_eligible_ng-V23)*loan_apply_ng*loan_approval_ng,0)</f>
        <v/>
      </c>
      <c r="X23" s="31">
        <f>IF(X$4&gt;=loan_start_ng,W23+(loan_eligible_ng-W23)*loan_apply_ng*loan_approval_ng,0)</f>
        <v/>
      </c>
      <c r="Y23" s="31">
        <f>IF(Y$4&gt;=loan_start_ng,X23+(loan_eligible_ng-X23)*loan_apply_ng*loan_approval_ng,0)</f>
        <v/>
      </c>
      <c r="Z23" s="31">
        <f>IF(Z$4&gt;=loan_start_ng,Y23+(loan_eligible_ng-Y23)*loan_apply_ng*loan_approval_ng,0)</f>
        <v/>
      </c>
      <c r="AA23" s="31">
        <f>IF(AA$4&gt;=loan_start_ng,Z23+(loan_eligible_ng-Z23)*loan_apply_ng*loan_approval_ng,0)</f>
        <v/>
      </c>
      <c r="AB23" s="31">
        <f>IF(AB$4&gt;=loan_start_ng,AA23+(loan_eligible_ng-AA23)*loan_apply_ng*loan_approval_ng,0)</f>
        <v/>
      </c>
      <c r="AC23" s="31">
        <f>IF(AC$4&gt;=loan_start_ng,AB23+(loan_eligible_ng-AB23)*loan_apply_ng*loan_approval_ng,0)</f>
        <v/>
      </c>
      <c r="AD23" s="31">
        <f>IF(AD$4&gt;=loan_start_ng,AC23+(loan_eligible_ng-AC23)*loan_apply_ng*loan_approval_ng,0)</f>
        <v/>
      </c>
      <c r="AE23" s="31">
        <f>IF(AE$4&gt;=loan_start_ng,AD23+(loan_eligible_ng-AD23)*loan_apply_ng*loan_approval_ng,0)</f>
        <v/>
      </c>
      <c r="AF23" s="31">
        <f>IF(AF$4&gt;=loan_start_ng,AE23+(loan_eligible_ng-AE23)*loan_apply_ng*loan_approval_ng,0)</f>
        <v/>
      </c>
      <c r="AG23" s="31">
        <f>IF(AG$4&gt;=loan_start_ng,AF23+(loan_eligible_ng-AF23)*loan_apply_ng*loan_approval_ng,0)</f>
        <v/>
      </c>
      <c r="AH23" s="31">
        <f>IF(AH$4&gt;=loan_start_ng,AG23+(loan_eligible_ng-AG23)*loan_apply_ng*loan_approval_ng,0)</f>
        <v/>
      </c>
      <c r="AI23" s="31">
        <f>IF(AI$4&gt;=loan_start_ng,AH23+(loan_eligible_ng-AH23)*loan_apply_ng*loan_approval_ng,0)</f>
        <v/>
      </c>
      <c r="AJ23" s="31">
        <f>IF(AJ$4&gt;=loan_start_ng,AI23+(loan_eligible_ng-AI23)*loan_apply_ng*loan_approval_ng,0)</f>
        <v/>
      </c>
      <c r="AK23" s="31">
        <f>IF(AK$4&gt;=loan_start_ng,AJ23+(loan_eligible_ng-AJ23)*loan_apply_ng*loan_approval_ng,0)</f>
        <v/>
      </c>
      <c r="AL23" s="31">
        <f>IF(AL$4&gt;=loan_start_ng,AK23+(loan_eligible_ng-AK23)*loan_apply_ng*loan_approval_ng,0)</f>
        <v/>
      </c>
      <c r="AM23" s="31">
        <f>IF(AM$4&gt;=loan_start_ng,AL23+(loan_eligible_ng-AL23)*loan_apply_ng*loan_approval_ng,0)</f>
        <v/>
      </c>
      <c r="AN23" s="31">
        <f>IF(AN$4&gt;=loan_start_ng,AM23+(loan_eligible_ng-AM23)*loan_apply_ng*loan_approval_ng,0)</f>
        <v/>
      </c>
      <c r="AO23" s="31">
        <f>IF(AO$4&gt;=loan_start_ng,AN23+(loan_eligible_ng-AN23)*loan_apply_ng*loan_approval_ng,0)</f>
        <v/>
      </c>
      <c r="AP23" s="31">
        <f>IF(AP$4&gt;=loan_start_ng,AO23+(loan_eligible_ng-AO23)*loan_apply_ng*loan_approval_ng,0)</f>
        <v/>
      </c>
      <c r="AQ23" s="31">
        <f>IF(AQ$4&gt;=loan_start_ng,AP23+(loan_eligible_ng-AP23)*loan_apply_ng*loan_approval_ng,0)</f>
        <v/>
      </c>
      <c r="AR23" s="31">
        <f>IF(AR$4&gt;=loan_start_ng,AQ23+(loan_eligible_ng-AQ23)*loan_apply_ng*loan_approval_ng,0)</f>
        <v/>
      </c>
      <c r="AS23" s="31">
        <f>IF(AS$4&gt;=loan_start_ng,AR23+(loan_eligible_ng-AR23)*loan_apply_ng*loan_approval_ng,0)</f>
        <v/>
      </c>
      <c r="AT23" s="31">
        <f>IF(AT$4&gt;=loan_start_ng,AS23+(loan_eligible_ng-AS23)*loan_apply_ng*loan_approval_ng,0)</f>
        <v/>
      </c>
      <c r="AU23" s="31">
        <f>IF(AU$4&gt;=loan_start_ng,AT23+(loan_eligible_ng-AT23)*loan_apply_ng*loan_approval_ng,0)</f>
        <v/>
      </c>
      <c r="AV23" s="31">
        <f>IF(AV$4&gt;=loan_start_ng,AU23+(loan_eligible_ng-AU23)*loan_apply_ng*loan_approval_ng,0)</f>
        <v/>
      </c>
      <c r="AW23" s="31">
        <f>IF(AW$4&gt;=loan_start_ng,AV23+(loan_eligible_ng-AV23)*loan_apply_ng*loan_approval_ng,0)</f>
        <v/>
      </c>
      <c r="AX23" s="31">
        <f>IF(AX$4&gt;=loan_start_ng,AW23+(loan_eligible_ng-AW23)*loan_apply_ng*loan_approval_ng,0)</f>
        <v/>
      </c>
      <c r="AY23" s="31">
        <f>IF(AY$4&gt;=loan_start_ng,AX23+(loan_eligible_ng-AX23)*loan_apply_ng*loan_approval_ng,0)</f>
        <v/>
      </c>
      <c r="AZ23" s="31">
        <f>IF(AZ$4&gt;=loan_start_ng,AY23+(loan_eligible_ng-AY23)*loan_apply_ng*loan_approval_ng,0)</f>
        <v/>
      </c>
      <c r="BA23" s="31">
        <f>IF(BA$4&gt;=loan_start_ng,AZ23+(loan_eligible_ng-AZ23)*loan_apply_ng*loan_approval_ng,0)</f>
        <v/>
      </c>
      <c r="BB23" s="31">
        <f>IF(BB$4&gt;=loan_start_ng,BA23+(loan_eligible_ng-BA23)*loan_apply_ng*loan_approval_ng,0)</f>
        <v/>
      </c>
      <c r="BC23" s="31">
        <f>IF(BC$4&gt;=loan_start_ng,BB23+(loan_eligible_ng-BB23)*loan_apply_ng*loan_approval_ng,0)</f>
        <v/>
      </c>
      <c r="BD23" s="31">
        <f>IF(BD$4&gt;=loan_start_ng,BC23+(loan_eligible_ng-BC23)*loan_apply_ng*loan_approval_ng,0)</f>
        <v/>
      </c>
      <c r="BE23" s="31">
        <f>IF(BE$4&gt;=loan_start_ng,BD23+(loan_eligible_ng-BD23)*loan_apply_ng*loan_approval_ng,0)</f>
        <v/>
      </c>
      <c r="BF23" s="31">
        <f>IF(BF$4&gt;=loan_start_ng,BE23+(loan_eligible_ng-BE23)*loan_apply_ng*loan_approval_ng,0)</f>
        <v/>
      </c>
      <c r="BG23" s="31">
        <f>IF(BG$4&gt;=loan_start_ng,BF23+(loan_eligible_ng-BF23)*loan_apply_ng*loan_approval_ng,0)</f>
        <v/>
      </c>
      <c r="BH23" s="31">
        <f>IF(BH$4&gt;=loan_start_ng,BG23+(loan_eligible_ng-BG23)*loan_apply_ng*loan_approval_ng,0)</f>
        <v/>
      </c>
      <c r="BI23" s="31">
        <f>IF(BI$4&gt;=loan_start_ng,BH23+(loan_eligible_ng-BH23)*loan_apply_ng*loan_approval_ng,0)</f>
        <v/>
      </c>
      <c r="BJ23" s="31">
        <f>IF(BJ$4&gt;=loan_start_ng,BI23+(loan_eligible_ng-BI23)*loan_apply_ng*loan_approval_ng,0)</f>
        <v/>
      </c>
      <c r="BK23" s="31">
        <f>IF(BK$4&gt;=loan_start_ng,BJ23+(loan_eligible_ng-BJ23)*loan_apply_ng*loan_approval_ng,0)</f>
        <v/>
      </c>
    </row>
    <row r="24">
      <c r="A24" s="25" t="inlineStr">
        <is>
          <t>Loan 1 (secured against savings): first loans</t>
        </is>
      </c>
      <c r="B24" s="28" t="inlineStr">
        <is>
          <t>loans</t>
        </is>
      </c>
      <c r="C24" s="42" t="n">
        <v>0</v>
      </c>
      <c r="D24" s="43">
        <f>IF(D$4&gt;=loan_start_ng,D7*(loan_eligible_ng-C23)*loan_apply_ng*loan_approval_ng,0)</f>
        <v/>
      </c>
      <c r="E24" s="43">
        <f>IF(E$4&gt;=loan_start_ng,E7*(loan_eligible_ng-D23)*loan_apply_ng*loan_approval_ng,0)</f>
        <v/>
      </c>
      <c r="F24" s="43">
        <f>IF(F$4&gt;=loan_start_ng,F7*(loan_eligible_ng-E23)*loan_apply_ng*loan_approval_ng,0)</f>
        <v/>
      </c>
      <c r="G24" s="43">
        <f>IF(G$4&gt;=loan_start_ng,G7*(loan_eligible_ng-F23)*loan_apply_ng*loan_approval_ng,0)</f>
        <v/>
      </c>
      <c r="H24" s="43">
        <f>IF(H$4&gt;=loan_start_ng,H7*(loan_eligible_ng-G23)*loan_apply_ng*loan_approval_ng,0)</f>
        <v/>
      </c>
      <c r="I24" s="43">
        <f>IF(I$4&gt;=loan_start_ng,I7*(loan_eligible_ng-H23)*loan_apply_ng*loan_approval_ng,0)</f>
        <v/>
      </c>
      <c r="J24" s="43">
        <f>IF(J$4&gt;=loan_start_ng,J7*(loan_eligible_ng-I23)*loan_apply_ng*loan_approval_ng,0)</f>
        <v/>
      </c>
      <c r="K24" s="43">
        <f>IF(K$4&gt;=loan_start_ng,K7*(loan_eligible_ng-J23)*loan_apply_ng*loan_approval_ng,0)</f>
        <v/>
      </c>
      <c r="L24" s="43">
        <f>IF(L$4&gt;=loan_start_ng,L7*(loan_eligible_ng-K23)*loan_apply_ng*loan_approval_ng,0)</f>
        <v/>
      </c>
      <c r="M24" s="43">
        <f>IF(M$4&gt;=loan_start_ng,M7*(loan_eligible_ng-L23)*loan_apply_ng*loan_approval_ng,0)</f>
        <v/>
      </c>
      <c r="N24" s="43">
        <f>IF(N$4&gt;=loan_start_ng,N7*(loan_eligible_ng-M23)*loan_apply_ng*loan_approval_ng,0)</f>
        <v/>
      </c>
      <c r="O24" s="43">
        <f>IF(O$4&gt;=loan_start_ng,O7*(loan_eligible_ng-N23)*loan_apply_ng*loan_approval_ng,0)</f>
        <v/>
      </c>
      <c r="P24" s="43">
        <f>IF(P$4&gt;=loan_start_ng,P7*(loan_eligible_ng-O23)*loan_apply_ng*loan_approval_ng,0)</f>
        <v/>
      </c>
      <c r="Q24" s="43">
        <f>IF(Q$4&gt;=loan_start_ng,Q7*(loan_eligible_ng-P23)*loan_apply_ng*loan_approval_ng,0)</f>
        <v/>
      </c>
      <c r="R24" s="43">
        <f>IF(R$4&gt;=loan_start_ng,R7*(loan_eligible_ng-Q23)*loan_apply_ng*loan_approval_ng,0)</f>
        <v/>
      </c>
      <c r="S24" s="43">
        <f>IF(S$4&gt;=loan_start_ng,S7*(loan_eligible_ng-R23)*loan_apply_ng*loan_approval_ng,0)</f>
        <v/>
      </c>
      <c r="T24" s="43">
        <f>IF(T$4&gt;=loan_start_ng,T7*(loan_eligible_ng-S23)*loan_apply_ng*loan_approval_ng,0)</f>
        <v/>
      </c>
      <c r="U24" s="43">
        <f>IF(U$4&gt;=loan_start_ng,U7*(loan_eligible_ng-T23)*loan_apply_ng*loan_approval_ng,0)</f>
        <v/>
      </c>
      <c r="V24" s="43">
        <f>IF(V$4&gt;=loan_start_ng,V7*(loan_eligible_ng-U23)*loan_apply_ng*loan_approval_ng,0)</f>
        <v/>
      </c>
      <c r="W24" s="43">
        <f>IF(W$4&gt;=loan_start_ng,W7*(loan_eligible_ng-V23)*loan_apply_ng*loan_approval_ng,0)</f>
        <v/>
      </c>
      <c r="X24" s="43">
        <f>IF(X$4&gt;=loan_start_ng,X7*(loan_eligible_ng-W23)*loan_apply_ng*loan_approval_ng,0)</f>
        <v/>
      </c>
      <c r="Y24" s="43">
        <f>IF(Y$4&gt;=loan_start_ng,Y7*(loan_eligible_ng-X23)*loan_apply_ng*loan_approval_ng,0)</f>
        <v/>
      </c>
      <c r="Z24" s="43">
        <f>IF(Z$4&gt;=loan_start_ng,Z7*(loan_eligible_ng-Y23)*loan_apply_ng*loan_approval_ng,0)</f>
        <v/>
      </c>
      <c r="AA24" s="43">
        <f>IF(AA$4&gt;=loan_start_ng,AA7*(loan_eligible_ng-Z23)*loan_apply_ng*loan_approval_ng,0)</f>
        <v/>
      </c>
      <c r="AB24" s="43">
        <f>IF(AB$4&gt;=loan_start_ng,AB7*(loan_eligible_ng-AA23)*loan_apply_ng*loan_approval_ng,0)</f>
        <v/>
      </c>
      <c r="AC24" s="43">
        <f>IF(AC$4&gt;=loan_start_ng,AC7*(loan_eligible_ng-AB23)*loan_apply_ng*loan_approval_ng,0)</f>
        <v/>
      </c>
      <c r="AD24" s="43">
        <f>IF(AD$4&gt;=loan_start_ng,AD7*(loan_eligible_ng-AC23)*loan_apply_ng*loan_approval_ng,0)</f>
        <v/>
      </c>
      <c r="AE24" s="43">
        <f>IF(AE$4&gt;=loan_start_ng,AE7*(loan_eligible_ng-AD23)*loan_apply_ng*loan_approval_ng,0)</f>
        <v/>
      </c>
      <c r="AF24" s="43">
        <f>IF(AF$4&gt;=loan_start_ng,AF7*(loan_eligible_ng-AE23)*loan_apply_ng*loan_approval_ng,0)</f>
        <v/>
      </c>
      <c r="AG24" s="43">
        <f>IF(AG$4&gt;=loan_start_ng,AG7*(loan_eligible_ng-AF23)*loan_apply_ng*loan_approval_ng,0)</f>
        <v/>
      </c>
      <c r="AH24" s="43">
        <f>IF(AH$4&gt;=loan_start_ng,AH7*(loan_eligible_ng-AG23)*loan_apply_ng*loan_approval_ng,0)</f>
        <v/>
      </c>
      <c r="AI24" s="43">
        <f>IF(AI$4&gt;=loan_start_ng,AI7*(loan_eligible_ng-AH23)*loan_apply_ng*loan_approval_ng,0)</f>
        <v/>
      </c>
      <c r="AJ24" s="43">
        <f>IF(AJ$4&gt;=loan_start_ng,AJ7*(loan_eligible_ng-AI23)*loan_apply_ng*loan_approval_ng,0)</f>
        <v/>
      </c>
      <c r="AK24" s="43">
        <f>IF(AK$4&gt;=loan_start_ng,AK7*(loan_eligible_ng-AJ23)*loan_apply_ng*loan_approval_ng,0)</f>
        <v/>
      </c>
      <c r="AL24" s="43">
        <f>IF(AL$4&gt;=loan_start_ng,AL7*(loan_eligible_ng-AK23)*loan_apply_ng*loan_approval_ng,0)</f>
        <v/>
      </c>
      <c r="AM24" s="43">
        <f>IF(AM$4&gt;=loan_start_ng,AM7*(loan_eligible_ng-AL23)*loan_apply_ng*loan_approval_ng,0)</f>
        <v/>
      </c>
      <c r="AN24" s="43">
        <f>IF(AN$4&gt;=loan_start_ng,AN7*(loan_eligible_ng-AM23)*loan_apply_ng*loan_approval_ng,0)</f>
        <v/>
      </c>
      <c r="AO24" s="43">
        <f>IF(AO$4&gt;=loan_start_ng,AO7*(loan_eligible_ng-AN23)*loan_apply_ng*loan_approval_ng,0)</f>
        <v/>
      </c>
      <c r="AP24" s="43">
        <f>IF(AP$4&gt;=loan_start_ng,AP7*(loan_eligible_ng-AO23)*loan_apply_ng*loan_approval_ng,0)</f>
        <v/>
      </c>
      <c r="AQ24" s="43">
        <f>IF(AQ$4&gt;=loan_start_ng,AQ7*(loan_eligible_ng-AP23)*loan_apply_ng*loan_approval_ng,0)</f>
        <v/>
      </c>
      <c r="AR24" s="43">
        <f>IF(AR$4&gt;=loan_start_ng,AR7*(loan_eligible_ng-AQ23)*loan_apply_ng*loan_approval_ng,0)</f>
        <v/>
      </c>
      <c r="AS24" s="43">
        <f>IF(AS$4&gt;=loan_start_ng,AS7*(loan_eligible_ng-AR23)*loan_apply_ng*loan_approval_ng,0)</f>
        <v/>
      </c>
      <c r="AT24" s="43">
        <f>IF(AT$4&gt;=loan_start_ng,AT7*(loan_eligible_ng-AS23)*loan_apply_ng*loan_approval_ng,0)</f>
        <v/>
      </c>
      <c r="AU24" s="43">
        <f>IF(AU$4&gt;=loan_start_ng,AU7*(loan_eligible_ng-AT23)*loan_apply_ng*loan_approval_ng,0)</f>
        <v/>
      </c>
      <c r="AV24" s="43">
        <f>IF(AV$4&gt;=loan_start_ng,AV7*(loan_eligible_ng-AU23)*loan_apply_ng*loan_approval_ng,0)</f>
        <v/>
      </c>
      <c r="AW24" s="43">
        <f>IF(AW$4&gt;=loan_start_ng,AW7*(loan_eligible_ng-AV23)*loan_apply_ng*loan_approval_ng,0)</f>
        <v/>
      </c>
      <c r="AX24" s="43">
        <f>IF(AX$4&gt;=loan_start_ng,AX7*(loan_eligible_ng-AW23)*loan_apply_ng*loan_approval_ng,0)</f>
        <v/>
      </c>
      <c r="AY24" s="43">
        <f>IF(AY$4&gt;=loan_start_ng,AY7*(loan_eligible_ng-AX23)*loan_apply_ng*loan_approval_ng,0)</f>
        <v/>
      </c>
      <c r="AZ24" s="43">
        <f>IF(AZ$4&gt;=loan_start_ng,AZ7*(loan_eligible_ng-AY23)*loan_apply_ng*loan_approval_ng,0)</f>
        <v/>
      </c>
      <c r="BA24" s="43">
        <f>IF(BA$4&gt;=loan_start_ng,BA7*(loan_eligible_ng-AZ23)*loan_apply_ng*loan_approval_ng,0)</f>
        <v/>
      </c>
      <c r="BB24" s="43">
        <f>IF(BB$4&gt;=loan_start_ng,BB7*(loan_eligible_ng-BA23)*loan_apply_ng*loan_approval_ng,0)</f>
        <v/>
      </c>
      <c r="BC24" s="43">
        <f>IF(BC$4&gt;=loan_start_ng,BC7*(loan_eligible_ng-BB23)*loan_apply_ng*loan_approval_ng,0)</f>
        <v/>
      </c>
      <c r="BD24" s="43">
        <f>IF(BD$4&gt;=loan_start_ng,BD7*(loan_eligible_ng-BC23)*loan_apply_ng*loan_approval_ng,0)</f>
        <v/>
      </c>
      <c r="BE24" s="43">
        <f>IF(BE$4&gt;=loan_start_ng,BE7*(loan_eligible_ng-BD23)*loan_apply_ng*loan_approval_ng,0)</f>
        <v/>
      </c>
      <c r="BF24" s="43">
        <f>IF(BF$4&gt;=loan_start_ng,BF7*(loan_eligible_ng-BE23)*loan_apply_ng*loan_approval_ng,0)</f>
        <v/>
      </c>
      <c r="BG24" s="43">
        <f>IF(BG$4&gt;=loan_start_ng,BG7*(loan_eligible_ng-BF23)*loan_apply_ng*loan_approval_ng,0)</f>
        <v/>
      </c>
      <c r="BH24" s="43">
        <f>IF(BH$4&gt;=loan_start_ng,BH7*(loan_eligible_ng-BG23)*loan_apply_ng*loan_approval_ng,0)</f>
        <v/>
      </c>
      <c r="BI24" s="43">
        <f>IF(BI$4&gt;=loan_start_ng,BI7*(loan_eligible_ng-BH23)*loan_apply_ng*loan_approval_ng,0)</f>
        <v/>
      </c>
      <c r="BJ24" s="43">
        <f>IF(BJ$4&gt;=loan_start_ng,BJ7*(loan_eligible_ng-BI23)*loan_apply_ng*loan_approval_ng,0)</f>
        <v/>
      </c>
      <c r="BK24" s="43">
        <f>IF(BK$4&gt;=loan_start_ng,BK7*(loan_eligible_ng-BJ23)*loan_apply_ng*loan_approval_ng,0)</f>
        <v/>
      </c>
    </row>
    <row r="25">
      <c r="A25" s="25" t="inlineStr">
        <is>
          <t>Loan 2 (secured): repaid loan 1, still saving, borrowed again</t>
        </is>
      </c>
      <c r="B25" s="28" t="inlineStr">
        <is>
          <t>loans</t>
        </is>
      </c>
      <c r="C25" s="42" t="n">
        <v>0</v>
      </c>
      <c r="D25" s="43">
        <f>IF(D$4&gt;loan_tenor_ng,loan_repeat_ng*(1-ladder_dpd90_ng)*INDEX($C$24:C$24,1,D$4-loan_tenor_ng+1)*D6/INDEX($C$6:C$6,1,D$4-loan_tenor_ng+1),0)</f>
        <v/>
      </c>
      <c r="E25" s="43">
        <f>IF(E$4&gt;loan_tenor_ng,loan_repeat_ng*(1-ladder_dpd90_ng)*INDEX($C$24:D$24,1,E$4-loan_tenor_ng+1)*E6/INDEX($C$6:D$6,1,E$4-loan_tenor_ng+1),0)</f>
        <v/>
      </c>
      <c r="F25" s="43">
        <f>IF(F$4&gt;loan_tenor_ng,loan_repeat_ng*(1-ladder_dpd90_ng)*INDEX($C$24:E$24,1,F$4-loan_tenor_ng+1)*F6/INDEX($C$6:E$6,1,F$4-loan_tenor_ng+1),0)</f>
        <v/>
      </c>
      <c r="G25" s="43">
        <f>IF(G$4&gt;loan_tenor_ng,loan_repeat_ng*(1-ladder_dpd90_ng)*INDEX($C$24:F$24,1,G$4-loan_tenor_ng+1)*G6/INDEX($C$6:F$6,1,G$4-loan_tenor_ng+1),0)</f>
        <v/>
      </c>
      <c r="H25" s="43">
        <f>IF(H$4&gt;loan_tenor_ng,loan_repeat_ng*(1-ladder_dpd90_ng)*INDEX($C$24:G$24,1,H$4-loan_tenor_ng+1)*H6/INDEX($C$6:G$6,1,H$4-loan_tenor_ng+1),0)</f>
        <v/>
      </c>
      <c r="I25" s="43">
        <f>IF(I$4&gt;loan_tenor_ng,loan_repeat_ng*(1-ladder_dpd90_ng)*INDEX($C$24:H$24,1,I$4-loan_tenor_ng+1)*I6/INDEX($C$6:H$6,1,I$4-loan_tenor_ng+1),0)</f>
        <v/>
      </c>
      <c r="J25" s="43">
        <f>IF(J$4&gt;loan_tenor_ng,loan_repeat_ng*(1-ladder_dpd90_ng)*INDEX($C$24:I$24,1,J$4-loan_tenor_ng+1)*J6/INDEX($C$6:I$6,1,J$4-loan_tenor_ng+1),0)</f>
        <v/>
      </c>
      <c r="K25" s="43">
        <f>IF(K$4&gt;loan_tenor_ng,loan_repeat_ng*(1-ladder_dpd90_ng)*INDEX($C$24:J$24,1,K$4-loan_tenor_ng+1)*K6/INDEX($C$6:J$6,1,K$4-loan_tenor_ng+1),0)</f>
        <v/>
      </c>
      <c r="L25" s="43">
        <f>IF(L$4&gt;loan_tenor_ng,loan_repeat_ng*(1-ladder_dpd90_ng)*INDEX($C$24:K$24,1,L$4-loan_tenor_ng+1)*L6/INDEX($C$6:K$6,1,L$4-loan_tenor_ng+1),0)</f>
        <v/>
      </c>
      <c r="M25" s="43">
        <f>IF(M$4&gt;loan_tenor_ng,loan_repeat_ng*(1-ladder_dpd90_ng)*INDEX($C$24:L$24,1,M$4-loan_tenor_ng+1)*M6/INDEX($C$6:L$6,1,M$4-loan_tenor_ng+1),0)</f>
        <v/>
      </c>
      <c r="N25" s="43">
        <f>IF(N$4&gt;loan_tenor_ng,loan_repeat_ng*(1-ladder_dpd90_ng)*INDEX($C$24:M$24,1,N$4-loan_tenor_ng+1)*N6/INDEX($C$6:M$6,1,N$4-loan_tenor_ng+1),0)</f>
        <v/>
      </c>
      <c r="O25" s="43">
        <f>IF(O$4&gt;loan_tenor_ng,loan_repeat_ng*(1-ladder_dpd90_ng)*INDEX($C$24:N$24,1,O$4-loan_tenor_ng+1)*O6/INDEX($C$6:N$6,1,O$4-loan_tenor_ng+1),0)</f>
        <v/>
      </c>
      <c r="P25" s="43">
        <f>IF(P$4&gt;loan_tenor_ng,loan_repeat_ng*(1-ladder_dpd90_ng)*INDEX($C$24:O$24,1,P$4-loan_tenor_ng+1)*P6/INDEX($C$6:O$6,1,P$4-loan_tenor_ng+1),0)</f>
        <v/>
      </c>
      <c r="Q25" s="43">
        <f>IF(Q$4&gt;loan_tenor_ng,loan_repeat_ng*(1-ladder_dpd90_ng)*INDEX($C$24:P$24,1,Q$4-loan_tenor_ng+1)*Q6/INDEX($C$6:P$6,1,Q$4-loan_tenor_ng+1),0)</f>
        <v/>
      </c>
      <c r="R25" s="43">
        <f>IF(R$4&gt;loan_tenor_ng,loan_repeat_ng*(1-ladder_dpd90_ng)*INDEX($C$24:Q$24,1,R$4-loan_tenor_ng+1)*R6/INDEX($C$6:Q$6,1,R$4-loan_tenor_ng+1),0)</f>
        <v/>
      </c>
      <c r="S25" s="43">
        <f>IF(S$4&gt;loan_tenor_ng,loan_repeat_ng*(1-ladder_dpd90_ng)*INDEX($C$24:R$24,1,S$4-loan_tenor_ng+1)*S6/INDEX($C$6:R$6,1,S$4-loan_tenor_ng+1),0)</f>
        <v/>
      </c>
      <c r="T25" s="43">
        <f>IF(T$4&gt;loan_tenor_ng,loan_repeat_ng*(1-ladder_dpd90_ng)*INDEX($C$24:S$24,1,T$4-loan_tenor_ng+1)*T6/INDEX($C$6:S$6,1,T$4-loan_tenor_ng+1),0)</f>
        <v/>
      </c>
      <c r="U25" s="43">
        <f>IF(U$4&gt;loan_tenor_ng,loan_repeat_ng*(1-ladder_dpd90_ng)*INDEX($C$24:T$24,1,U$4-loan_tenor_ng+1)*U6/INDEX($C$6:T$6,1,U$4-loan_tenor_ng+1),0)</f>
        <v/>
      </c>
      <c r="V25" s="43">
        <f>IF(V$4&gt;loan_tenor_ng,loan_repeat_ng*(1-ladder_dpd90_ng)*INDEX($C$24:U$24,1,V$4-loan_tenor_ng+1)*V6/INDEX($C$6:U$6,1,V$4-loan_tenor_ng+1),0)</f>
        <v/>
      </c>
      <c r="W25" s="43">
        <f>IF(W$4&gt;loan_tenor_ng,loan_repeat_ng*(1-ladder_dpd90_ng)*INDEX($C$24:V$24,1,W$4-loan_tenor_ng+1)*W6/INDEX($C$6:V$6,1,W$4-loan_tenor_ng+1),0)</f>
        <v/>
      </c>
      <c r="X25" s="43">
        <f>IF(X$4&gt;loan_tenor_ng,loan_repeat_ng*(1-ladder_dpd90_ng)*INDEX($C$24:W$24,1,X$4-loan_tenor_ng+1)*X6/INDEX($C$6:W$6,1,X$4-loan_tenor_ng+1),0)</f>
        <v/>
      </c>
      <c r="Y25" s="43">
        <f>IF(Y$4&gt;loan_tenor_ng,loan_repeat_ng*(1-ladder_dpd90_ng)*INDEX($C$24:X$24,1,Y$4-loan_tenor_ng+1)*Y6/INDEX($C$6:X$6,1,Y$4-loan_tenor_ng+1),0)</f>
        <v/>
      </c>
      <c r="Z25" s="43">
        <f>IF(Z$4&gt;loan_tenor_ng,loan_repeat_ng*(1-ladder_dpd90_ng)*INDEX($C$24:Y$24,1,Z$4-loan_tenor_ng+1)*Z6/INDEX($C$6:Y$6,1,Z$4-loan_tenor_ng+1),0)</f>
        <v/>
      </c>
      <c r="AA25" s="43">
        <f>IF(AA$4&gt;loan_tenor_ng,loan_repeat_ng*(1-ladder_dpd90_ng)*INDEX($C$24:Z$24,1,AA$4-loan_tenor_ng+1)*AA6/INDEX($C$6:Z$6,1,AA$4-loan_tenor_ng+1),0)</f>
        <v/>
      </c>
      <c r="AB25" s="43">
        <f>IF(AB$4&gt;loan_tenor_ng,loan_repeat_ng*(1-ladder_dpd90_ng)*INDEX($C$24:AA$24,1,AB$4-loan_tenor_ng+1)*AB6/INDEX($C$6:AA$6,1,AB$4-loan_tenor_ng+1),0)</f>
        <v/>
      </c>
      <c r="AC25" s="43">
        <f>IF(AC$4&gt;loan_tenor_ng,loan_repeat_ng*(1-ladder_dpd90_ng)*INDEX($C$24:AB$24,1,AC$4-loan_tenor_ng+1)*AC6/INDEX($C$6:AB$6,1,AC$4-loan_tenor_ng+1),0)</f>
        <v/>
      </c>
      <c r="AD25" s="43">
        <f>IF(AD$4&gt;loan_tenor_ng,loan_repeat_ng*(1-ladder_dpd90_ng)*INDEX($C$24:AC$24,1,AD$4-loan_tenor_ng+1)*AD6/INDEX($C$6:AC$6,1,AD$4-loan_tenor_ng+1),0)</f>
        <v/>
      </c>
      <c r="AE25" s="43">
        <f>IF(AE$4&gt;loan_tenor_ng,loan_repeat_ng*(1-ladder_dpd90_ng)*INDEX($C$24:AD$24,1,AE$4-loan_tenor_ng+1)*AE6/INDEX($C$6:AD$6,1,AE$4-loan_tenor_ng+1),0)</f>
        <v/>
      </c>
      <c r="AF25" s="43">
        <f>IF(AF$4&gt;loan_tenor_ng,loan_repeat_ng*(1-ladder_dpd90_ng)*INDEX($C$24:AE$24,1,AF$4-loan_tenor_ng+1)*AF6/INDEX($C$6:AE$6,1,AF$4-loan_tenor_ng+1),0)</f>
        <v/>
      </c>
      <c r="AG25" s="43">
        <f>IF(AG$4&gt;loan_tenor_ng,loan_repeat_ng*(1-ladder_dpd90_ng)*INDEX($C$24:AF$24,1,AG$4-loan_tenor_ng+1)*AG6/INDEX($C$6:AF$6,1,AG$4-loan_tenor_ng+1),0)</f>
        <v/>
      </c>
      <c r="AH25" s="43">
        <f>IF(AH$4&gt;loan_tenor_ng,loan_repeat_ng*(1-ladder_dpd90_ng)*INDEX($C$24:AG$24,1,AH$4-loan_tenor_ng+1)*AH6/INDEX($C$6:AG$6,1,AH$4-loan_tenor_ng+1),0)</f>
        <v/>
      </c>
      <c r="AI25" s="43">
        <f>IF(AI$4&gt;loan_tenor_ng,loan_repeat_ng*(1-ladder_dpd90_ng)*INDEX($C$24:AH$24,1,AI$4-loan_tenor_ng+1)*AI6/INDEX($C$6:AH$6,1,AI$4-loan_tenor_ng+1),0)</f>
        <v/>
      </c>
      <c r="AJ25" s="43">
        <f>IF(AJ$4&gt;loan_tenor_ng,loan_repeat_ng*(1-ladder_dpd90_ng)*INDEX($C$24:AI$24,1,AJ$4-loan_tenor_ng+1)*AJ6/INDEX($C$6:AI$6,1,AJ$4-loan_tenor_ng+1),0)</f>
        <v/>
      </c>
      <c r="AK25" s="43">
        <f>IF(AK$4&gt;loan_tenor_ng,loan_repeat_ng*(1-ladder_dpd90_ng)*INDEX($C$24:AJ$24,1,AK$4-loan_tenor_ng+1)*AK6/INDEX($C$6:AJ$6,1,AK$4-loan_tenor_ng+1),0)</f>
        <v/>
      </c>
      <c r="AL25" s="43">
        <f>IF(AL$4&gt;loan_tenor_ng,loan_repeat_ng*(1-ladder_dpd90_ng)*INDEX($C$24:AK$24,1,AL$4-loan_tenor_ng+1)*AL6/INDEX($C$6:AK$6,1,AL$4-loan_tenor_ng+1),0)</f>
        <v/>
      </c>
      <c r="AM25" s="43">
        <f>IF(AM$4&gt;loan_tenor_ng,loan_repeat_ng*(1-ladder_dpd90_ng)*INDEX($C$24:AL$24,1,AM$4-loan_tenor_ng+1)*AM6/INDEX($C$6:AL$6,1,AM$4-loan_tenor_ng+1),0)</f>
        <v/>
      </c>
      <c r="AN25" s="43">
        <f>IF(AN$4&gt;loan_tenor_ng,loan_repeat_ng*(1-ladder_dpd90_ng)*INDEX($C$24:AM$24,1,AN$4-loan_tenor_ng+1)*AN6/INDEX($C$6:AM$6,1,AN$4-loan_tenor_ng+1),0)</f>
        <v/>
      </c>
      <c r="AO25" s="43">
        <f>IF(AO$4&gt;loan_tenor_ng,loan_repeat_ng*(1-ladder_dpd90_ng)*INDEX($C$24:AN$24,1,AO$4-loan_tenor_ng+1)*AO6/INDEX($C$6:AN$6,1,AO$4-loan_tenor_ng+1),0)</f>
        <v/>
      </c>
      <c r="AP25" s="43">
        <f>IF(AP$4&gt;loan_tenor_ng,loan_repeat_ng*(1-ladder_dpd90_ng)*INDEX($C$24:AO$24,1,AP$4-loan_tenor_ng+1)*AP6/INDEX($C$6:AO$6,1,AP$4-loan_tenor_ng+1),0)</f>
        <v/>
      </c>
      <c r="AQ25" s="43">
        <f>IF(AQ$4&gt;loan_tenor_ng,loan_repeat_ng*(1-ladder_dpd90_ng)*INDEX($C$24:AP$24,1,AQ$4-loan_tenor_ng+1)*AQ6/INDEX($C$6:AP$6,1,AQ$4-loan_tenor_ng+1),0)</f>
        <v/>
      </c>
      <c r="AR25" s="43">
        <f>IF(AR$4&gt;loan_tenor_ng,loan_repeat_ng*(1-ladder_dpd90_ng)*INDEX($C$24:AQ$24,1,AR$4-loan_tenor_ng+1)*AR6/INDEX($C$6:AQ$6,1,AR$4-loan_tenor_ng+1),0)</f>
        <v/>
      </c>
      <c r="AS25" s="43">
        <f>IF(AS$4&gt;loan_tenor_ng,loan_repeat_ng*(1-ladder_dpd90_ng)*INDEX($C$24:AR$24,1,AS$4-loan_tenor_ng+1)*AS6/INDEX($C$6:AR$6,1,AS$4-loan_tenor_ng+1),0)</f>
        <v/>
      </c>
      <c r="AT25" s="43">
        <f>IF(AT$4&gt;loan_tenor_ng,loan_repeat_ng*(1-ladder_dpd90_ng)*INDEX($C$24:AS$24,1,AT$4-loan_tenor_ng+1)*AT6/INDEX($C$6:AS$6,1,AT$4-loan_tenor_ng+1),0)</f>
        <v/>
      </c>
      <c r="AU25" s="43">
        <f>IF(AU$4&gt;loan_tenor_ng,loan_repeat_ng*(1-ladder_dpd90_ng)*INDEX($C$24:AT$24,1,AU$4-loan_tenor_ng+1)*AU6/INDEX($C$6:AT$6,1,AU$4-loan_tenor_ng+1),0)</f>
        <v/>
      </c>
      <c r="AV25" s="43">
        <f>IF(AV$4&gt;loan_tenor_ng,loan_repeat_ng*(1-ladder_dpd90_ng)*INDEX($C$24:AU$24,1,AV$4-loan_tenor_ng+1)*AV6/INDEX($C$6:AU$6,1,AV$4-loan_tenor_ng+1),0)</f>
        <v/>
      </c>
      <c r="AW25" s="43">
        <f>IF(AW$4&gt;loan_tenor_ng,loan_repeat_ng*(1-ladder_dpd90_ng)*INDEX($C$24:AV$24,1,AW$4-loan_tenor_ng+1)*AW6/INDEX($C$6:AV$6,1,AW$4-loan_tenor_ng+1),0)</f>
        <v/>
      </c>
      <c r="AX25" s="43">
        <f>IF(AX$4&gt;loan_tenor_ng,loan_repeat_ng*(1-ladder_dpd90_ng)*INDEX($C$24:AW$24,1,AX$4-loan_tenor_ng+1)*AX6/INDEX($C$6:AW$6,1,AX$4-loan_tenor_ng+1),0)</f>
        <v/>
      </c>
      <c r="AY25" s="43">
        <f>IF(AY$4&gt;loan_tenor_ng,loan_repeat_ng*(1-ladder_dpd90_ng)*INDEX($C$24:AX$24,1,AY$4-loan_tenor_ng+1)*AY6/INDEX($C$6:AX$6,1,AY$4-loan_tenor_ng+1),0)</f>
        <v/>
      </c>
      <c r="AZ25" s="43">
        <f>IF(AZ$4&gt;loan_tenor_ng,loan_repeat_ng*(1-ladder_dpd90_ng)*INDEX($C$24:AY$24,1,AZ$4-loan_tenor_ng+1)*AZ6/INDEX($C$6:AY$6,1,AZ$4-loan_tenor_ng+1),0)</f>
        <v/>
      </c>
      <c r="BA25" s="43">
        <f>IF(BA$4&gt;loan_tenor_ng,loan_repeat_ng*(1-ladder_dpd90_ng)*INDEX($C$24:AZ$24,1,BA$4-loan_tenor_ng+1)*BA6/INDEX($C$6:AZ$6,1,BA$4-loan_tenor_ng+1),0)</f>
        <v/>
      </c>
      <c r="BB25" s="43">
        <f>IF(BB$4&gt;loan_tenor_ng,loan_repeat_ng*(1-ladder_dpd90_ng)*INDEX($C$24:BA$24,1,BB$4-loan_tenor_ng+1)*BB6/INDEX($C$6:BA$6,1,BB$4-loan_tenor_ng+1),0)</f>
        <v/>
      </c>
      <c r="BC25" s="43">
        <f>IF(BC$4&gt;loan_tenor_ng,loan_repeat_ng*(1-ladder_dpd90_ng)*INDEX($C$24:BB$24,1,BC$4-loan_tenor_ng+1)*BC6/INDEX($C$6:BB$6,1,BC$4-loan_tenor_ng+1),0)</f>
        <v/>
      </c>
      <c r="BD25" s="43">
        <f>IF(BD$4&gt;loan_tenor_ng,loan_repeat_ng*(1-ladder_dpd90_ng)*INDEX($C$24:BC$24,1,BD$4-loan_tenor_ng+1)*BD6/INDEX($C$6:BC$6,1,BD$4-loan_tenor_ng+1),0)</f>
        <v/>
      </c>
      <c r="BE25" s="43">
        <f>IF(BE$4&gt;loan_tenor_ng,loan_repeat_ng*(1-ladder_dpd90_ng)*INDEX($C$24:BD$24,1,BE$4-loan_tenor_ng+1)*BE6/INDEX($C$6:BD$6,1,BE$4-loan_tenor_ng+1),0)</f>
        <v/>
      </c>
      <c r="BF25" s="43">
        <f>IF(BF$4&gt;loan_tenor_ng,loan_repeat_ng*(1-ladder_dpd90_ng)*INDEX($C$24:BE$24,1,BF$4-loan_tenor_ng+1)*BF6/INDEX($C$6:BE$6,1,BF$4-loan_tenor_ng+1),0)</f>
        <v/>
      </c>
      <c r="BG25" s="43">
        <f>IF(BG$4&gt;loan_tenor_ng,loan_repeat_ng*(1-ladder_dpd90_ng)*INDEX($C$24:BF$24,1,BG$4-loan_tenor_ng+1)*BG6/INDEX($C$6:BF$6,1,BG$4-loan_tenor_ng+1),0)</f>
        <v/>
      </c>
      <c r="BH25" s="43">
        <f>IF(BH$4&gt;loan_tenor_ng,loan_repeat_ng*(1-ladder_dpd90_ng)*INDEX($C$24:BG$24,1,BH$4-loan_tenor_ng+1)*BH6/INDEX($C$6:BG$6,1,BH$4-loan_tenor_ng+1),0)</f>
        <v/>
      </c>
      <c r="BI25" s="43">
        <f>IF(BI$4&gt;loan_tenor_ng,loan_repeat_ng*(1-ladder_dpd90_ng)*INDEX($C$24:BH$24,1,BI$4-loan_tenor_ng+1)*BI6/INDEX($C$6:BH$6,1,BI$4-loan_tenor_ng+1),0)</f>
        <v/>
      </c>
      <c r="BJ25" s="43">
        <f>IF(BJ$4&gt;loan_tenor_ng,loan_repeat_ng*(1-ladder_dpd90_ng)*INDEX($C$24:BI$24,1,BJ$4-loan_tenor_ng+1)*BJ6/INDEX($C$6:BI$6,1,BJ$4-loan_tenor_ng+1),0)</f>
        <v/>
      </c>
      <c r="BK25" s="43">
        <f>IF(BK$4&gt;loan_tenor_ng,loan_repeat_ng*(1-ladder_dpd90_ng)*INDEX($C$24:BJ$24,1,BK$4-loan_tenor_ng+1)*BK6/INDEX($C$6:BJ$6,1,BK$4-loan_tenor_ng+1),0)</f>
        <v/>
      </c>
    </row>
    <row r="26">
      <c r="A26" s="25" t="inlineStr">
        <is>
          <t>Loan 3 (part secured)</t>
        </is>
      </c>
      <c r="B26" s="28" t="inlineStr">
        <is>
          <t>loans</t>
        </is>
      </c>
      <c r="C26" s="42" t="n">
        <v>0</v>
      </c>
      <c r="D26" s="43">
        <f>IF(D$4&gt;loan_tenor_ng,loan_repeat_ng*(1-ladder_dpd90_ng)*INDEX($C$25:C$25,1,D$4-loan_tenor_ng+1)*D6/INDEX($C$6:C$6,1,D$4-loan_tenor_ng+1),0)</f>
        <v/>
      </c>
      <c r="E26" s="43">
        <f>IF(E$4&gt;loan_tenor_ng,loan_repeat_ng*(1-ladder_dpd90_ng)*INDEX($C$25:D$25,1,E$4-loan_tenor_ng+1)*E6/INDEX($C$6:D$6,1,E$4-loan_tenor_ng+1),0)</f>
        <v/>
      </c>
      <c r="F26" s="43">
        <f>IF(F$4&gt;loan_tenor_ng,loan_repeat_ng*(1-ladder_dpd90_ng)*INDEX($C$25:E$25,1,F$4-loan_tenor_ng+1)*F6/INDEX($C$6:E$6,1,F$4-loan_tenor_ng+1),0)</f>
        <v/>
      </c>
      <c r="G26" s="43">
        <f>IF(G$4&gt;loan_tenor_ng,loan_repeat_ng*(1-ladder_dpd90_ng)*INDEX($C$25:F$25,1,G$4-loan_tenor_ng+1)*G6/INDEX($C$6:F$6,1,G$4-loan_tenor_ng+1),0)</f>
        <v/>
      </c>
      <c r="H26" s="43">
        <f>IF(H$4&gt;loan_tenor_ng,loan_repeat_ng*(1-ladder_dpd90_ng)*INDEX($C$25:G$25,1,H$4-loan_tenor_ng+1)*H6/INDEX($C$6:G$6,1,H$4-loan_tenor_ng+1),0)</f>
        <v/>
      </c>
      <c r="I26" s="43">
        <f>IF(I$4&gt;loan_tenor_ng,loan_repeat_ng*(1-ladder_dpd90_ng)*INDEX($C$25:H$25,1,I$4-loan_tenor_ng+1)*I6/INDEX($C$6:H$6,1,I$4-loan_tenor_ng+1),0)</f>
        <v/>
      </c>
      <c r="J26" s="43">
        <f>IF(J$4&gt;loan_tenor_ng,loan_repeat_ng*(1-ladder_dpd90_ng)*INDEX($C$25:I$25,1,J$4-loan_tenor_ng+1)*J6/INDEX($C$6:I$6,1,J$4-loan_tenor_ng+1),0)</f>
        <v/>
      </c>
      <c r="K26" s="43">
        <f>IF(K$4&gt;loan_tenor_ng,loan_repeat_ng*(1-ladder_dpd90_ng)*INDEX($C$25:J$25,1,K$4-loan_tenor_ng+1)*K6/INDEX($C$6:J$6,1,K$4-loan_tenor_ng+1),0)</f>
        <v/>
      </c>
      <c r="L26" s="43">
        <f>IF(L$4&gt;loan_tenor_ng,loan_repeat_ng*(1-ladder_dpd90_ng)*INDEX($C$25:K$25,1,L$4-loan_tenor_ng+1)*L6/INDEX($C$6:K$6,1,L$4-loan_tenor_ng+1),0)</f>
        <v/>
      </c>
      <c r="M26" s="43">
        <f>IF(M$4&gt;loan_tenor_ng,loan_repeat_ng*(1-ladder_dpd90_ng)*INDEX($C$25:L$25,1,M$4-loan_tenor_ng+1)*M6/INDEX($C$6:L$6,1,M$4-loan_tenor_ng+1),0)</f>
        <v/>
      </c>
      <c r="N26" s="43">
        <f>IF(N$4&gt;loan_tenor_ng,loan_repeat_ng*(1-ladder_dpd90_ng)*INDEX($C$25:M$25,1,N$4-loan_tenor_ng+1)*N6/INDEX($C$6:M$6,1,N$4-loan_tenor_ng+1),0)</f>
        <v/>
      </c>
      <c r="O26" s="43">
        <f>IF(O$4&gt;loan_tenor_ng,loan_repeat_ng*(1-ladder_dpd90_ng)*INDEX($C$25:N$25,1,O$4-loan_tenor_ng+1)*O6/INDEX($C$6:N$6,1,O$4-loan_tenor_ng+1),0)</f>
        <v/>
      </c>
      <c r="P26" s="43">
        <f>IF(P$4&gt;loan_tenor_ng,loan_repeat_ng*(1-ladder_dpd90_ng)*INDEX($C$25:O$25,1,P$4-loan_tenor_ng+1)*P6/INDEX($C$6:O$6,1,P$4-loan_tenor_ng+1),0)</f>
        <v/>
      </c>
      <c r="Q26" s="43">
        <f>IF(Q$4&gt;loan_tenor_ng,loan_repeat_ng*(1-ladder_dpd90_ng)*INDEX($C$25:P$25,1,Q$4-loan_tenor_ng+1)*Q6/INDEX($C$6:P$6,1,Q$4-loan_tenor_ng+1),0)</f>
        <v/>
      </c>
      <c r="R26" s="43">
        <f>IF(R$4&gt;loan_tenor_ng,loan_repeat_ng*(1-ladder_dpd90_ng)*INDEX($C$25:Q$25,1,R$4-loan_tenor_ng+1)*R6/INDEX($C$6:Q$6,1,R$4-loan_tenor_ng+1),0)</f>
        <v/>
      </c>
      <c r="S26" s="43">
        <f>IF(S$4&gt;loan_tenor_ng,loan_repeat_ng*(1-ladder_dpd90_ng)*INDEX($C$25:R$25,1,S$4-loan_tenor_ng+1)*S6/INDEX($C$6:R$6,1,S$4-loan_tenor_ng+1),0)</f>
        <v/>
      </c>
      <c r="T26" s="43">
        <f>IF(T$4&gt;loan_tenor_ng,loan_repeat_ng*(1-ladder_dpd90_ng)*INDEX($C$25:S$25,1,T$4-loan_tenor_ng+1)*T6/INDEX($C$6:S$6,1,T$4-loan_tenor_ng+1),0)</f>
        <v/>
      </c>
      <c r="U26" s="43">
        <f>IF(U$4&gt;loan_tenor_ng,loan_repeat_ng*(1-ladder_dpd90_ng)*INDEX($C$25:T$25,1,U$4-loan_tenor_ng+1)*U6/INDEX($C$6:T$6,1,U$4-loan_tenor_ng+1),0)</f>
        <v/>
      </c>
      <c r="V26" s="43">
        <f>IF(V$4&gt;loan_tenor_ng,loan_repeat_ng*(1-ladder_dpd90_ng)*INDEX($C$25:U$25,1,V$4-loan_tenor_ng+1)*V6/INDEX($C$6:U$6,1,V$4-loan_tenor_ng+1),0)</f>
        <v/>
      </c>
      <c r="W26" s="43">
        <f>IF(W$4&gt;loan_tenor_ng,loan_repeat_ng*(1-ladder_dpd90_ng)*INDEX($C$25:V$25,1,W$4-loan_tenor_ng+1)*W6/INDEX($C$6:V$6,1,W$4-loan_tenor_ng+1),0)</f>
        <v/>
      </c>
      <c r="X26" s="43">
        <f>IF(X$4&gt;loan_tenor_ng,loan_repeat_ng*(1-ladder_dpd90_ng)*INDEX($C$25:W$25,1,X$4-loan_tenor_ng+1)*X6/INDEX($C$6:W$6,1,X$4-loan_tenor_ng+1),0)</f>
        <v/>
      </c>
      <c r="Y26" s="43">
        <f>IF(Y$4&gt;loan_tenor_ng,loan_repeat_ng*(1-ladder_dpd90_ng)*INDEX($C$25:X$25,1,Y$4-loan_tenor_ng+1)*Y6/INDEX($C$6:X$6,1,Y$4-loan_tenor_ng+1),0)</f>
        <v/>
      </c>
      <c r="Z26" s="43">
        <f>IF(Z$4&gt;loan_tenor_ng,loan_repeat_ng*(1-ladder_dpd90_ng)*INDEX($C$25:Y$25,1,Z$4-loan_tenor_ng+1)*Z6/INDEX($C$6:Y$6,1,Z$4-loan_tenor_ng+1),0)</f>
        <v/>
      </c>
      <c r="AA26" s="43">
        <f>IF(AA$4&gt;loan_tenor_ng,loan_repeat_ng*(1-ladder_dpd90_ng)*INDEX($C$25:Z$25,1,AA$4-loan_tenor_ng+1)*AA6/INDEX($C$6:Z$6,1,AA$4-loan_tenor_ng+1),0)</f>
        <v/>
      </c>
      <c r="AB26" s="43">
        <f>IF(AB$4&gt;loan_tenor_ng,loan_repeat_ng*(1-ladder_dpd90_ng)*INDEX($C$25:AA$25,1,AB$4-loan_tenor_ng+1)*AB6/INDEX($C$6:AA$6,1,AB$4-loan_tenor_ng+1),0)</f>
        <v/>
      </c>
      <c r="AC26" s="43">
        <f>IF(AC$4&gt;loan_tenor_ng,loan_repeat_ng*(1-ladder_dpd90_ng)*INDEX($C$25:AB$25,1,AC$4-loan_tenor_ng+1)*AC6/INDEX($C$6:AB$6,1,AC$4-loan_tenor_ng+1),0)</f>
        <v/>
      </c>
      <c r="AD26" s="43">
        <f>IF(AD$4&gt;loan_tenor_ng,loan_repeat_ng*(1-ladder_dpd90_ng)*INDEX($C$25:AC$25,1,AD$4-loan_tenor_ng+1)*AD6/INDEX($C$6:AC$6,1,AD$4-loan_tenor_ng+1),0)</f>
        <v/>
      </c>
      <c r="AE26" s="43">
        <f>IF(AE$4&gt;loan_tenor_ng,loan_repeat_ng*(1-ladder_dpd90_ng)*INDEX($C$25:AD$25,1,AE$4-loan_tenor_ng+1)*AE6/INDEX($C$6:AD$6,1,AE$4-loan_tenor_ng+1),0)</f>
        <v/>
      </c>
      <c r="AF26" s="43">
        <f>IF(AF$4&gt;loan_tenor_ng,loan_repeat_ng*(1-ladder_dpd90_ng)*INDEX($C$25:AE$25,1,AF$4-loan_tenor_ng+1)*AF6/INDEX($C$6:AE$6,1,AF$4-loan_tenor_ng+1),0)</f>
        <v/>
      </c>
      <c r="AG26" s="43">
        <f>IF(AG$4&gt;loan_tenor_ng,loan_repeat_ng*(1-ladder_dpd90_ng)*INDEX($C$25:AF$25,1,AG$4-loan_tenor_ng+1)*AG6/INDEX($C$6:AF$6,1,AG$4-loan_tenor_ng+1),0)</f>
        <v/>
      </c>
      <c r="AH26" s="43">
        <f>IF(AH$4&gt;loan_tenor_ng,loan_repeat_ng*(1-ladder_dpd90_ng)*INDEX($C$25:AG$25,1,AH$4-loan_tenor_ng+1)*AH6/INDEX($C$6:AG$6,1,AH$4-loan_tenor_ng+1),0)</f>
        <v/>
      </c>
      <c r="AI26" s="43">
        <f>IF(AI$4&gt;loan_tenor_ng,loan_repeat_ng*(1-ladder_dpd90_ng)*INDEX($C$25:AH$25,1,AI$4-loan_tenor_ng+1)*AI6/INDEX($C$6:AH$6,1,AI$4-loan_tenor_ng+1),0)</f>
        <v/>
      </c>
      <c r="AJ26" s="43">
        <f>IF(AJ$4&gt;loan_tenor_ng,loan_repeat_ng*(1-ladder_dpd90_ng)*INDEX($C$25:AI$25,1,AJ$4-loan_tenor_ng+1)*AJ6/INDEX($C$6:AI$6,1,AJ$4-loan_tenor_ng+1),0)</f>
        <v/>
      </c>
      <c r="AK26" s="43">
        <f>IF(AK$4&gt;loan_tenor_ng,loan_repeat_ng*(1-ladder_dpd90_ng)*INDEX($C$25:AJ$25,1,AK$4-loan_tenor_ng+1)*AK6/INDEX($C$6:AJ$6,1,AK$4-loan_tenor_ng+1),0)</f>
        <v/>
      </c>
      <c r="AL26" s="43">
        <f>IF(AL$4&gt;loan_tenor_ng,loan_repeat_ng*(1-ladder_dpd90_ng)*INDEX($C$25:AK$25,1,AL$4-loan_tenor_ng+1)*AL6/INDEX($C$6:AK$6,1,AL$4-loan_tenor_ng+1),0)</f>
        <v/>
      </c>
      <c r="AM26" s="43">
        <f>IF(AM$4&gt;loan_tenor_ng,loan_repeat_ng*(1-ladder_dpd90_ng)*INDEX($C$25:AL$25,1,AM$4-loan_tenor_ng+1)*AM6/INDEX($C$6:AL$6,1,AM$4-loan_tenor_ng+1),0)</f>
        <v/>
      </c>
      <c r="AN26" s="43">
        <f>IF(AN$4&gt;loan_tenor_ng,loan_repeat_ng*(1-ladder_dpd90_ng)*INDEX($C$25:AM$25,1,AN$4-loan_tenor_ng+1)*AN6/INDEX($C$6:AM$6,1,AN$4-loan_tenor_ng+1),0)</f>
        <v/>
      </c>
      <c r="AO26" s="43">
        <f>IF(AO$4&gt;loan_tenor_ng,loan_repeat_ng*(1-ladder_dpd90_ng)*INDEX($C$25:AN$25,1,AO$4-loan_tenor_ng+1)*AO6/INDEX($C$6:AN$6,1,AO$4-loan_tenor_ng+1),0)</f>
        <v/>
      </c>
      <c r="AP26" s="43">
        <f>IF(AP$4&gt;loan_tenor_ng,loan_repeat_ng*(1-ladder_dpd90_ng)*INDEX($C$25:AO$25,1,AP$4-loan_tenor_ng+1)*AP6/INDEX($C$6:AO$6,1,AP$4-loan_tenor_ng+1),0)</f>
        <v/>
      </c>
      <c r="AQ26" s="43">
        <f>IF(AQ$4&gt;loan_tenor_ng,loan_repeat_ng*(1-ladder_dpd90_ng)*INDEX($C$25:AP$25,1,AQ$4-loan_tenor_ng+1)*AQ6/INDEX($C$6:AP$6,1,AQ$4-loan_tenor_ng+1),0)</f>
        <v/>
      </c>
      <c r="AR26" s="43">
        <f>IF(AR$4&gt;loan_tenor_ng,loan_repeat_ng*(1-ladder_dpd90_ng)*INDEX($C$25:AQ$25,1,AR$4-loan_tenor_ng+1)*AR6/INDEX($C$6:AQ$6,1,AR$4-loan_tenor_ng+1),0)</f>
        <v/>
      </c>
      <c r="AS26" s="43">
        <f>IF(AS$4&gt;loan_tenor_ng,loan_repeat_ng*(1-ladder_dpd90_ng)*INDEX($C$25:AR$25,1,AS$4-loan_tenor_ng+1)*AS6/INDEX($C$6:AR$6,1,AS$4-loan_tenor_ng+1),0)</f>
        <v/>
      </c>
      <c r="AT26" s="43">
        <f>IF(AT$4&gt;loan_tenor_ng,loan_repeat_ng*(1-ladder_dpd90_ng)*INDEX($C$25:AS$25,1,AT$4-loan_tenor_ng+1)*AT6/INDEX($C$6:AS$6,1,AT$4-loan_tenor_ng+1),0)</f>
        <v/>
      </c>
      <c r="AU26" s="43">
        <f>IF(AU$4&gt;loan_tenor_ng,loan_repeat_ng*(1-ladder_dpd90_ng)*INDEX($C$25:AT$25,1,AU$4-loan_tenor_ng+1)*AU6/INDEX($C$6:AT$6,1,AU$4-loan_tenor_ng+1),0)</f>
        <v/>
      </c>
      <c r="AV26" s="43">
        <f>IF(AV$4&gt;loan_tenor_ng,loan_repeat_ng*(1-ladder_dpd90_ng)*INDEX($C$25:AU$25,1,AV$4-loan_tenor_ng+1)*AV6/INDEX($C$6:AU$6,1,AV$4-loan_tenor_ng+1),0)</f>
        <v/>
      </c>
      <c r="AW26" s="43">
        <f>IF(AW$4&gt;loan_tenor_ng,loan_repeat_ng*(1-ladder_dpd90_ng)*INDEX($C$25:AV$25,1,AW$4-loan_tenor_ng+1)*AW6/INDEX($C$6:AV$6,1,AW$4-loan_tenor_ng+1),0)</f>
        <v/>
      </c>
      <c r="AX26" s="43">
        <f>IF(AX$4&gt;loan_tenor_ng,loan_repeat_ng*(1-ladder_dpd90_ng)*INDEX($C$25:AW$25,1,AX$4-loan_tenor_ng+1)*AX6/INDEX($C$6:AW$6,1,AX$4-loan_tenor_ng+1),0)</f>
        <v/>
      </c>
      <c r="AY26" s="43">
        <f>IF(AY$4&gt;loan_tenor_ng,loan_repeat_ng*(1-ladder_dpd90_ng)*INDEX($C$25:AX$25,1,AY$4-loan_tenor_ng+1)*AY6/INDEX($C$6:AX$6,1,AY$4-loan_tenor_ng+1),0)</f>
        <v/>
      </c>
      <c r="AZ26" s="43">
        <f>IF(AZ$4&gt;loan_tenor_ng,loan_repeat_ng*(1-ladder_dpd90_ng)*INDEX($C$25:AY$25,1,AZ$4-loan_tenor_ng+1)*AZ6/INDEX($C$6:AY$6,1,AZ$4-loan_tenor_ng+1),0)</f>
        <v/>
      </c>
      <c r="BA26" s="43">
        <f>IF(BA$4&gt;loan_tenor_ng,loan_repeat_ng*(1-ladder_dpd90_ng)*INDEX($C$25:AZ$25,1,BA$4-loan_tenor_ng+1)*BA6/INDEX($C$6:AZ$6,1,BA$4-loan_tenor_ng+1),0)</f>
        <v/>
      </c>
      <c r="BB26" s="43">
        <f>IF(BB$4&gt;loan_tenor_ng,loan_repeat_ng*(1-ladder_dpd90_ng)*INDEX($C$25:BA$25,1,BB$4-loan_tenor_ng+1)*BB6/INDEX($C$6:BA$6,1,BB$4-loan_tenor_ng+1),0)</f>
        <v/>
      </c>
      <c r="BC26" s="43">
        <f>IF(BC$4&gt;loan_tenor_ng,loan_repeat_ng*(1-ladder_dpd90_ng)*INDEX($C$25:BB$25,1,BC$4-loan_tenor_ng+1)*BC6/INDEX($C$6:BB$6,1,BC$4-loan_tenor_ng+1),0)</f>
        <v/>
      </c>
      <c r="BD26" s="43">
        <f>IF(BD$4&gt;loan_tenor_ng,loan_repeat_ng*(1-ladder_dpd90_ng)*INDEX($C$25:BC$25,1,BD$4-loan_tenor_ng+1)*BD6/INDEX($C$6:BC$6,1,BD$4-loan_tenor_ng+1),0)</f>
        <v/>
      </c>
      <c r="BE26" s="43">
        <f>IF(BE$4&gt;loan_tenor_ng,loan_repeat_ng*(1-ladder_dpd90_ng)*INDEX($C$25:BD$25,1,BE$4-loan_tenor_ng+1)*BE6/INDEX($C$6:BD$6,1,BE$4-loan_tenor_ng+1),0)</f>
        <v/>
      </c>
      <c r="BF26" s="43">
        <f>IF(BF$4&gt;loan_tenor_ng,loan_repeat_ng*(1-ladder_dpd90_ng)*INDEX($C$25:BE$25,1,BF$4-loan_tenor_ng+1)*BF6/INDEX($C$6:BE$6,1,BF$4-loan_tenor_ng+1),0)</f>
        <v/>
      </c>
      <c r="BG26" s="43">
        <f>IF(BG$4&gt;loan_tenor_ng,loan_repeat_ng*(1-ladder_dpd90_ng)*INDEX($C$25:BF$25,1,BG$4-loan_tenor_ng+1)*BG6/INDEX($C$6:BF$6,1,BG$4-loan_tenor_ng+1),0)</f>
        <v/>
      </c>
      <c r="BH26" s="43">
        <f>IF(BH$4&gt;loan_tenor_ng,loan_repeat_ng*(1-ladder_dpd90_ng)*INDEX($C$25:BG$25,1,BH$4-loan_tenor_ng+1)*BH6/INDEX($C$6:BG$6,1,BH$4-loan_tenor_ng+1),0)</f>
        <v/>
      </c>
      <c r="BI26" s="43">
        <f>IF(BI$4&gt;loan_tenor_ng,loan_repeat_ng*(1-ladder_dpd90_ng)*INDEX($C$25:BH$25,1,BI$4-loan_tenor_ng+1)*BI6/INDEX($C$6:BH$6,1,BI$4-loan_tenor_ng+1),0)</f>
        <v/>
      </c>
      <c r="BJ26" s="43">
        <f>IF(BJ$4&gt;loan_tenor_ng,loan_repeat_ng*(1-ladder_dpd90_ng)*INDEX($C$25:BI$25,1,BJ$4-loan_tenor_ng+1)*BJ6/INDEX($C$6:BI$6,1,BJ$4-loan_tenor_ng+1),0)</f>
        <v/>
      </c>
      <c r="BK26" s="43">
        <f>IF(BK$4&gt;loan_tenor_ng,loan_repeat_ng*(1-ladder_dpd90_ng)*INDEX($C$25:BJ$25,1,BK$4-loan_tenor_ng+1)*BK6/INDEX($C$6:BJ$6,1,BK$4-loan_tenor_ng+1),0)</f>
        <v/>
      </c>
    </row>
    <row r="27">
      <c r="A27" s="25" t="inlineStr">
        <is>
          <t>Loan 4 (part secured)</t>
        </is>
      </c>
      <c r="B27" s="28" t="inlineStr">
        <is>
          <t>loans</t>
        </is>
      </c>
      <c r="C27" s="42" t="n">
        <v>0</v>
      </c>
      <c r="D27" s="43">
        <f>IF(D$4&gt;loan_tenor_ng,loan_repeat_ng*(1-ladder_dpd90_ng)*INDEX($C$26:C$26,1,D$4-loan_tenor_ng+1)*D6/INDEX($C$6:C$6,1,D$4-loan_tenor_ng+1),0)</f>
        <v/>
      </c>
      <c r="E27" s="43">
        <f>IF(E$4&gt;loan_tenor_ng,loan_repeat_ng*(1-ladder_dpd90_ng)*INDEX($C$26:D$26,1,E$4-loan_tenor_ng+1)*E6/INDEX($C$6:D$6,1,E$4-loan_tenor_ng+1),0)</f>
        <v/>
      </c>
      <c r="F27" s="43">
        <f>IF(F$4&gt;loan_tenor_ng,loan_repeat_ng*(1-ladder_dpd90_ng)*INDEX($C$26:E$26,1,F$4-loan_tenor_ng+1)*F6/INDEX($C$6:E$6,1,F$4-loan_tenor_ng+1),0)</f>
        <v/>
      </c>
      <c r="G27" s="43">
        <f>IF(G$4&gt;loan_tenor_ng,loan_repeat_ng*(1-ladder_dpd90_ng)*INDEX($C$26:F$26,1,G$4-loan_tenor_ng+1)*G6/INDEX($C$6:F$6,1,G$4-loan_tenor_ng+1),0)</f>
        <v/>
      </c>
      <c r="H27" s="43">
        <f>IF(H$4&gt;loan_tenor_ng,loan_repeat_ng*(1-ladder_dpd90_ng)*INDEX($C$26:G$26,1,H$4-loan_tenor_ng+1)*H6/INDEX($C$6:G$6,1,H$4-loan_tenor_ng+1),0)</f>
        <v/>
      </c>
      <c r="I27" s="43">
        <f>IF(I$4&gt;loan_tenor_ng,loan_repeat_ng*(1-ladder_dpd90_ng)*INDEX($C$26:H$26,1,I$4-loan_tenor_ng+1)*I6/INDEX($C$6:H$6,1,I$4-loan_tenor_ng+1),0)</f>
        <v/>
      </c>
      <c r="J27" s="43">
        <f>IF(J$4&gt;loan_tenor_ng,loan_repeat_ng*(1-ladder_dpd90_ng)*INDEX($C$26:I$26,1,J$4-loan_tenor_ng+1)*J6/INDEX($C$6:I$6,1,J$4-loan_tenor_ng+1),0)</f>
        <v/>
      </c>
      <c r="K27" s="43">
        <f>IF(K$4&gt;loan_tenor_ng,loan_repeat_ng*(1-ladder_dpd90_ng)*INDEX($C$26:J$26,1,K$4-loan_tenor_ng+1)*K6/INDEX($C$6:J$6,1,K$4-loan_tenor_ng+1),0)</f>
        <v/>
      </c>
      <c r="L27" s="43">
        <f>IF(L$4&gt;loan_tenor_ng,loan_repeat_ng*(1-ladder_dpd90_ng)*INDEX($C$26:K$26,1,L$4-loan_tenor_ng+1)*L6/INDEX($C$6:K$6,1,L$4-loan_tenor_ng+1),0)</f>
        <v/>
      </c>
      <c r="M27" s="43">
        <f>IF(M$4&gt;loan_tenor_ng,loan_repeat_ng*(1-ladder_dpd90_ng)*INDEX($C$26:L$26,1,M$4-loan_tenor_ng+1)*M6/INDEX($C$6:L$6,1,M$4-loan_tenor_ng+1),0)</f>
        <v/>
      </c>
      <c r="N27" s="43">
        <f>IF(N$4&gt;loan_tenor_ng,loan_repeat_ng*(1-ladder_dpd90_ng)*INDEX($C$26:M$26,1,N$4-loan_tenor_ng+1)*N6/INDEX($C$6:M$6,1,N$4-loan_tenor_ng+1),0)</f>
        <v/>
      </c>
      <c r="O27" s="43">
        <f>IF(O$4&gt;loan_tenor_ng,loan_repeat_ng*(1-ladder_dpd90_ng)*INDEX($C$26:N$26,1,O$4-loan_tenor_ng+1)*O6/INDEX($C$6:N$6,1,O$4-loan_tenor_ng+1),0)</f>
        <v/>
      </c>
      <c r="P27" s="43">
        <f>IF(P$4&gt;loan_tenor_ng,loan_repeat_ng*(1-ladder_dpd90_ng)*INDEX($C$26:O$26,1,P$4-loan_tenor_ng+1)*P6/INDEX($C$6:O$6,1,P$4-loan_tenor_ng+1),0)</f>
        <v/>
      </c>
      <c r="Q27" s="43">
        <f>IF(Q$4&gt;loan_tenor_ng,loan_repeat_ng*(1-ladder_dpd90_ng)*INDEX($C$26:P$26,1,Q$4-loan_tenor_ng+1)*Q6/INDEX($C$6:P$6,1,Q$4-loan_tenor_ng+1),0)</f>
        <v/>
      </c>
      <c r="R27" s="43">
        <f>IF(R$4&gt;loan_tenor_ng,loan_repeat_ng*(1-ladder_dpd90_ng)*INDEX($C$26:Q$26,1,R$4-loan_tenor_ng+1)*R6/INDEX($C$6:Q$6,1,R$4-loan_tenor_ng+1),0)</f>
        <v/>
      </c>
      <c r="S27" s="43">
        <f>IF(S$4&gt;loan_tenor_ng,loan_repeat_ng*(1-ladder_dpd90_ng)*INDEX($C$26:R$26,1,S$4-loan_tenor_ng+1)*S6/INDEX($C$6:R$6,1,S$4-loan_tenor_ng+1),0)</f>
        <v/>
      </c>
      <c r="T27" s="43">
        <f>IF(T$4&gt;loan_tenor_ng,loan_repeat_ng*(1-ladder_dpd90_ng)*INDEX($C$26:S$26,1,T$4-loan_tenor_ng+1)*T6/INDEX($C$6:S$6,1,T$4-loan_tenor_ng+1),0)</f>
        <v/>
      </c>
      <c r="U27" s="43">
        <f>IF(U$4&gt;loan_tenor_ng,loan_repeat_ng*(1-ladder_dpd90_ng)*INDEX($C$26:T$26,1,U$4-loan_tenor_ng+1)*U6/INDEX($C$6:T$6,1,U$4-loan_tenor_ng+1),0)</f>
        <v/>
      </c>
      <c r="V27" s="43">
        <f>IF(V$4&gt;loan_tenor_ng,loan_repeat_ng*(1-ladder_dpd90_ng)*INDEX($C$26:U$26,1,V$4-loan_tenor_ng+1)*V6/INDEX($C$6:U$6,1,V$4-loan_tenor_ng+1),0)</f>
        <v/>
      </c>
      <c r="W27" s="43">
        <f>IF(W$4&gt;loan_tenor_ng,loan_repeat_ng*(1-ladder_dpd90_ng)*INDEX($C$26:V$26,1,W$4-loan_tenor_ng+1)*W6/INDEX($C$6:V$6,1,W$4-loan_tenor_ng+1),0)</f>
        <v/>
      </c>
      <c r="X27" s="43">
        <f>IF(X$4&gt;loan_tenor_ng,loan_repeat_ng*(1-ladder_dpd90_ng)*INDEX($C$26:W$26,1,X$4-loan_tenor_ng+1)*X6/INDEX($C$6:W$6,1,X$4-loan_tenor_ng+1),0)</f>
        <v/>
      </c>
      <c r="Y27" s="43">
        <f>IF(Y$4&gt;loan_tenor_ng,loan_repeat_ng*(1-ladder_dpd90_ng)*INDEX($C$26:X$26,1,Y$4-loan_tenor_ng+1)*Y6/INDEX($C$6:X$6,1,Y$4-loan_tenor_ng+1),0)</f>
        <v/>
      </c>
      <c r="Z27" s="43">
        <f>IF(Z$4&gt;loan_tenor_ng,loan_repeat_ng*(1-ladder_dpd90_ng)*INDEX($C$26:Y$26,1,Z$4-loan_tenor_ng+1)*Z6/INDEX($C$6:Y$6,1,Z$4-loan_tenor_ng+1),0)</f>
        <v/>
      </c>
      <c r="AA27" s="43">
        <f>IF(AA$4&gt;loan_tenor_ng,loan_repeat_ng*(1-ladder_dpd90_ng)*INDEX($C$26:Z$26,1,AA$4-loan_tenor_ng+1)*AA6/INDEX($C$6:Z$6,1,AA$4-loan_tenor_ng+1),0)</f>
        <v/>
      </c>
      <c r="AB27" s="43">
        <f>IF(AB$4&gt;loan_tenor_ng,loan_repeat_ng*(1-ladder_dpd90_ng)*INDEX($C$26:AA$26,1,AB$4-loan_tenor_ng+1)*AB6/INDEX($C$6:AA$6,1,AB$4-loan_tenor_ng+1),0)</f>
        <v/>
      </c>
      <c r="AC27" s="43">
        <f>IF(AC$4&gt;loan_tenor_ng,loan_repeat_ng*(1-ladder_dpd90_ng)*INDEX($C$26:AB$26,1,AC$4-loan_tenor_ng+1)*AC6/INDEX($C$6:AB$6,1,AC$4-loan_tenor_ng+1),0)</f>
        <v/>
      </c>
      <c r="AD27" s="43">
        <f>IF(AD$4&gt;loan_tenor_ng,loan_repeat_ng*(1-ladder_dpd90_ng)*INDEX($C$26:AC$26,1,AD$4-loan_tenor_ng+1)*AD6/INDEX($C$6:AC$6,1,AD$4-loan_tenor_ng+1),0)</f>
        <v/>
      </c>
      <c r="AE27" s="43">
        <f>IF(AE$4&gt;loan_tenor_ng,loan_repeat_ng*(1-ladder_dpd90_ng)*INDEX($C$26:AD$26,1,AE$4-loan_tenor_ng+1)*AE6/INDEX($C$6:AD$6,1,AE$4-loan_tenor_ng+1),0)</f>
        <v/>
      </c>
      <c r="AF27" s="43">
        <f>IF(AF$4&gt;loan_tenor_ng,loan_repeat_ng*(1-ladder_dpd90_ng)*INDEX($C$26:AE$26,1,AF$4-loan_tenor_ng+1)*AF6/INDEX($C$6:AE$6,1,AF$4-loan_tenor_ng+1),0)</f>
        <v/>
      </c>
      <c r="AG27" s="43">
        <f>IF(AG$4&gt;loan_tenor_ng,loan_repeat_ng*(1-ladder_dpd90_ng)*INDEX($C$26:AF$26,1,AG$4-loan_tenor_ng+1)*AG6/INDEX($C$6:AF$6,1,AG$4-loan_tenor_ng+1),0)</f>
        <v/>
      </c>
      <c r="AH27" s="43">
        <f>IF(AH$4&gt;loan_tenor_ng,loan_repeat_ng*(1-ladder_dpd90_ng)*INDEX($C$26:AG$26,1,AH$4-loan_tenor_ng+1)*AH6/INDEX($C$6:AG$6,1,AH$4-loan_tenor_ng+1),0)</f>
        <v/>
      </c>
      <c r="AI27" s="43">
        <f>IF(AI$4&gt;loan_tenor_ng,loan_repeat_ng*(1-ladder_dpd90_ng)*INDEX($C$26:AH$26,1,AI$4-loan_tenor_ng+1)*AI6/INDEX($C$6:AH$6,1,AI$4-loan_tenor_ng+1),0)</f>
        <v/>
      </c>
      <c r="AJ27" s="43">
        <f>IF(AJ$4&gt;loan_tenor_ng,loan_repeat_ng*(1-ladder_dpd90_ng)*INDEX($C$26:AI$26,1,AJ$4-loan_tenor_ng+1)*AJ6/INDEX($C$6:AI$6,1,AJ$4-loan_tenor_ng+1),0)</f>
        <v/>
      </c>
      <c r="AK27" s="43">
        <f>IF(AK$4&gt;loan_tenor_ng,loan_repeat_ng*(1-ladder_dpd90_ng)*INDEX($C$26:AJ$26,1,AK$4-loan_tenor_ng+1)*AK6/INDEX($C$6:AJ$6,1,AK$4-loan_tenor_ng+1),0)</f>
        <v/>
      </c>
      <c r="AL27" s="43">
        <f>IF(AL$4&gt;loan_tenor_ng,loan_repeat_ng*(1-ladder_dpd90_ng)*INDEX($C$26:AK$26,1,AL$4-loan_tenor_ng+1)*AL6/INDEX($C$6:AK$6,1,AL$4-loan_tenor_ng+1),0)</f>
        <v/>
      </c>
      <c r="AM27" s="43">
        <f>IF(AM$4&gt;loan_tenor_ng,loan_repeat_ng*(1-ladder_dpd90_ng)*INDEX($C$26:AL$26,1,AM$4-loan_tenor_ng+1)*AM6/INDEX($C$6:AL$6,1,AM$4-loan_tenor_ng+1),0)</f>
        <v/>
      </c>
      <c r="AN27" s="43">
        <f>IF(AN$4&gt;loan_tenor_ng,loan_repeat_ng*(1-ladder_dpd90_ng)*INDEX($C$26:AM$26,1,AN$4-loan_tenor_ng+1)*AN6/INDEX($C$6:AM$6,1,AN$4-loan_tenor_ng+1),0)</f>
        <v/>
      </c>
      <c r="AO27" s="43">
        <f>IF(AO$4&gt;loan_tenor_ng,loan_repeat_ng*(1-ladder_dpd90_ng)*INDEX($C$26:AN$26,1,AO$4-loan_tenor_ng+1)*AO6/INDEX($C$6:AN$6,1,AO$4-loan_tenor_ng+1),0)</f>
        <v/>
      </c>
      <c r="AP27" s="43">
        <f>IF(AP$4&gt;loan_tenor_ng,loan_repeat_ng*(1-ladder_dpd90_ng)*INDEX($C$26:AO$26,1,AP$4-loan_tenor_ng+1)*AP6/INDEX($C$6:AO$6,1,AP$4-loan_tenor_ng+1),0)</f>
        <v/>
      </c>
      <c r="AQ27" s="43">
        <f>IF(AQ$4&gt;loan_tenor_ng,loan_repeat_ng*(1-ladder_dpd90_ng)*INDEX($C$26:AP$26,1,AQ$4-loan_tenor_ng+1)*AQ6/INDEX($C$6:AP$6,1,AQ$4-loan_tenor_ng+1),0)</f>
        <v/>
      </c>
      <c r="AR27" s="43">
        <f>IF(AR$4&gt;loan_tenor_ng,loan_repeat_ng*(1-ladder_dpd90_ng)*INDEX($C$26:AQ$26,1,AR$4-loan_tenor_ng+1)*AR6/INDEX($C$6:AQ$6,1,AR$4-loan_tenor_ng+1),0)</f>
        <v/>
      </c>
      <c r="AS27" s="43">
        <f>IF(AS$4&gt;loan_tenor_ng,loan_repeat_ng*(1-ladder_dpd90_ng)*INDEX($C$26:AR$26,1,AS$4-loan_tenor_ng+1)*AS6/INDEX($C$6:AR$6,1,AS$4-loan_tenor_ng+1),0)</f>
        <v/>
      </c>
      <c r="AT27" s="43">
        <f>IF(AT$4&gt;loan_tenor_ng,loan_repeat_ng*(1-ladder_dpd90_ng)*INDEX($C$26:AS$26,1,AT$4-loan_tenor_ng+1)*AT6/INDEX($C$6:AS$6,1,AT$4-loan_tenor_ng+1),0)</f>
        <v/>
      </c>
      <c r="AU27" s="43">
        <f>IF(AU$4&gt;loan_tenor_ng,loan_repeat_ng*(1-ladder_dpd90_ng)*INDEX($C$26:AT$26,1,AU$4-loan_tenor_ng+1)*AU6/INDEX($C$6:AT$6,1,AU$4-loan_tenor_ng+1),0)</f>
        <v/>
      </c>
      <c r="AV27" s="43">
        <f>IF(AV$4&gt;loan_tenor_ng,loan_repeat_ng*(1-ladder_dpd90_ng)*INDEX($C$26:AU$26,1,AV$4-loan_tenor_ng+1)*AV6/INDEX($C$6:AU$6,1,AV$4-loan_tenor_ng+1),0)</f>
        <v/>
      </c>
      <c r="AW27" s="43">
        <f>IF(AW$4&gt;loan_tenor_ng,loan_repeat_ng*(1-ladder_dpd90_ng)*INDEX($C$26:AV$26,1,AW$4-loan_tenor_ng+1)*AW6/INDEX($C$6:AV$6,1,AW$4-loan_tenor_ng+1),0)</f>
        <v/>
      </c>
      <c r="AX27" s="43">
        <f>IF(AX$4&gt;loan_tenor_ng,loan_repeat_ng*(1-ladder_dpd90_ng)*INDEX($C$26:AW$26,1,AX$4-loan_tenor_ng+1)*AX6/INDEX($C$6:AW$6,1,AX$4-loan_tenor_ng+1),0)</f>
        <v/>
      </c>
      <c r="AY27" s="43">
        <f>IF(AY$4&gt;loan_tenor_ng,loan_repeat_ng*(1-ladder_dpd90_ng)*INDEX($C$26:AX$26,1,AY$4-loan_tenor_ng+1)*AY6/INDEX($C$6:AX$6,1,AY$4-loan_tenor_ng+1),0)</f>
        <v/>
      </c>
      <c r="AZ27" s="43">
        <f>IF(AZ$4&gt;loan_tenor_ng,loan_repeat_ng*(1-ladder_dpd90_ng)*INDEX($C$26:AY$26,1,AZ$4-loan_tenor_ng+1)*AZ6/INDEX($C$6:AY$6,1,AZ$4-loan_tenor_ng+1),0)</f>
        <v/>
      </c>
      <c r="BA27" s="43">
        <f>IF(BA$4&gt;loan_tenor_ng,loan_repeat_ng*(1-ladder_dpd90_ng)*INDEX($C$26:AZ$26,1,BA$4-loan_tenor_ng+1)*BA6/INDEX($C$6:AZ$6,1,BA$4-loan_tenor_ng+1),0)</f>
        <v/>
      </c>
      <c r="BB27" s="43">
        <f>IF(BB$4&gt;loan_tenor_ng,loan_repeat_ng*(1-ladder_dpd90_ng)*INDEX($C$26:BA$26,1,BB$4-loan_tenor_ng+1)*BB6/INDEX($C$6:BA$6,1,BB$4-loan_tenor_ng+1),0)</f>
        <v/>
      </c>
      <c r="BC27" s="43">
        <f>IF(BC$4&gt;loan_tenor_ng,loan_repeat_ng*(1-ladder_dpd90_ng)*INDEX($C$26:BB$26,1,BC$4-loan_tenor_ng+1)*BC6/INDEX($C$6:BB$6,1,BC$4-loan_tenor_ng+1),0)</f>
        <v/>
      </c>
      <c r="BD27" s="43">
        <f>IF(BD$4&gt;loan_tenor_ng,loan_repeat_ng*(1-ladder_dpd90_ng)*INDEX($C$26:BC$26,1,BD$4-loan_tenor_ng+1)*BD6/INDEX($C$6:BC$6,1,BD$4-loan_tenor_ng+1),0)</f>
        <v/>
      </c>
      <c r="BE27" s="43">
        <f>IF(BE$4&gt;loan_tenor_ng,loan_repeat_ng*(1-ladder_dpd90_ng)*INDEX($C$26:BD$26,1,BE$4-loan_tenor_ng+1)*BE6/INDEX($C$6:BD$6,1,BE$4-loan_tenor_ng+1),0)</f>
        <v/>
      </c>
      <c r="BF27" s="43">
        <f>IF(BF$4&gt;loan_tenor_ng,loan_repeat_ng*(1-ladder_dpd90_ng)*INDEX($C$26:BE$26,1,BF$4-loan_tenor_ng+1)*BF6/INDEX($C$6:BE$6,1,BF$4-loan_tenor_ng+1),0)</f>
        <v/>
      </c>
      <c r="BG27" s="43">
        <f>IF(BG$4&gt;loan_tenor_ng,loan_repeat_ng*(1-ladder_dpd90_ng)*INDEX($C$26:BF$26,1,BG$4-loan_tenor_ng+1)*BG6/INDEX($C$6:BF$6,1,BG$4-loan_tenor_ng+1),0)</f>
        <v/>
      </c>
      <c r="BH27" s="43">
        <f>IF(BH$4&gt;loan_tenor_ng,loan_repeat_ng*(1-ladder_dpd90_ng)*INDEX($C$26:BG$26,1,BH$4-loan_tenor_ng+1)*BH6/INDEX($C$6:BG$6,1,BH$4-loan_tenor_ng+1),0)</f>
        <v/>
      </c>
      <c r="BI27" s="43">
        <f>IF(BI$4&gt;loan_tenor_ng,loan_repeat_ng*(1-ladder_dpd90_ng)*INDEX($C$26:BH$26,1,BI$4-loan_tenor_ng+1)*BI6/INDEX($C$6:BH$6,1,BI$4-loan_tenor_ng+1),0)</f>
        <v/>
      </c>
      <c r="BJ27" s="43">
        <f>IF(BJ$4&gt;loan_tenor_ng,loan_repeat_ng*(1-ladder_dpd90_ng)*INDEX($C$26:BI$26,1,BJ$4-loan_tenor_ng+1)*BJ6/INDEX($C$6:BI$6,1,BJ$4-loan_tenor_ng+1),0)</f>
        <v/>
      </c>
      <c r="BK27" s="43">
        <f>IF(BK$4&gt;loan_tenor_ng,loan_repeat_ng*(1-ladder_dpd90_ng)*INDEX($C$26:BJ$26,1,BK$4-loan_tenor_ng+1)*BK6/INDEX($C$6:BJ$6,1,BK$4-loan_tenor_ng+1),0)</f>
        <v/>
      </c>
    </row>
    <row r="28">
      <c r="A28" s="25" t="inlineStr">
        <is>
          <t>…first unsecured loans (loan 5)</t>
        </is>
      </c>
      <c r="B28" s="28" t="inlineStr">
        <is>
          <t>loans</t>
        </is>
      </c>
      <c r="C28" s="42" t="n">
        <v>0</v>
      </c>
      <c r="D28" s="43">
        <f>IF(D$4&gt;loan_tenor_ng,loan_repeat_ng*(1-ladder_dpd90_ng)*INDEX($C$27:C$27,1,D$4-loan_tenor_ng+1)*D6/INDEX($C$6:C$6,1,D$4-loan_tenor_ng+1),0)</f>
        <v/>
      </c>
      <c r="E28" s="43">
        <f>IF(E$4&gt;loan_tenor_ng,loan_repeat_ng*(1-ladder_dpd90_ng)*INDEX($C$27:D$27,1,E$4-loan_tenor_ng+1)*E6/INDEX($C$6:D$6,1,E$4-loan_tenor_ng+1),0)</f>
        <v/>
      </c>
      <c r="F28" s="43">
        <f>IF(F$4&gt;loan_tenor_ng,loan_repeat_ng*(1-ladder_dpd90_ng)*INDEX($C$27:E$27,1,F$4-loan_tenor_ng+1)*F6/INDEX($C$6:E$6,1,F$4-loan_tenor_ng+1),0)</f>
        <v/>
      </c>
      <c r="G28" s="43">
        <f>IF(G$4&gt;loan_tenor_ng,loan_repeat_ng*(1-ladder_dpd90_ng)*INDEX($C$27:F$27,1,G$4-loan_tenor_ng+1)*G6/INDEX($C$6:F$6,1,G$4-loan_tenor_ng+1),0)</f>
        <v/>
      </c>
      <c r="H28" s="43">
        <f>IF(H$4&gt;loan_tenor_ng,loan_repeat_ng*(1-ladder_dpd90_ng)*INDEX($C$27:G$27,1,H$4-loan_tenor_ng+1)*H6/INDEX($C$6:G$6,1,H$4-loan_tenor_ng+1),0)</f>
        <v/>
      </c>
      <c r="I28" s="43">
        <f>IF(I$4&gt;loan_tenor_ng,loan_repeat_ng*(1-ladder_dpd90_ng)*INDEX($C$27:H$27,1,I$4-loan_tenor_ng+1)*I6/INDEX($C$6:H$6,1,I$4-loan_tenor_ng+1),0)</f>
        <v/>
      </c>
      <c r="J28" s="43">
        <f>IF(J$4&gt;loan_tenor_ng,loan_repeat_ng*(1-ladder_dpd90_ng)*INDEX($C$27:I$27,1,J$4-loan_tenor_ng+1)*J6/INDEX($C$6:I$6,1,J$4-loan_tenor_ng+1),0)</f>
        <v/>
      </c>
      <c r="K28" s="43">
        <f>IF(K$4&gt;loan_tenor_ng,loan_repeat_ng*(1-ladder_dpd90_ng)*INDEX($C$27:J$27,1,K$4-loan_tenor_ng+1)*K6/INDEX($C$6:J$6,1,K$4-loan_tenor_ng+1),0)</f>
        <v/>
      </c>
      <c r="L28" s="43">
        <f>IF(L$4&gt;loan_tenor_ng,loan_repeat_ng*(1-ladder_dpd90_ng)*INDEX($C$27:K$27,1,L$4-loan_tenor_ng+1)*L6/INDEX($C$6:K$6,1,L$4-loan_tenor_ng+1),0)</f>
        <v/>
      </c>
      <c r="M28" s="43">
        <f>IF(M$4&gt;loan_tenor_ng,loan_repeat_ng*(1-ladder_dpd90_ng)*INDEX($C$27:L$27,1,M$4-loan_tenor_ng+1)*M6/INDEX($C$6:L$6,1,M$4-loan_tenor_ng+1),0)</f>
        <v/>
      </c>
      <c r="N28" s="43">
        <f>IF(N$4&gt;loan_tenor_ng,loan_repeat_ng*(1-ladder_dpd90_ng)*INDEX($C$27:M$27,1,N$4-loan_tenor_ng+1)*N6/INDEX($C$6:M$6,1,N$4-loan_tenor_ng+1),0)</f>
        <v/>
      </c>
      <c r="O28" s="43">
        <f>IF(O$4&gt;loan_tenor_ng,loan_repeat_ng*(1-ladder_dpd90_ng)*INDEX($C$27:N$27,1,O$4-loan_tenor_ng+1)*O6/INDEX($C$6:N$6,1,O$4-loan_tenor_ng+1),0)</f>
        <v/>
      </c>
      <c r="P28" s="43">
        <f>IF(P$4&gt;loan_tenor_ng,loan_repeat_ng*(1-ladder_dpd90_ng)*INDEX($C$27:O$27,1,P$4-loan_tenor_ng+1)*P6/INDEX($C$6:O$6,1,P$4-loan_tenor_ng+1),0)</f>
        <v/>
      </c>
      <c r="Q28" s="43">
        <f>IF(Q$4&gt;loan_tenor_ng,loan_repeat_ng*(1-ladder_dpd90_ng)*INDEX($C$27:P$27,1,Q$4-loan_tenor_ng+1)*Q6/INDEX($C$6:P$6,1,Q$4-loan_tenor_ng+1),0)</f>
        <v/>
      </c>
      <c r="R28" s="43">
        <f>IF(R$4&gt;loan_tenor_ng,loan_repeat_ng*(1-ladder_dpd90_ng)*INDEX($C$27:Q$27,1,R$4-loan_tenor_ng+1)*R6/INDEX($C$6:Q$6,1,R$4-loan_tenor_ng+1),0)</f>
        <v/>
      </c>
      <c r="S28" s="43">
        <f>IF(S$4&gt;loan_tenor_ng,loan_repeat_ng*(1-ladder_dpd90_ng)*INDEX($C$27:R$27,1,S$4-loan_tenor_ng+1)*S6/INDEX($C$6:R$6,1,S$4-loan_tenor_ng+1),0)</f>
        <v/>
      </c>
      <c r="T28" s="43">
        <f>IF(T$4&gt;loan_tenor_ng,loan_repeat_ng*(1-ladder_dpd90_ng)*INDEX($C$27:S$27,1,T$4-loan_tenor_ng+1)*T6/INDEX($C$6:S$6,1,T$4-loan_tenor_ng+1),0)</f>
        <v/>
      </c>
      <c r="U28" s="43">
        <f>IF(U$4&gt;loan_tenor_ng,loan_repeat_ng*(1-ladder_dpd90_ng)*INDEX($C$27:T$27,1,U$4-loan_tenor_ng+1)*U6/INDEX($C$6:T$6,1,U$4-loan_tenor_ng+1),0)</f>
        <v/>
      </c>
      <c r="V28" s="43">
        <f>IF(V$4&gt;loan_tenor_ng,loan_repeat_ng*(1-ladder_dpd90_ng)*INDEX($C$27:U$27,1,V$4-loan_tenor_ng+1)*V6/INDEX($C$6:U$6,1,V$4-loan_tenor_ng+1),0)</f>
        <v/>
      </c>
      <c r="W28" s="43">
        <f>IF(W$4&gt;loan_tenor_ng,loan_repeat_ng*(1-ladder_dpd90_ng)*INDEX($C$27:V$27,1,W$4-loan_tenor_ng+1)*W6/INDEX($C$6:V$6,1,W$4-loan_tenor_ng+1),0)</f>
        <v/>
      </c>
      <c r="X28" s="43">
        <f>IF(X$4&gt;loan_tenor_ng,loan_repeat_ng*(1-ladder_dpd90_ng)*INDEX($C$27:W$27,1,X$4-loan_tenor_ng+1)*X6/INDEX($C$6:W$6,1,X$4-loan_tenor_ng+1),0)</f>
        <v/>
      </c>
      <c r="Y28" s="43">
        <f>IF(Y$4&gt;loan_tenor_ng,loan_repeat_ng*(1-ladder_dpd90_ng)*INDEX($C$27:X$27,1,Y$4-loan_tenor_ng+1)*Y6/INDEX($C$6:X$6,1,Y$4-loan_tenor_ng+1),0)</f>
        <v/>
      </c>
      <c r="Z28" s="43">
        <f>IF(Z$4&gt;loan_tenor_ng,loan_repeat_ng*(1-ladder_dpd90_ng)*INDEX($C$27:Y$27,1,Z$4-loan_tenor_ng+1)*Z6/INDEX($C$6:Y$6,1,Z$4-loan_tenor_ng+1),0)</f>
        <v/>
      </c>
      <c r="AA28" s="43">
        <f>IF(AA$4&gt;loan_tenor_ng,loan_repeat_ng*(1-ladder_dpd90_ng)*INDEX($C$27:Z$27,1,AA$4-loan_tenor_ng+1)*AA6/INDEX($C$6:Z$6,1,AA$4-loan_tenor_ng+1),0)</f>
        <v/>
      </c>
      <c r="AB28" s="43">
        <f>IF(AB$4&gt;loan_tenor_ng,loan_repeat_ng*(1-ladder_dpd90_ng)*INDEX($C$27:AA$27,1,AB$4-loan_tenor_ng+1)*AB6/INDEX($C$6:AA$6,1,AB$4-loan_tenor_ng+1),0)</f>
        <v/>
      </c>
      <c r="AC28" s="43">
        <f>IF(AC$4&gt;loan_tenor_ng,loan_repeat_ng*(1-ladder_dpd90_ng)*INDEX($C$27:AB$27,1,AC$4-loan_tenor_ng+1)*AC6/INDEX($C$6:AB$6,1,AC$4-loan_tenor_ng+1),0)</f>
        <v/>
      </c>
      <c r="AD28" s="43">
        <f>IF(AD$4&gt;loan_tenor_ng,loan_repeat_ng*(1-ladder_dpd90_ng)*INDEX($C$27:AC$27,1,AD$4-loan_tenor_ng+1)*AD6/INDEX($C$6:AC$6,1,AD$4-loan_tenor_ng+1),0)</f>
        <v/>
      </c>
      <c r="AE28" s="43">
        <f>IF(AE$4&gt;loan_tenor_ng,loan_repeat_ng*(1-ladder_dpd90_ng)*INDEX($C$27:AD$27,1,AE$4-loan_tenor_ng+1)*AE6/INDEX($C$6:AD$6,1,AE$4-loan_tenor_ng+1),0)</f>
        <v/>
      </c>
      <c r="AF28" s="43">
        <f>IF(AF$4&gt;loan_tenor_ng,loan_repeat_ng*(1-ladder_dpd90_ng)*INDEX($C$27:AE$27,1,AF$4-loan_tenor_ng+1)*AF6/INDEX($C$6:AE$6,1,AF$4-loan_tenor_ng+1),0)</f>
        <v/>
      </c>
      <c r="AG28" s="43">
        <f>IF(AG$4&gt;loan_tenor_ng,loan_repeat_ng*(1-ladder_dpd90_ng)*INDEX($C$27:AF$27,1,AG$4-loan_tenor_ng+1)*AG6/INDEX($C$6:AF$6,1,AG$4-loan_tenor_ng+1),0)</f>
        <v/>
      </c>
      <c r="AH28" s="43">
        <f>IF(AH$4&gt;loan_tenor_ng,loan_repeat_ng*(1-ladder_dpd90_ng)*INDEX($C$27:AG$27,1,AH$4-loan_tenor_ng+1)*AH6/INDEX($C$6:AG$6,1,AH$4-loan_tenor_ng+1),0)</f>
        <v/>
      </c>
      <c r="AI28" s="43">
        <f>IF(AI$4&gt;loan_tenor_ng,loan_repeat_ng*(1-ladder_dpd90_ng)*INDEX($C$27:AH$27,1,AI$4-loan_tenor_ng+1)*AI6/INDEX($C$6:AH$6,1,AI$4-loan_tenor_ng+1),0)</f>
        <v/>
      </c>
      <c r="AJ28" s="43">
        <f>IF(AJ$4&gt;loan_tenor_ng,loan_repeat_ng*(1-ladder_dpd90_ng)*INDEX($C$27:AI$27,1,AJ$4-loan_tenor_ng+1)*AJ6/INDEX($C$6:AI$6,1,AJ$4-loan_tenor_ng+1),0)</f>
        <v/>
      </c>
      <c r="AK28" s="43">
        <f>IF(AK$4&gt;loan_tenor_ng,loan_repeat_ng*(1-ladder_dpd90_ng)*INDEX($C$27:AJ$27,1,AK$4-loan_tenor_ng+1)*AK6/INDEX($C$6:AJ$6,1,AK$4-loan_tenor_ng+1),0)</f>
        <v/>
      </c>
      <c r="AL28" s="43">
        <f>IF(AL$4&gt;loan_tenor_ng,loan_repeat_ng*(1-ladder_dpd90_ng)*INDEX($C$27:AK$27,1,AL$4-loan_tenor_ng+1)*AL6/INDEX($C$6:AK$6,1,AL$4-loan_tenor_ng+1),0)</f>
        <v/>
      </c>
      <c r="AM28" s="43">
        <f>IF(AM$4&gt;loan_tenor_ng,loan_repeat_ng*(1-ladder_dpd90_ng)*INDEX($C$27:AL$27,1,AM$4-loan_tenor_ng+1)*AM6/INDEX($C$6:AL$6,1,AM$4-loan_tenor_ng+1),0)</f>
        <v/>
      </c>
      <c r="AN28" s="43">
        <f>IF(AN$4&gt;loan_tenor_ng,loan_repeat_ng*(1-ladder_dpd90_ng)*INDEX($C$27:AM$27,1,AN$4-loan_tenor_ng+1)*AN6/INDEX($C$6:AM$6,1,AN$4-loan_tenor_ng+1),0)</f>
        <v/>
      </c>
      <c r="AO28" s="43">
        <f>IF(AO$4&gt;loan_tenor_ng,loan_repeat_ng*(1-ladder_dpd90_ng)*INDEX($C$27:AN$27,1,AO$4-loan_tenor_ng+1)*AO6/INDEX($C$6:AN$6,1,AO$4-loan_tenor_ng+1),0)</f>
        <v/>
      </c>
      <c r="AP28" s="43">
        <f>IF(AP$4&gt;loan_tenor_ng,loan_repeat_ng*(1-ladder_dpd90_ng)*INDEX($C$27:AO$27,1,AP$4-loan_tenor_ng+1)*AP6/INDEX($C$6:AO$6,1,AP$4-loan_tenor_ng+1),0)</f>
        <v/>
      </c>
      <c r="AQ28" s="43">
        <f>IF(AQ$4&gt;loan_tenor_ng,loan_repeat_ng*(1-ladder_dpd90_ng)*INDEX($C$27:AP$27,1,AQ$4-loan_tenor_ng+1)*AQ6/INDEX($C$6:AP$6,1,AQ$4-loan_tenor_ng+1),0)</f>
        <v/>
      </c>
      <c r="AR28" s="43">
        <f>IF(AR$4&gt;loan_tenor_ng,loan_repeat_ng*(1-ladder_dpd90_ng)*INDEX($C$27:AQ$27,1,AR$4-loan_tenor_ng+1)*AR6/INDEX($C$6:AQ$6,1,AR$4-loan_tenor_ng+1),0)</f>
        <v/>
      </c>
      <c r="AS28" s="43">
        <f>IF(AS$4&gt;loan_tenor_ng,loan_repeat_ng*(1-ladder_dpd90_ng)*INDEX($C$27:AR$27,1,AS$4-loan_tenor_ng+1)*AS6/INDEX($C$6:AR$6,1,AS$4-loan_tenor_ng+1),0)</f>
        <v/>
      </c>
      <c r="AT28" s="43">
        <f>IF(AT$4&gt;loan_tenor_ng,loan_repeat_ng*(1-ladder_dpd90_ng)*INDEX($C$27:AS$27,1,AT$4-loan_tenor_ng+1)*AT6/INDEX($C$6:AS$6,1,AT$4-loan_tenor_ng+1),0)</f>
        <v/>
      </c>
      <c r="AU28" s="43">
        <f>IF(AU$4&gt;loan_tenor_ng,loan_repeat_ng*(1-ladder_dpd90_ng)*INDEX($C$27:AT$27,1,AU$4-loan_tenor_ng+1)*AU6/INDEX($C$6:AT$6,1,AU$4-loan_tenor_ng+1),0)</f>
        <v/>
      </c>
      <c r="AV28" s="43">
        <f>IF(AV$4&gt;loan_tenor_ng,loan_repeat_ng*(1-ladder_dpd90_ng)*INDEX($C$27:AU$27,1,AV$4-loan_tenor_ng+1)*AV6/INDEX($C$6:AU$6,1,AV$4-loan_tenor_ng+1),0)</f>
        <v/>
      </c>
      <c r="AW28" s="43">
        <f>IF(AW$4&gt;loan_tenor_ng,loan_repeat_ng*(1-ladder_dpd90_ng)*INDEX($C$27:AV$27,1,AW$4-loan_tenor_ng+1)*AW6/INDEX($C$6:AV$6,1,AW$4-loan_tenor_ng+1),0)</f>
        <v/>
      </c>
      <c r="AX28" s="43">
        <f>IF(AX$4&gt;loan_tenor_ng,loan_repeat_ng*(1-ladder_dpd90_ng)*INDEX($C$27:AW$27,1,AX$4-loan_tenor_ng+1)*AX6/INDEX($C$6:AW$6,1,AX$4-loan_tenor_ng+1),0)</f>
        <v/>
      </c>
      <c r="AY28" s="43">
        <f>IF(AY$4&gt;loan_tenor_ng,loan_repeat_ng*(1-ladder_dpd90_ng)*INDEX($C$27:AX$27,1,AY$4-loan_tenor_ng+1)*AY6/INDEX($C$6:AX$6,1,AY$4-loan_tenor_ng+1),0)</f>
        <v/>
      </c>
      <c r="AZ28" s="43">
        <f>IF(AZ$4&gt;loan_tenor_ng,loan_repeat_ng*(1-ladder_dpd90_ng)*INDEX($C$27:AY$27,1,AZ$4-loan_tenor_ng+1)*AZ6/INDEX($C$6:AY$6,1,AZ$4-loan_tenor_ng+1),0)</f>
        <v/>
      </c>
      <c r="BA28" s="43">
        <f>IF(BA$4&gt;loan_tenor_ng,loan_repeat_ng*(1-ladder_dpd90_ng)*INDEX($C$27:AZ$27,1,BA$4-loan_tenor_ng+1)*BA6/INDEX($C$6:AZ$6,1,BA$4-loan_tenor_ng+1),0)</f>
        <v/>
      </c>
      <c r="BB28" s="43">
        <f>IF(BB$4&gt;loan_tenor_ng,loan_repeat_ng*(1-ladder_dpd90_ng)*INDEX($C$27:BA$27,1,BB$4-loan_tenor_ng+1)*BB6/INDEX($C$6:BA$6,1,BB$4-loan_tenor_ng+1),0)</f>
        <v/>
      </c>
      <c r="BC28" s="43">
        <f>IF(BC$4&gt;loan_tenor_ng,loan_repeat_ng*(1-ladder_dpd90_ng)*INDEX($C$27:BB$27,1,BC$4-loan_tenor_ng+1)*BC6/INDEX($C$6:BB$6,1,BC$4-loan_tenor_ng+1),0)</f>
        <v/>
      </c>
      <c r="BD28" s="43">
        <f>IF(BD$4&gt;loan_tenor_ng,loan_repeat_ng*(1-ladder_dpd90_ng)*INDEX($C$27:BC$27,1,BD$4-loan_tenor_ng+1)*BD6/INDEX($C$6:BC$6,1,BD$4-loan_tenor_ng+1),0)</f>
        <v/>
      </c>
      <c r="BE28" s="43">
        <f>IF(BE$4&gt;loan_tenor_ng,loan_repeat_ng*(1-ladder_dpd90_ng)*INDEX($C$27:BD$27,1,BE$4-loan_tenor_ng+1)*BE6/INDEX($C$6:BD$6,1,BE$4-loan_tenor_ng+1),0)</f>
        <v/>
      </c>
      <c r="BF28" s="43">
        <f>IF(BF$4&gt;loan_tenor_ng,loan_repeat_ng*(1-ladder_dpd90_ng)*INDEX($C$27:BE$27,1,BF$4-loan_tenor_ng+1)*BF6/INDEX($C$6:BE$6,1,BF$4-loan_tenor_ng+1),0)</f>
        <v/>
      </c>
      <c r="BG28" s="43">
        <f>IF(BG$4&gt;loan_tenor_ng,loan_repeat_ng*(1-ladder_dpd90_ng)*INDEX($C$27:BF$27,1,BG$4-loan_tenor_ng+1)*BG6/INDEX($C$6:BF$6,1,BG$4-loan_tenor_ng+1),0)</f>
        <v/>
      </c>
      <c r="BH28" s="43">
        <f>IF(BH$4&gt;loan_tenor_ng,loan_repeat_ng*(1-ladder_dpd90_ng)*INDEX($C$27:BG$27,1,BH$4-loan_tenor_ng+1)*BH6/INDEX($C$6:BG$6,1,BH$4-loan_tenor_ng+1),0)</f>
        <v/>
      </c>
      <c r="BI28" s="43">
        <f>IF(BI$4&gt;loan_tenor_ng,loan_repeat_ng*(1-ladder_dpd90_ng)*INDEX($C$27:BH$27,1,BI$4-loan_tenor_ng+1)*BI6/INDEX($C$6:BH$6,1,BI$4-loan_tenor_ng+1),0)</f>
        <v/>
      </c>
      <c r="BJ28" s="43">
        <f>IF(BJ$4&gt;loan_tenor_ng,loan_repeat_ng*(1-ladder_dpd90_ng)*INDEX($C$27:BI$27,1,BJ$4-loan_tenor_ng+1)*BJ6/INDEX($C$6:BI$6,1,BJ$4-loan_tenor_ng+1),0)</f>
        <v/>
      </c>
      <c r="BK28" s="43">
        <f>IF(BK$4&gt;loan_tenor_ng,loan_repeat_ng*(1-ladder_dpd90_ng)*INDEX($C$27:BJ$27,1,BK$4-loan_tenor_ng+1)*BK6/INDEX($C$6:BJ$6,1,BK$4-loan_tenor_ng+1),0)</f>
        <v/>
      </c>
    </row>
    <row r="29">
      <c r="A29" s="25" t="inlineStr">
        <is>
          <t>Loans 5+ (unsecured)</t>
        </is>
      </c>
      <c r="B29" s="28" t="inlineStr">
        <is>
          <t>loans</t>
        </is>
      </c>
      <c r="C29" s="42" t="n">
        <v>0</v>
      </c>
      <c r="D29" s="43">
        <f>IF(D$4&gt;loan_tenor_ng,D28+loan_repeat_ng*(1-ladder_dpd90_ng)*INDEX($C$29:C$29,1,D$4-loan_tenor_ng+1)*D6/INDEX($C$6:C$6,1,D$4-loan_tenor_ng+1),0)</f>
        <v/>
      </c>
      <c r="E29" s="43">
        <f>IF(E$4&gt;loan_tenor_ng,E28+loan_repeat_ng*(1-ladder_dpd90_ng)*INDEX($C$29:D$29,1,E$4-loan_tenor_ng+1)*E6/INDEX($C$6:D$6,1,E$4-loan_tenor_ng+1),0)</f>
        <v/>
      </c>
      <c r="F29" s="43">
        <f>IF(F$4&gt;loan_tenor_ng,F28+loan_repeat_ng*(1-ladder_dpd90_ng)*INDEX($C$29:E$29,1,F$4-loan_tenor_ng+1)*F6/INDEX($C$6:E$6,1,F$4-loan_tenor_ng+1),0)</f>
        <v/>
      </c>
      <c r="G29" s="43">
        <f>IF(G$4&gt;loan_tenor_ng,G28+loan_repeat_ng*(1-ladder_dpd90_ng)*INDEX($C$29:F$29,1,G$4-loan_tenor_ng+1)*G6/INDEX($C$6:F$6,1,G$4-loan_tenor_ng+1),0)</f>
        <v/>
      </c>
      <c r="H29" s="43">
        <f>IF(H$4&gt;loan_tenor_ng,H28+loan_repeat_ng*(1-ladder_dpd90_ng)*INDEX($C$29:G$29,1,H$4-loan_tenor_ng+1)*H6/INDEX($C$6:G$6,1,H$4-loan_tenor_ng+1),0)</f>
        <v/>
      </c>
      <c r="I29" s="43">
        <f>IF(I$4&gt;loan_tenor_ng,I28+loan_repeat_ng*(1-ladder_dpd90_ng)*INDEX($C$29:H$29,1,I$4-loan_tenor_ng+1)*I6/INDEX($C$6:H$6,1,I$4-loan_tenor_ng+1),0)</f>
        <v/>
      </c>
      <c r="J29" s="43">
        <f>IF(J$4&gt;loan_tenor_ng,J28+loan_repeat_ng*(1-ladder_dpd90_ng)*INDEX($C$29:I$29,1,J$4-loan_tenor_ng+1)*J6/INDEX($C$6:I$6,1,J$4-loan_tenor_ng+1),0)</f>
        <v/>
      </c>
      <c r="K29" s="43">
        <f>IF(K$4&gt;loan_tenor_ng,K28+loan_repeat_ng*(1-ladder_dpd90_ng)*INDEX($C$29:J$29,1,K$4-loan_tenor_ng+1)*K6/INDEX($C$6:J$6,1,K$4-loan_tenor_ng+1),0)</f>
        <v/>
      </c>
      <c r="L29" s="43">
        <f>IF(L$4&gt;loan_tenor_ng,L28+loan_repeat_ng*(1-ladder_dpd90_ng)*INDEX($C$29:K$29,1,L$4-loan_tenor_ng+1)*L6/INDEX($C$6:K$6,1,L$4-loan_tenor_ng+1),0)</f>
        <v/>
      </c>
      <c r="M29" s="43">
        <f>IF(M$4&gt;loan_tenor_ng,M28+loan_repeat_ng*(1-ladder_dpd90_ng)*INDEX($C$29:L$29,1,M$4-loan_tenor_ng+1)*M6/INDEX($C$6:L$6,1,M$4-loan_tenor_ng+1),0)</f>
        <v/>
      </c>
      <c r="N29" s="43">
        <f>IF(N$4&gt;loan_tenor_ng,N28+loan_repeat_ng*(1-ladder_dpd90_ng)*INDEX($C$29:M$29,1,N$4-loan_tenor_ng+1)*N6/INDEX($C$6:M$6,1,N$4-loan_tenor_ng+1),0)</f>
        <v/>
      </c>
      <c r="O29" s="43">
        <f>IF(O$4&gt;loan_tenor_ng,O28+loan_repeat_ng*(1-ladder_dpd90_ng)*INDEX($C$29:N$29,1,O$4-loan_tenor_ng+1)*O6/INDEX($C$6:N$6,1,O$4-loan_tenor_ng+1),0)</f>
        <v/>
      </c>
      <c r="P29" s="43">
        <f>IF(P$4&gt;loan_tenor_ng,P28+loan_repeat_ng*(1-ladder_dpd90_ng)*INDEX($C$29:O$29,1,P$4-loan_tenor_ng+1)*P6/INDEX($C$6:O$6,1,P$4-loan_tenor_ng+1),0)</f>
        <v/>
      </c>
      <c r="Q29" s="43">
        <f>IF(Q$4&gt;loan_tenor_ng,Q28+loan_repeat_ng*(1-ladder_dpd90_ng)*INDEX($C$29:P$29,1,Q$4-loan_tenor_ng+1)*Q6/INDEX($C$6:P$6,1,Q$4-loan_tenor_ng+1),0)</f>
        <v/>
      </c>
      <c r="R29" s="43">
        <f>IF(R$4&gt;loan_tenor_ng,R28+loan_repeat_ng*(1-ladder_dpd90_ng)*INDEX($C$29:Q$29,1,R$4-loan_tenor_ng+1)*R6/INDEX($C$6:Q$6,1,R$4-loan_tenor_ng+1),0)</f>
        <v/>
      </c>
      <c r="S29" s="43">
        <f>IF(S$4&gt;loan_tenor_ng,S28+loan_repeat_ng*(1-ladder_dpd90_ng)*INDEX($C$29:R$29,1,S$4-loan_tenor_ng+1)*S6/INDEX($C$6:R$6,1,S$4-loan_tenor_ng+1),0)</f>
        <v/>
      </c>
      <c r="T29" s="43">
        <f>IF(T$4&gt;loan_tenor_ng,T28+loan_repeat_ng*(1-ladder_dpd90_ng)*INDEX($C$29:S$29,1,T$4-loan_tenor_ng+1)*T6/INDEX($C$6:S$6,1,T$4-loan_tenor_ng+1),0)</f>
        <v/>
      </c>
      <c r="U29" s="43">
        <f>IF(U$4&gt;loan_tenor_ng,U28+loan_repeat_ng*(1-ladder_dpd90_ng)*INDEX($C$29:T$29,1,U$4-loan_tenor_ng+1)*U6/INDEX($C$6:T$6,1,U$4-loan_tenor_ng+1),0)</f>
        <v/>
      </c>
      <c r="V29" s="43">
        <f>IF(V$4&gt;loan_tenor_ng,V28+loan_repeat_ng*(1-ladder_dpd90_ng)*INDEX($C$29:U$29,1,V$4-loan_tenor_ng+1)*V6/INDEX($C$6:U$6,1,V$4-loan_tenor_ng+1),0)</f>
        <v/>
      </c>
      <c r="W29" s="43">
        <f>IF(W$4&gt;loan_tenor_ng,W28+loan_repeat_ng*(1-ladder_dpd90_ng)*INDEX($C$29:V$29,1,W$4-loan_tenor_ng+1)*W6/INDEX($C$6:V$6,1,W$4-loan_tenor_ng+1),0)</f>
        <v/>
      </c>
      <c r="X29" s="43">
        <f>IF(X$4&gt;loan_tenor_ng,X28+loan_repeat_ng*(1-ladder_dpd90_ng)*INDEX($C$29:W$29,1,X$4-loan_tenor_ng+1)*X6/INDEX($C$6:W$6,1,X$4-loan_tenor_ng+1),0)</f>
        <v/>
      </c>
      <c r="Y29" s="43">
        <f>IF(Y$4&gt;loan_tenor_ng,Y28+loan_repeat_ng*(1-ladder_dpd90_ng)*INDEX($C$29:X$29,1,Y$4-loan_tenor_ng+1)*Y6/INDEX($C$6:X$6,1,Y$4-loan_tenor_ng+1),0)</f>
        <v/>
      </c>
      <c r="Z29" s="43">
        <f>IF(Z$4&gt;loan_tenor_ng,Z28+loan_repeat_ng*(1-ladder_dpd90_ng)*INDEX($C$29:Y$29,1,Z$4-loan_tenor_ng+1)*Z6/INDEX($C$6:Y$6,1,Z$4-loan_tenor_ng+1),0)</f>
        <v/>
      </c>
      <c r="AA29" s="43">
        <f>IF(AA$4&gt;loan_tenor_ng,AA28+loan_repeat_ng*(1-ladder_dpd90_ng)*INDEX($C$29:Z$29,1,AA$4-loan_tenor_ng+1)*AA6/INDEX($C$6:Z$6,1,AA$4-loan_tenor_ng+1),0)</f>
        <v/>
      </c>
      <c r="AB29" s="43">
        <f>IF(AB$4&gt;loan_tenor_ng,AB28+loan_repeat_ng*(1-ladder_dpd90_ng)*INDEX($C$29:AA$29,1,AB$4-loan_tenor_ng+1)*AB6/INDEX($C$6:AA$6,1,AB$4-loan_tenor_ng+1),0)</f>
        <v/>
      </c>
      <c r="AC29" s="43">
        <f>IF(AC$4&gt;loan_tenor_ng,AC28+loan_repeat_ng*(1-ladder_dpd90_ng)*INDEX($C$29:AB$29,1,AC$4-loan_tenor_ng+1)*AC6/INDEX($C$6:AB$6,1,AC$4-loan_tenor_ng+1),0)</f>
        <v/>
      </c>
      <c r="AD29" s="43">
        <f>IF(AD$4&gt;loan_tenor_ng,AD28+loan_repeat_ng*(1-ladder_dpd90_ng)*INDEX($C$29:AC$29,1,AD$4-loan_tenor_ng+1)*AD6/INDEX($C$6:AC$6,1,AD$4-loan_tenor_ng+1),0)</f>
        <v/>
      </c>
      <c r="AE29" s="43">
        <f>IF(AE$4&gt;loan_tenor_ng,AE28+loan_repeat_ng*(1-ladder_dpd90_ng)*INDEX($C$29:AD$29,1,AE$4-loan_tenor_ng+1)*AE6/INDEX($C$6:AD$6,1,AE$4-loan_tenor_ng+1),0)</f>
        <v/>
      </c>
      <c r="AF29" s="43">
        <f>IF(AF$4&gt;loan_tenor_ng,AF28+loan_repeat_ng*(1-ladder_dpd90_ng)*INDEX($C$29:AE$29,1,AF$4-loan_tenor_ng+1)*AF6/INDEX($C$6:AE$6,1,AF$4-loan_tenor_ng+1),0)</f>
        <v/>
      </c>
      <c r="AG29" s="43">
        <f>IF(AG$4&gt;loan_tenor_ng,AG28+loan_repeat_ng*(1-ladder_dpd90_ng)*INDEX($C$29:AF$29,1,AG$4-loan_tenor_ng+1)*AG6/INDEX($C$6:AF$6,1,AG$4-loan_tenor_ng+1),0)</f>
        <v/>
      </c>
      <c r="AH29" s="43">
        <f>IF(AH$4&gt;loan_tenor_ng,AH28+loan_repeat_ng*(1-ladder_dpd90_ng)*INDEX($C$29:AG$29,1,AH$4-loan_tenor_ng+1)*AH6/INDEX($C$6:AG$6,1,AH$4-loan_tenor_ng+1),0)</f>
        <v/>
      </c>
      <c r="AI29" s="43">
        <f>IF(AI$4&gt;loan_tenor_ng,AI28+loan_repeat_ng*(1-ladder_dpd90_ng)*INDEX($C$29:AH$29,1,AI$4-loan_tenor_ng+1)*AI6/INDEX($C$6:AH$6,1,AI$4-loan_tenor_ng+1),0)</f>
        <v/>
      </c>
      <c r="AJ29" s="43">
        <f>IF(AJ$4&gt;loan_tenor_ng,AJ28+loan_repeat_ng*(1-ladder_dpd90_ng)*INDEX($C$29:AI$29,1,AJ$4-loan_tenor_ng+1)*AJ6/INDEX($C$6:AI$6,1,AJ$4-loan_tenor_ng+1),0)</f>
        <v/>
      </c>
      <c r="AK29" s="43">
        <f>IF(AK$4&gt;loan_tenor_ng,AK28+loan_repeat_ng*(1-ladder_dpd90_ng)*INDEX($C$29:AJ$29,1,AK$4-loan_tenor_ng+1)*AK6/INDEX($C$6:AJ$6,1,AK$4-loan_tenor_ng+1),0)</f>
        <v/>
      </c>
      <c r="AL29" s="43">
        <f>IF(AL$4&gt;loan_tenor_ng,AL28+loan_repeat_ng*(1-ladder_dpd90_ng)*INDEX($C$29:AK$29,1,AL$4-loan_tenor_ng+1)*AL6/INDEX($C$6:AK$6,1,AL$4-loan_tenor_ng+1),0)</f>
        <v/>
      </c>
      <c r="AM29" s="43">
        <f>IF(AM$4&gt;loan_tenor_ng,AM28+loan_repeat_ng*(1-ladder_dpd90_ng)*INDEX($C$29:AL$29,1,AM$4-loan_tenor_ng+1)*AM6/INDEX($C$6:AL$6,1,AM$4-loan_tenor_ng+1),0)</f>
        <v/>
      </c>
      <c r="AN29" s="43">
        <f>IF(AN$4&gt;loan_tenor_ng,AN28+loan_repeat_ng*(1-ladder_dpd90_ng)*INDEX($C$29:AM$29,1,AN$4-loan_tenor_ng+1)*AN6/INDEX($C$6:AM$6,1,AN$4-loan_tenor_ng+1),0)</f>
        <v/>
      </c>
      <c r="AO29" s="43">
        <f>IF(AO$4&gt;loan_tenor_ng,AO28+loan_repeat_ng*(1-ladder_dpd90_ng)*INDEX($C$29:AN$29,1,AO$4-loan_tenor_ng+1)*AO6/INDEX($C$6:AN$6,1,AO$4-loan_tenor_ng+1),0)</f>
        <v/>
      </c>
      <c r="AP29" s="43">
        <f>IF(AP$4&gt;loan_tenor_ng,AP28+loan_repeat_ng*(1-ladder_dpd90_ng)*INDEX($C$29:AO$29,1,AP$4-loan_tenor_ng+1)*AP6/INDEX($C$6:AO$6,1,AP$4-loan_tenor_ng+1),0)</f>
        <v/>
      </c>
      <c r="AQ29" s="43">
        <f>IF(AQ$4&gt;loan_tenor_ng,AQ28+loan_repeat_ng*(1-ladder_dpd90_ng)*INDEX($C$29:AP$29,1,AQ$4-loan_tenor_ng+1)*AQ6/INDEX($C$6:AP$6,1,AQ$4-loan_tenor_ng+1),0)</f>
        <v/>
      </c>
      <c r="AR29" s="43">
        <f>IF(AR$4&gt;loan_tenor_ng,AR28+loan_repeat_ng*(1-ladder_dpd90_ng)*INDEX($C$29:AQ$29,1,AR$4-loan_tenor_ng+1)*AR6/INDEX($C$6:AQ$6,1,AR$4-loan_tenor_ng+1),0)</f>
        <v/>
      </c>
      <c r="AS29" s="43">
        <f>IF(AS$4&gt;loan_tenor_ng,AS28+loan_repeat_ng*(1-ladder_dpd90_ng)*INDEX($C$29:AR$29,1,AS$4-loan_tenor_ng+1)*AS6/INDEX($C$6:AR$6,1,AS$4-loan_tenor_ng+1),0)</f>
        <v/>
      </c>
      <c r="AT29" s="43">
        <f>IF(AT$4&gt;loan_tenor_ng,AT28+loan_repeat_ng*(1-ladder_dpd90_ng)*INDEX($C$29:AS$29,1,AT$4-loan_tenor_ng+1)*AT6/INDEX($C$6:AS$6,1,AT$4-loan_tenor_ng+1),0)</f>
        <v/>
      </c>
      <c r="AU29" s="43">
        <f>IF(AU$4&gt;loan_tenor_ng,AU28+loan_repeat_ng*(1-ladder_dpd90_ng)*INDEX($C$29:AT$29,1,AU$4-loan_tenor_ng+1)*AU6/INDEX($C$6:AT$6,1,AU$4-loan_tenor_ng+1),0)</f>
        <v/>
      </c>
      <c r="AV29" s="43">
        <f>IF(AV$4&gt;loan_tenor_ng,AV28+loan_repeat_ng*(1-ladder_dpd90_ng)*INDEX($C$29:AU$29,1,AV$4-loan_tenor_ng+1)*AV6/INDEX($C$6:AU$6,1,AV$4-loan_tenor_ng+1),0)</f>
        <v/>
      </c>
      <c r="AW29" s="43">
        <f>IF(AW$4&gt;loan_tenor_ng,AW28+loan_repeat_ng*(1-ladder_dpd90_ng)*INDEX($C$29:AV$29,1,AW$4-loan_tenor_ng+1)*AW6/INDEX($C$6:AV$6,1,AW$4-loan_tenor_ng+1),0)</f>
        <v/>
      </c>
      <c r="AX29" s="43">
        <f>IF(AX$4&gt;loan_tenor_ng,AX28+loan_repeat_ng*(1-ladder_dpd90_ng)*INDEX($C$29:AW$29,1,AX$4-loan_tenor_ng+1)*AX6/INDEX($C$6:AW$6,1,AX$4-loan_tenor_ng+1),0)</f>
        <v/>
      </c>
      <c r="AY29" s="43">
        <f>IF(AY$4&gt;loan_tenor_ng,AY28+loan_repeat_ng*(1-ladder_dpd90_ng)*INDEX($C$29:AX$29,1,AY$4-loan_tenor_ng+1)*AY6/INDEX($C$6:AX$6,1,AY$4-loan_tenor_ng+1),0)</f>
        <v/>
      </c>
      <c r="AZ29" s="43">
        <f>IF(AZ$4&gt;loan_tenor_ng,AZ28+loan_repeat_ng*(1-ladder_dpd90_ng)*INDEX($C$29:AY$29,1,AZ$4-loan_tenor_ng+1)*AZ6/INDEX($C$6:AY$6,1,AZ$4-loan_tenor_ng+1),0)</f>
        <v/>
      </c>
      <c r="BA29" s="43">
        <f>IF(BA$4&gt;loan_tenor_ng,BA28+loan_repeat_ng*(1-ladder_dpd90_ng)*INDEX($C$29:AZ$29,1,BA$4-loan_tenor_ng+1)*BA6/INDEX($C$6:AZ$6,1,BA$4-loan_tenor_ng+1),0)</f>
        <v/>
      </c>
      <c r="BB29" s="43">
        <f>IF(BB$4&gt;loan_tenor_ng,BB28+loan_repeat_ng*(1-ladder_dpd90_ng)*INDEX($C$29:BA$29,1,BB$4-loan_tenor_ng+1)*BB6/INDEX($C$6:BA$6,1,BB$4-loan_tenor_ng+1),0)</f>
        <v/>
      </c>
      <c r="BC29" s="43">
        <f>IF(BC$4&gt;loan_tenor_ng,BC28+loan_repeat_ng*(1-ladder_dpd90_ng)*INDEX($C$29:BB$29,1,BC$4-loan_tenor_ng+1)*BC6/INDEX($C$6:BB$6,1,BC$4-loan_tenor_ng+1),0)</f>
        <v/>
      </c>
      <c r="BD29" s="43">
        <f>IF(BD$4&gt;loan_tenor_ng,BD28+loan_repeat_ng*(1-ladder_dpd90_ng)*INDEX($C$29:BC$29,1,BD$4-loan_tenor_ng+1)*BD6/INDEX($C$6:BC$6,1,BD$4-loan_tenor_ng+1),0)</f>
        <v/>
      </c>
      <c r="BE29" s="43">
        <f>IF(BE$4&gt;loan_tenor_ng,BE28+loan_repeat_ng*(1-ladder_dpd90_ng)*INDEX($C$29:BD$29,1,BE$4-loan_tenor_ng+1)*BE6/INDEX($C$6:BD$6,1,BE$4-loan_tenor_ng+1),0)</f>
        <v/>
      </c>
      <c r="BF29" s="43">
        <f>IF(BF$4&gt;loan_tenor_ng,BF28+loan_repeat_ng*(1-ladder_dpd90_ng)*INDEX($C$29:BE$29,1,BF$4-loan_tenor_ng+1)*BF6/INDEX($C$6:BE$6,1,BF$4-loan_tenor_ng+1),0)</f>
        <v/>
      </c>
      <c r="BG29" s="43">
        <f>IF(BG$4&gt;loan_tenor_ng,BG28+loan_repeat_ng*(1-ladder_dpd90_ng)*INDEX($C$29:BF$29,1,BG$4-loan_tenor_ng+1)*BG6/INDEX($C$6:BF$6,1,BG$4-loan_tenor_ng+1),0)</f>
        <v/>
      </c>
      <c r="BH29" s="43">
        <f>IF(BH$4&gt;loan_tenor_ng,BH28+loan_repeat_ng*(1-ladder_dpd90_ng)*INDEX($C$29:BG$29,1,BH$4-loan_tenor_ng+1)*BH6/INDEX($C$6:BG$6,1,BH$4-loan_tenor_ng+1),0)</f>
        <v/>
      </c>
      <c r="BI29" s="43">
        <f>IF(BI$4&gt;loan_tenor_ng,BI28+loan_repeat_ng*(1-ladder_dpd90_ng)*INDEX($C$29:BH$29,1,BI$4-loan_tenor_ng+1)*BI6/INDEX($C$6:BH$6,1,BI$4-loan_tenor_ng+1),0)</f>
        <v/>
      </c>
      <c r="BJ29" s="43">
        <f>IF(BJ$4&gt;loan_tenor_ng,BJ28+loan_repeat_ng*(1-ladder_dpd90_ng)*INDEX($C$29:BI$29,1,BJ$4-loan_tenor_ng+1)*BJ6/INDEX($C$6:BI$6,1,BJ$4-loan_tenor_ng+1),0)</f>
        <v/>
      </c>
      <c r="BK29" s="43">
        <f>IF(BK$4&gt;loan_tenor_ng,BK28+loan_repeat_ng*(1-ladder_dpd90_ng)*INDEX($C$29:BJ$29,1,BK$4-loan_tenor_ng+1)*BK6/INDEX($C$6:BJ$6,1,BK$4-loan_tenor_ng+1),0)</f>
        <v/>
      </c>
    </row>
    <row r="30">
      <c r="A30" s="25" t="inlineStr">
        <is>
          <t>Repeat loans (loans 2+)</t>
        </is>
      </c>
      <c r="B30" s="28" t="inlineStr">
        <is>
          <t>loans</t>
        </is>
      </c>
      <c r="C30" s="42" t="n">
        <v>0</v>
      </c>
      <c r="D30" s="43">
        <f>D25+D26+D27+D29</f>
        <v/>
      </c>
      <c r="E30" s="43">
        <f>E25+E26+E27+E29</f>
        <v/>
      </c>
      <c r="F30" s="43">
        <f>F25+F26+F27+F29</f>
        <v/>
      </c>
      <c r="G30" s="43">
        <f>G25+G26+G27+G29</f>
        <v/>
      </c>
      <c r="H30" s="43">
        <f>H25+H26+H27+H29</f>
        <v/>
      </c>
      <c r="I30" s="43">
        <f>I25+I26+I27+I29</f>
        <v/>
      </c>
      <c r="J30" s="43">
        <f>J25+J26+J27+J29</f>
        <v/>
      </c>
      <c r="K30" s="43">
        <f>K25+K26+K27+K29</f>
        <v/>
      </c>
      <c r="L30" s="43">
        <f>L25+L26+L27+L29</f>
        <v/>
      </c>
      <c r="M30" s="43">
        <f>M25+M26+M27+M29</f>
        <v/>
      </c>
      <c r="N30" s="43">
        <f>N25+N26+N27+N29</f>
        <v/>
      </c>
      <c r="O30" s="43">
        <f>O25+O26+O27+O29</f>
        <v/>
      </c>
      <c r="P30" s="43">
        <f>P25+P26+P27+P29</f>
        <v/>
      </c>
      <c r="Q30" s="43">
        <f>Q25+Q26+Q27+Q29</f>
        <v/>
      </c>
      <c r="R30" s="43">
        <f>R25+R26+R27+R29</f>
        <v/>
      </c>
      <c r="S30" s="43">
        <f>S25+S26+S27+S29</f>
        <v/>
      </c>
      <c r="T30" s="43">
        <f>T25+T26+T27+T29</f>
        <v/>
      </c>
      <c r="U30" s="43">
        <f>U25+U26+U27+U29</f>
        <v/>
      </c>
      <c r="V30" s="43">
        <f>V25+V26+V27+V29</f>
        <v/>
      </c>
      <c r="W30" s="43">
        <f>W25+W26+W27+W29</f>
        <v/>
      </c>
      <c r="X30" s="43">
        <f>X25+X26+X27+X29</f>
        <v/>
      </c>
      <c r="Y30" s="43">
        <f>Y25+Y26+Y27+Y29</f>
        <v/>
      </c>
      <c r="Z30" s="43">
        <f>Z25+Z26+Z27+Z29</f>
        <v/>
      </c>
      <c r="AA30" s="43">
        <f>AA25+AA26+AA27+AA29</f>
        <v/>
      </c>
      <c r="AB30" s="43">
        <f>AB25+AB26+AB27+AB29</f>
        <v/>
      </c>
      <c r="AC30" s="43">
        <f>AC25+AC26+AC27+AC29</f>
        <v/>
      </c>
      <c r="AD30" s="43">
        <f>AD25+AD26+AD27+AD29</f>
        <v/>
      </c>
      <c r="AE30" s="43">
        <f>AE25+AE26+AE27+AE29</f>
        <v/>
      </c>
      <c r="AF30" s="43">
        <f>AF25+AF26+AF27+AF29</f>
        <v/>
      </c>
      <c r="AG30" s="43">
        <f>AG25+AG26+AG27+AG29</f>
        <v/>
      </c>
      <c r="AH30" s="43">
        <f>AH25+AH26+AH27+AH29</f>
        <v/>
      </c>
      <c r="AI30" s="43">
        <f>AI25+AI26+AI27+AI29</f>
        <v/>
      </c>
      <c r="AJ30" s="43">
        <f>AJ25+AJ26+AJ27+AJ29</f>
        <v/>
      </c>
      <c r="AK30" s="43">
        <f>AK25+AK26+AK27+AK29</f>
        <v/>
      </c>
      <c r="AL30" s="43">
        <f>AL25+AL26+AL27+AL29</f>
        <v/>
      </c>
      <c r="AM30" s="43">
        <f>AM25+AM26+AM27+AM29</f>
        <v/>
      </c>
      <c r="AN30" s="43">
        <f>AN25+AN26+AN27+AN29</f>
        <v/>
      </c>
      <c r="AO30" s="43">
        <f>AO25+AO26+AO27+AO29</f>
        <v/>
      </c>
      <c r="AP30" s="43">
        <f>AP25+AP26+AP27+AP29</f>
        <v/>
      </c>
      <c r="AQ30" s="43">
        <f>AQ25+AQ26+AQ27+AQ29</f>
        <v/>
      </c>
      <c r="AR30" s="43">
        <f>AR25+AR26+AR27+AR29</f>
        <v/>
      </c>
      <c r="AS30" s="43">
        <f>AS25+AS26+AS27+AS29</f>
        <v/>
      </c>
      <c r="AT30" s="43">
        <f>AT25+AT26+AT27+AT29</f>
        <v/>
      </c>
      <c r="AU30" s="43">
        <f>AU25+AU26+AU27+AU29</f>
        <v/>
      </c>
      <c r="AV30" s="43">
        <f>AV25+AV26+AV27+AV29</f>
        <v/>
      </c>
      <c r="AW30" s="43">
        <f>AW25+AW26+AW27+AW29</f>
        <v/>
      </c>
      <c r="AX30" s="43">
        <f>AX25+AX26+AX27+AX29</f>
        <v/>
      </c>
      <c r="AY30" s="43">
        <f>AY25+AY26+AY27+AY29</f>
        <v/>
      </c>
      <c r="AZ30" s="43">
        <f>AZ25+AZ26+AZ27+AZ29</f>
        <v/>
      </c>
      <c r="BA30" s="43">
        <f>BA25+BA26+BA27+BA29</f>
        <v/>
      </c>
      <c r="BB30" s="43">
        <f>BB25+BB26+BB27+BB29</f>
        <v/>
      </c>
      <c r="BC30" s="43">
        <f>BC25+BC26+BC27+BC29</f>
        <v/>
      </c>
      <c r="BD30" s="43">
        <f>BD25+BD26+BD27+BD29</f>
        <v/>
      </c>
      <c r="BE30" s="43">
        <f>BE25+BE26+BE27+BE29</f>
        <v/>
      </c>
      <c r="BF30" s="43">
        <f>BF25+BF26+BF27+BF29</f>
        <v/>
      </c>
      <c r="BG30" s="43">
        <f>BG25+BG26+BG27+BG29</f>
        <v/>
      </c>
      <c r="BH30" s="43">
        <f>BH25+BH26+BH27+BH29</f>
        <v/>
      </c>
      <c r="BI30" s="43">
        <f>BI25+BI26+BI27+BI29</f>
        <v/>
      </c>
      <c r="BJ30" s="43">
        <f>BJ25+BJ26+BJ27+BJ29</f>
        <v/>
      </c>
      <c r="BK30" s="43">
        <f>BK25+BK26+BK27+BK29</f>
        <v/>
      </c>
    </row>
    <row r="31">
      <c r="A31" s="25" t="inlineStr">
        <is>
          <t>All loans</t>
        </is>
      </c>
      <c r="B31" s="28" t="inlineStr">
        <is>
          <t>loans</t>
        </is>
      </c>
      <c r="C31" s="42" t="n">
        <v>0</v>
      </c>
      <c r="D31" s="43">
        <f>D24+D30</f>
        <v/>
      </c>
      <c r="E31" s="43">
        <f>E24+E30</f>
        <v/>
      </c>
      <c r="F31" s="43">
        <f>F24+F30</f>
        <v/>
      </c>
      <c r="G31" s="43">
        <f>G24+G30</f>
        <v/>
      </c>
      <c r="H31" s="43">
        <f>H24+H30</f>
        <v/>
      </c>
      <c r="I31" s="43">
        <f>I24+I30</f>
        <v/>
      </c>
      <c r="J31" s="43">
        <f>J24+J30</f>
        <v/>
      </c>
      <c r="K31" s="43">
        <f>K24+K30</f>
        <v/>
      </c>
      <c r="L31" s="43">
        <f>L24+L30</f>
        <v/>
      </c>
      <c r="M31" s="43">
        <f>M24+M30</f>
        <v/>
      </c>
      <c r="N31" s="43">
        <f>N24+N30</f>
        <v/>
      </c>
      <c r="O31" s="43">
        <f>O24+O30</f>
        <v/>
      </c>
      <c r="P31" s="43">
        <f>P24+P30</f>
        <v/>
      </c>
      <c r="Q31" s="43">
        <f>Q24+Q30</f>
        <v/>
      </c>
      <c r="R31" s="43">
        <f>R24+R30</f>
        <v/>
      </c>
      <c r="S31" s="43">
        <f>S24+S30</f>
        <v/>
      </c>
      <c r="T31" s="43">
        <f>T24+T30</f>
        <v/>
      </c>
      <c r="U31" s="43">
        <f>U24+U30</f>
        <v/>
      </c>
      <c r="V31" s="43">
        <f>V24+V30</f>
        <v/>
      </c>
      <c r="W31" s="43">
        <f>W24+W30</f>
        <v/>
      </c>
      <c r="X31" s="43">
        <f>X24+X30</f>
        <v/>
      </c>
      <c r="Y31" s="43">
        <f>Y24+Y30</f>
        <v/>
      </c>
      <c r="Z31" s="43">
        <f>Z24+Z30</f>
        <v/>
      </c>
      <c r="AA31" s="43">
        <f>AA24+AA30</f>
        <v/>
      </c>
      <c r="AB31" s="43">
        <f>AB24+AB30</f>
        <v/>
      </c>
      <c r="AC31" s="43">
        <f>AC24+AC30</f>
        <v/>
      </c>
      <c r="AD31" s="43">
        <f>AD24+AD30</f>
        <v/>
      </c>
      <c r="AE31" s="43">
        <f>AE24+AE30</f>
        <v/>
      </c>
      <c r="AF31" s="43">
        <f>AF24+AF30</f>
        <v/>
      </c>
      <c r="AG31" s="43">
        <f>AG24+AG30</f>
        <v/>
      </c>
      <c r="AH31" s="43">
        <f>AH24+AH30</f>
        <v/>
      </c>
      <c r="AI31" s="43">
        <f>AI24+AI30</f>
        <v/>
      </c>
      <c r="AJ31" s="43">
        <f>AJ24+AJ30</f>
        <v/>
      </c>
      <c r="AK31" s="43">
        <f>AK24+AK30</f>
        <v/>
      </c>
      <c r="AL31" s="43">
        <f>AL24+AL30</f>
        <v/>
      </c>
      <c r="AM31" s="43">
        <f>AM24+AM30</f>
        <v/>
      </c>
      <c r="AN31" s="43">
        <f>AN24+AN30</f>
        <v/>
      </c>
      <c r="AO31" s="43">
        <f>AO24+AO30</f>
        <v/>
      </c>
      <c r="AP31" s="43">
        <f>AP24+AP30</f>
        <v/>
      </c>
      <c r="AQ31" s="43">
        <f>AQ24+AQ30</f>
        <v/>
      </c>
      <c r="AR31" s="43">
        <f>AR24+AR30</f>
        <v/>
      </c>
      <c r="AS31" s="43">
        <f>AS24+AS30</f>
        <v/>
      </c>
      <c r="AT31" s="43">
        <f>AT24+AT30</f>
        <v/>
      </c>
      <c r="AU31" s="43">
        <f>AU24+AU30</f>
        <v/>
      </c>
      <c r="AV31" s="43">
        <f>AV24+AV30</f>
        <v/>
      </c>
      <c r="AW31" s="43">
        <f>AW24+AW30</f>
        <v/>
      </c>
      <c r="AX31" s="43">
        <f>AX24+AX30</f>
        <v/>
      </c>
      <c r="AY31" s="43">
        <f>AY24+AY30</f>
        <v/>
      </c>
      <c r="AZ31" s="43">
        <f>AZ24+AZ30</f>
        <v/>
      </c>
      <c r="BA31" s="43">
        <f>BA24+BA30</f>
        <v/>
      </c>
      <c r="BB31" s="43">
        <f>BB24+BB30</f>
        <v/>
      </c>
      <c r="BC31" s="43">
        <f>BC24+BC30</f>
        <v/>
      </c>
      <c r="BD31" s="43">
        <f>BD24+BD30</f>
        <v/>
      </c>
      <c r="BE31" s="43">
        <f>BE24+BE30</f>
        <v/>
      </c>
      <c r="BF31" s="43">
        <f>BF24+BF30</f>
        <v/>
      </c>
      <c r="BG31" s="43">
        <f>BG24+BG30</f>
        <v/>
      </c>
      <c r="BH31" s="43">
        <f>BH24+BH30</f>
        <v/>
      </c>
      <c r="BI31" s="43">
        <f>BI24+BI30</f>
        <v/>
      </c>
      <c r="BJ31" s="43">
        <f>BJ24+BJ30</f>
        <v/>
      </c>
      <c r="BK31" s="43">
        <f>BK24+BK30</f>
        <v/>
      </c>
    </row>
    <row r="32">
      <c r="A32" s="25" t="inlineStr">
        <is>
          <t>Savings that can back a loan, per active saver (fund + FD; gold cannot)</t>
        </is>
      </c>
      <c r="B32" s="28" t="inlineStr">
        <is>
          <t>₹</t>
        </is>
      </c>
      <c r="C32" s="30" t="n">
        <v>0</v>
      </c>
      <c r="D32" s="32">
        <f>IF(D7&gt;0,D15/D7,0)*(1-gold_on_ng*gold_share_ng)</f>
        <v/>
      </c>
      <c r="E32" s="32">
        <f>IF(E7&gt;0,E15/E7,0)*(1-gold_on_ng*gold_share_ng)</f>
        <v/>
      </c>
      <c r="F32" s="32">
        <f>IF(F7&gt;0,F15/F7,0)*(1-gold_on_ng*gold_share_ng)</f>
        <v/>
      </c>
      <c r="G32" s="32">
        <f>IF(G7&gt;0,G15/G7,0)*(1-gold_on_ng*gold_share_ng)</f>
        <v/>
      </c>
      <c r="H32" s="32">
        <f>IF(H7&gt;0,H15/H7,0)*(1-gold_on_ng*gold_share_ng)</f>
        <v/>
      </c>
      <c r="I32" s="32">
        <f>IF(I7&gt;0,I15/I7,0)*(1-gold_on_ng*gold_share_ng)</f>
        <v/>
      </c>
      <c r="J32" s="32">
        <f>IF(J7&gt;0,J15/J7,0)*(1-gold_on_ng*gold_share_ng)</f>
        <v/>
      </c>
      <c r="K32" s="32">
        <f>IF(K7&gt;0,K15/K7,0)*(1-gold_on_ng*gold_share_ng)</f>
        <v/>
      </c>
      <c r="L32" s="32">
        <f>IF(L7&gt;0,L15/L7,0)*(1-gold_on_ng*gold_share_ng)</f>
        <v/>
      </c>
      <c r="M32" s="32">
        <f>IF(M7&gt;0,M15/M7,0)*(1-gold_on_ng*gold_share_ng)</f>
        <v/>
      </c>
      <c r="N32" s="32">
        <f>IF(N7&gt;0,N15/N7,0)*(1-gold_on_ng*gold_share_ng)</f>
        <v/>
      </c>
      <c r="O32" s="32">
        <f>IF(O7&gt;0,O15/O7,0)*(1-gold_on_ng*gold_share_ng)</f>
        <v/>
      </c>
      <c r="P32" s="32">
        <f>IF(P7&gt;0,P15/P7,0)*(1-gold_on_ng*gold_share_ng)</f>
        <v/>
      </c>
      <c r="Q32" s="32">
        <f>IF(Q7&gt;0,Q15/Q7,0)*(1-gold_on_ng*gold_share_ng)</f>
        <v/>
      </c>
      <c r="R32" s="32">
        <f>IF(R7&gt;0,R15/R7,0)*(1-gold_on_ng*gold_share_ng)</f>
        <v/>
      </c>
      <c r="S32" s="32">
        <f>IF(S7&gt;0,S15/S7,0)*(1-gold_on_ng*gold_share_ng)</f>
        <v/>
      </c>
      <c r="T32" s="32">
        <f>IF(T7&gt;0,T15/T7,0)*(1-gold_on_ng*gold_share_ng)</f>
        <v/>
      </c>
      <c r="U32" s="32">
        <f>IF(U7&gt;0,U15/U7,0)*(1-gold_on_ng*gold_share_ng)</f>
        <v/>
      </c>
      <c r="V32" s="32">
        <f>IF(V7&gt;0,V15/V7,0)*(1-gold_on_ng*gold_share_ng)</f>
        <v/>
      </c>
      <c r="W32" s="32">
        <f>IF(W7&gt;0,W15/W7,0)*(1-gold_on_ng*gold_share_ng)</f>
        <v/>
      </c>
      <c r="X32" s="32">
        <f>IF(X7&gt;0,X15/X7,0)*(1-gold_on_ng*gold_share_ng)</f>
        <v/>
      </c>
      <c r="Y32" s="32">
        <f>IF(Y7&gt;0,Y15/Y7,0)*(1-gold_on_ng*gold_share_ng)</f>
        <v/>
      </c>
      <c r="Z32" s="32">
        <f>IF(Z7&gt;0,Z15/Z7,0)*(1-gold_on_ng*gold_share_ng)</f>
        <v/>
      </c>
      <c r="AA32" s="32">
        <f>IF(AA7&gt;0,AA15/AA7,0)*(1-gold_on_ng*gold_share_ng)</f>
        <v/>
      </c>
      <c r="AB32" s="32">
        <f>IF(AB7&gt;0,AB15/AB7,0)*(1-gold_on_ng*gold_share_ng)</f>
        <v/>
      </c>
      <c r="AC32" s="32">
        <f>IF(AC7&gt;0,AC15/AC7,0)*(1-gold_on_ng*gold_share_ng)</f>
        <v/>
      </c>
      <c r="AD32" s="32">
        <f>IF(AD7&gt;0,AD15/AD7,0)*(1-gold_on_ng*gold_share_ng)</f>
        <v/>
      </c>
      <c r="AE32" s="32">
        <f>IF(AE7&gt;0,AE15/AE7,0)*(1-gold_on_ng*gold_share_ng)</f>
        <v/>
      </c>
      <c r="AF32" s="32">
        <f>IF(AF7&gt;0,AF15/AF7,0)*(1-gold_on_ng*gold_share_ng)</f>
        <v/>
      </c>
      <c r="AG32" s="32">
        <f>IF(AG7&gt;0,AG15/AG7,0)*(1-gold_on_ng*gold_share_ng)</f>
        <v/>
      </c>
      <c r="AH32" s="32">
        <f>IF(AH7&gt;0,AH15/AH7,0)*(1-gold_on_ng*gold_share_ng)</f>
        <v/>
      </c>
      <c r="AI32" s="32">
        <f>IF(AI7&gt;0,AI15/AI7,0)*(1-gold_on_ng*gold_share_ng)</f>
        <v/>
      </c>
      <c r="AJ32" s="32">
        <f>IF(AJ7&gt;0,AJ15/AJ7,0)*(1-gold_on_ng*gold_share_ng)</f>
        <v/>
      </c>
      <c r="AK32" s="32">
        <f>IF(AK7&gt;0,AK15/AK7,0)*(1-gold_on_ng*gold_share_ng)</f>
        <v/>
      </c>
      <c r="AL32" s="32">
        <f>IF(AL7&gt;0,AL15/AL7,0)*(1-gold_on_ng*gold_share_ng)</f>
        <v/>
      </c>
      <c r="AM32" s="32">
        <f>IF(AM7&gt;0,AM15/AM7,0)*(1-gold_on_ng*gold_share_ng)</f>
        <v/>
      </c>
      <c r="AN32" s="32">
        <f>IF(AN7&gt;0,AN15/AN7,0)*(1-gold_on_ng*gold_share_ng)</f>
        <v/>
      </c>
      <c r="AO32" s="32">
        <f>IF(AO7&gt;0,AO15/AO7,0)*(1-gold_on_ng*gold_share_ng)</f>
        <v/>
      </c>
      <c r="AP32" s="32">
        <f>IF(AP7&gt;0,AP15/AP7,0)*(1-gold_on_ng*gold_share_ng)</f>
        <v/>
      </c>
      <c r="AQ32" s="32">
        <f>IF(AQ7&gt;0,AQ15/AQ7,0)*(1-gold_on_ng*gold_share_ng)</f>
        <v/>
      </c>
      <c r="AR32" s="32">
        <f>IF(AR7&gt;0,AR15/AR7,0)*(1-gold_on_ng*gold_share_ng)</f>
        <v/>
      </c>
      <c r="AS32" s="32">
        <f>IF(AS7&gt;0,AS15/AS7,0)*(1-gold_on_ng*gold_share_ng)</f>
        <v/>
      </c>
      <c r="AT32" s="32">
        <f>IF(AT7&gt;0,AT15/AT7,0)*(1-gold_on_ng*gold_share_ng)</f>
        <v/>
      </c>
      <c r="AU32" s="32">
        <f>IF(AU7&gt;0,AU15/AU7,0)*(1-gold_on_ng*gold_share_ng)</f>
        <v/>
      </c>
      <c r="AV32" s="32">
        <f>IF(AV7&gt;0,AV15/AV7,0)*(1-gold_on_ng*gold_share_ng)</f>
        <v/>
      </c>
      <c r="AW32" s="32">
        <f>IF(AW7&gt;0,AW15/AW7,0)*(1-gold_on_ng*gold_share_ng)</f>
        <v/>
      </c>
      <c r="AX32" s="32">
        <f>IF(AX7&gt;0,AX15/AX7,0)*(1-gold_on_ng*gold_share_ng)</f>
        <v/>
      </c>
      <c r="AY32" s="32">
        <f>IF(AY7&gt;0,AY15/AY7,0)*(1-gold_on_ng*gold_share_ng)</f>
        <v/>
      </c>
      <c r="AZ32" s="32">
        <f>IF(AZ7&gt;0,AZ15/AZ7,0)*(1-gold_on_ng*gold_share_ng)</f>
        <v/>
      </c>
      <c r="BA32" s="32">
        <f>IF(BA7&gt;0,BA15/BA7,0)*(1-gold_on_ng*gold_share_ng)</f>
        <v/>
      </c>
      <c r="BB32" s="32">
        <f>IF(BB7&gt;0,BB15/BB7,0)*(1-gold_on_ng*gold_share_ng)</f>
        <v/>
      </c>
      <c r="BC32" s="32">
        <f>IF(BC7&gt;0,BC15/BC7,0)*(1-gold_on_ng*gold_share_ng)</f>
        <v/>
      </c>
      <c r="BD32" s="32">
        <f>IF(BD7&gt;0,BD15/BD7,0)*(1-gold_on_ng*gold_share_ng)</f>
        <v/>
      </c>
      <c r="BE32" s="32">
        <f>IF(BE7&gt;0,BE15/BE7,0)*(1-gold_on_ng*gold_share_ng)</f>
        <v/>
      </c>
      <c r="BF32" s="32">
        <f>IF(BF7&gt;0,BF15/BF7,0)*(1-gold_on_ng*gold_share_ng)</f>
        <v/>
      </c>
      <c r="BG32" s="32">
        <f>IF(BG7&gt;0,BG15/BG7,0)*(1-gold_on_ng*gold_share_ng)</f>
        <v/>
      </c>
      <c r="BH32" s="32">
        <f>IF(BH7&gt;0,BH15/BH7,0)*(1-gold_on_ng*gold_share_ng)</f>
        <v/>
      </c>
      <c r="BI32" s="32">
        <f>IF(BI7&gt;0,BI15/BI7,0)*(1-gold_on_ng*gold_share_ng)</f>
        <v/>
      </c>
      <c r="BJ32" s="32">
        <f>IF(BJ7&gt;0,BJ15/BJ7,0)*(1-gold_on_ng*gold_share_ng)</f>
        <v/>
      </c>
      <c r="BK32" s="32">
        <f>IF(BK7&gt;0,BK15/BK7,0)*(1-gold_on_ng*gold_share_ng)</f>
        <v/>
      </c>
    </row>
    <row r="33">
      <c r="A33" s="25" t="inlineStr">
        <is>
          <t>Secured loan size (secured_ltv of that)</t>
        </is>
      </c>
      <c r="B33" s="28" t="inlineStr">
        <is>
          <t>₹</t>
        </is>
      </c>
      <c r="C33" s="30" t="n">
        <v>0</v>
      </c>
      <c r="D33" s="32">
        <f>secured_ltv_ng*D32</f>
        <v/>
      </c>
      <c r="E33" s="32">
        <f>secured_ltv_ng*E32</f>
        <v/>
      </c>
      <c r="F33" s="32">
        <f>secured_ltv_ng*F32</f>
        <v/>
      </c>
      <c r="G33" s="32">
        <f>secured_ltv_ng*G32</f>
        <v/>
      </c>
      <c r="H33" s="32">
        <f>secured_ltv_ng*H32</f>
        <v/>
      </c>
      <c r="I33" s="32">
        <f>secured_ltv_ng*I32</f>
        <v/>
      </c>
      <c r="J33" s="32">
        <f>secured_ltv_ng*J32</f>
        <v/>
      </c>
      <c r="K33" s="32">
        <f>secured_ltv_ng*K32</f>
        <v/>
      </c>
      <c r="L33" s="32">
        <f>secured_ltv_ng*L32</f>
        <v/>
      </c>
      <c r="M33" s="32">
        <f>secured_ltv_ng*M32</f>
        <v/>
      </c>
      <c r="N33" s="32">
        <f>secured_ltv_ng*N32</f>
        <v/>
      </c>
      <c r="O33" s="32">
        <f>secured_ltv_ng*O32</f>
        <v/>
      </c>
      <c r="P33" s="32">
        <f>secured_ltv_ng*P32</f>
        <v/>
      </c>
      <c r="Q33" s="32">
        <f>secured_ltv_ng*Q32</f>
        <v/>
      </c>
      <c r="R33" s="32">
        <f>secured_ltv_ng*R32</f>
        <v/>
      </c>
      <c r="S33" s="32">
        <f>secured_ltv_ng*S32</f>
        <v/>
      </c>
      <c r="T33" s="32">
        <f>secured_ltv_ng*T32</f>
        <v/>
      </c>
      <c r="U33" s="32">
        <f>secured_ltv_ng*U32</f>
        <v/>
      </c>
      <c r="V33" s="32">
        <f>secured_ltv_ng*V32</f>
        <v/>
      </c>
      <c r="W33" s="32">
        <f>secured_ltv_ng*W32</f>
        <v/>
      </c>
      <c r="X33" s="32">
        <f>secured_ltv_ng*X32</f>
        <v/>
      </c>
      <c r="Y33" s="32">
        <f>secured_ltv_ng*Y32</f>
        <v/>
      </c>
      <c r="Z33" s="32">
        <f>secured_ltv_ng*Z32</f>
        <v/>
      </c>
      <c r="AA33" s="32">
        <f>secured_ltv_ng*AA32</f>
        <v/>
      </c>
      <c r="AB33" s="32">
        <f>secured_ltv_ng*AB32</f>
        <v/>
      </c>
      <c r="AC33" s="32">
        <f>secured_ltv_ng*AC32</f>
        <v/>
      </c>
      <c r="AD33" s="32">
        <f>secured_ltv_ng*AD32</f>
        <v/>
      </c>
      <c r="AE33" s="32">
        <f>secured_ltv_ng*AE32</f>
        <v/>
      </c>
      <c r="AF33" s="32">
        <f>secured_ltv_ng*AF32</f>
        <v/>
      </c>
      <c r="AG33" s="32">
        <f>secured_ltv_ng*AG32</f>
        <v/>
      </c>
      <c r="AH33" s="32">
        <f>secured_ltv_ng*AH32</f>
        <v/>
      </c>
      <c r="AI33" s="32">
        <f>secured_ltv_ng*AI32</f>
        <v/>
      </c>
      <c r="AJ33" s="32">
        <f>secured_ltv_ng*AJ32</f>
        <v/>
      </c>
      <c r="AK33" s="32">
        <f>secured_ltv_ng*AK32</f>
        <v/>
      </c>
      <c r="AL33" s="32">
        <f>secured_ltv_ng*AL32</f>
        <v/>
      </c>
      <c r="AM33" s="32">
        <f>secured_ltv_ng*AM32</f>
        <v/>
      </c>
      <c r="AN33" s="32">
        <f>secured_ltv_ng*AN32</f>
        <v/>
      </c>
      <c r="AO33" s="32">
        <f>secured_ltv_ng*AO32</f>
        <v/>
      </c>
      <c r="AP33" s="32">
        <f>secured_ltv_ng*AP32</f>
        <v/>
      </c>
      <c r="AQ33" s="32">
        <f>secured_ltv_ng*AQ32</f>
        <v/>
      </c>
      <c r="AR33" s="32">
        <f>secured_ltv_ng*AR32</f>
        <v/>
      </c>
      <c r="AS33" s="32">
        <f>secured_ltv_ng*AS32</f>
        <v/>
      </c>
      <c r="AT33" s="32">
        <f>secured_ltv_ng*AT32</f>
        <v/>
      </c>
      <c r="AU33" s="32">
        <f>secured_ltv_ng*AU32</f>
        <v/>
      </c>
      <c r="AV33" s="32">
        <f>secured_ltv_ng*AV32</f>
        <v/>
      </c>
      <c r="AW33" s="32">
        <f>secured_ltv_ng*AW32</f>
        <v/>
      </c>
      <c r="AX33" s="32">
        <f>secured_ltv_ng*AX32</f>
        <v/>
      </c>
      <c r="AY33" s="32">
        <f>secured_ltv_ng*AY32</f>
        <v/>
      </c>
      <c r="AZ33" s="32">
        <f>secured_ltv_ng*AZ32</f>
        <v/>
      </c>
      <c r="BA33" s="32">
        <f>secured_ltv_ng*BA32</f>
        <v/>
      </c>
      <c r="BB33" s="32">
        <f>secured_ltv_ng*BB32</f>
        <v/>
      </c>
      <c r="BC33" s="32">
        <f>secured_ltv_ng*BC32</f>
        <v/>
      </c>
      <c r="BD33" s="32">
        <f>secured_ltv_ng*BD32</f>
        <v/>
      </c>
      <c r="BE33" s="32">
        <f>secured_ltv_ng*BE32</f>
        <v/>
      </c>
      <c r="BF33" s="32">
        <f>secured_ltv_ng*BF32</f>
        <v/>
      </c>
      <c r="BG33" s="32">
        <f>secured_ltv_ng*BG32</f>
        <v/>
      </c>
      <c r="BH33" s="32">
        <f>secured_ltv_ng*BH32</f>
        <v/>
      </c>
      <c r="BI33" s="32">
        <f>secured_ltv_ng*BI32</f>
        <v/>
      </c>
      <c r="BJ33" s="32">
        <f>secured_ltv_ng*BJ32</f>
        <v/>
      </c>
      <c r="BK33" s="32">
        <f>secured_ltv_ng*BK32</f>
        <v/>
      </c>
    </row>
    <row r="34">
      <c r="A34" s="25" t="inlineStr">
        <is>
          <t>Secured money lent (loans 1-4)</t>
        </is>
      </c>
      <c r="B34" s="28" t="inlineStr">
        <is>
          <t>₹</t>
        </is>
      </c>
      <c r="C34" s="30" t="n">
        <v>0</v>
      </c>
      <c r="D34" s="32">
        <f>(D24+D25+D26+D27)*D33</f>
        <v/>
      </c>
      <c r="E34" s="32">
        <f>(E24+E25+E26+E27)*E33</f>
        <v/>
      </c>
      <c r="F34" s="32">
        <f>(F24+F25+F26+F27)*F33</f>
        <v/>
      </c>
      <c r="G34" s="32">
        <f>(G24+G25+G26+G27)*G33</f>
        <v/>
      </c>
      <c r="H34" s="32">
        <f>(H24+H25+H26+H27)*H33</f>
        <v/>
      </c>
      <c r="I34" s="32">
        <f>(I24+I25+I26+I27)*I33</f>
        <v/>
      </c>
      <c r="J34" s="32">
        <f>(J24+J25+J26+J27)*J33</f>
        <v/>
      </c>
      <c r="K34" s="32">
        <f>(K24+K25+K26+K27)*K33</f>
        <v/>
      </c>
      <c r="L34" s="32">
        <f>(L24+L25+L26+L27)*L33</f>
        <v/>
      </c>
      <c r="M34" s="32">
        <f>(M24+M25+M26+M27)*M33</f>
        <v/>
      </c>
      <c r="N34" s="32">
        <f>(N24+N25+N26+N27)*N33</f>
        <v/>
      </c>
      <c r="O34" s="32">
        <f>(O24+O25+O26+O27)*O33</f>
        <v/>
      </c>
      <c r="P34" s="32">
        <f>(P24+P25+P26+P27)*P33</f>
        <v/>
      </c>
      <c r="Q34" s="32">
        <f>(Q24+Q25+Q26+Q27)*Q33</f>
        <v/>
      </c>
      <c r="R34" s="32">
        <f>(R24+R25+R26+R27)*R33</f>
        <v/>
      </c>
      <c r="S34" s="32">
        <f>(S24+S25+S26+S27)*S33</f>
        <v/>
      </c>
      <c r="T34" s="32">
        <f>(T24+T25+T26+T27)*T33</f>
        <v/>
      </c>
      <c r="U34" s="32">
        <f>(U24+U25+U26+U27)*U33</f>
        <v/>
      </c>
      <c r="V34" s="32">
        <f>(V24+V25+V26+V27)*V33</f>
        <v/>
      </c>
      <c r="W34" s="32">
        <f>(W24+W25+W26+W27)*W33</f>
        <v/>
      </c>
      <c r="X34" s="32">
        <f>(X24+X25+X26+X27)*X33</f>
        <v/>
      </c>
      <c r="Y34" s="32">
        <f>(Y24+Y25+Y26+Y27)*Y33</f>
        <v/>
      </c>
      <c r="Z34" s="32">
        <f>(Z24+Z25+Z26+Z27)*Z33</f>
        <v/>
      </c>
      <c r="AA34" s="32">
        <f>(AA24+AA25+AA26+AA27)*AA33</f>
        <v/>
      </c>
      <c r="AB34" s="32">
        <f>(AB24+AB25+AB26+AB27)*AB33</f>
        <v/>
      </c>
      <c r="AC34" s="32">
        <f>(AC24+AC25+AC26+AC27)*AC33</f>
        <v/>
      </c>
      <c r="AD34" s="32">
        <f>(AD24+AD25+AD26+AD27)*AD33</f>
        <v/>
      </c>
      <c r="AE34" s="32">
        <f>(AE24+AE25+AE26+AE27)*AE33</f>
        <v/>
      </c>
      <c r="AF34" s="32">
        <f>(AF24+AF25+AF26+AF27)*AF33</f>
        <v/>
      </c>
      <c r="AG34" s="32">
        <f>(AG24+AG25+AG26+AG27)*AG33</f>
        <v/>
      </c>
      <c r="AH34" s="32">
        <f>(AH24+AH25+AH26+AH27)*AH33</f>
        <v/>
      </c>
      <c r="AI34" s="32">
        <f>(AI24+AI25+AI26+AI27)*AI33</f>
        <v/>
      </c>
      <c r="AJ34" s="32">
        <f>(AJ24+AJ25+AJ26+AJ27)*AJ33</f>
        <v/>
      </c>
      <c r="AK34" s="32">
        <f>(AK24+AK25+AK26+AK27)*AK33</f>
        <v/>
      </c>
      <c r="AL34" s="32">
        <f>(AL24+AL25+AL26+AL27)*AL33</f>
        <v/>
      </c>
      <c r="AM34" s="32">
        <f>(AM24+AM25+AM26+AM27)*AM33</f>
        <v/>
      </c>
      <c r="AN34" s="32">
        <f>(AN24+AN25+AN26+AN27)*AN33</f>
        <v/>
      </c>
      <c r="AO34" s="32">
        <f>(AO24+AO25+AO26+AO27)*AO33</f>
        <v/>
      </c>
      <c r="AP34" s="32">
        <f>(AP24+AP25+AP26+AP27)*AP33</f>
        <v/>
      </c>
      <c r="AQ34" s="32">
        <f>(AQ24+AQ25+AQ26+AQ27)*AQ33</f>
        <v/>
      </c>
      <c r="AR34" s="32">
        <f>(AR24+AR25+AR26+AR27)*AR33</f>
        <v/>
      </c>
      <c r="AS34" s="32">
        <f>(AS24+AS25+AS26+AS27)*AS33</f>
        <v/>
      </c>
      <c r="AT34" s="32">
        <f>(AT24+AT25+AT26+AT27)*AT33</f>
        <v/>
      </c>
      <c r="AU34" s="32">
        <f>(AU24+AU25+AU26+AU27)*AU33</f>
        <v/>
      </c>
      <c r="AV34" s="32">
        <f>(AV24+AV25+AV26+AV27)*AV33</f>
        <v/>
      </c>
      <c r="AW34" s="32">
        <f>(AW24+AW25+AW26+AW27)*AW33</f>
        <v/>
      </c>
      <c r="AX34" s="32">
        <f>(AX24+AX25+AX26+AX27)*AX33</f>
        <v/>
      </c>
      <c r="AY34" s="32">
        <f>(AY24+AY25+AY26+AY27)*AY33</f>
        <v/>
      </c>
      <c r="AZ34" s="32">
        <f>(AZ24+AZ25+AZ26+AZ27)*AZ33</f>
        <v/>
      </c>
      <c r="BA34" s="32">
        <f>(BA24+BA25+BA26+BA27)*BA33</f>
        <v/>
      </c>
      <c r="BB34" s="32">
        <f>(BB24+BB25+BB26+BB27)*BB33</f>
        <v/>
      </c>
      <c r="BC34" s="32">
        <f>(BC24+BC25+BC26+BC27)*BC33</f>
        <v/>
      </c>
      <c r="BD34" s="32">
        <f>(BD24+BD25+BD26+BD27)*BD33</f>
        <v/>
      </c>
      <c r="BE34" s="32">
        <f>(BE24+BE25+BE26+BE27)*BE33</f>
        <v/>
      </c>
      <c r="BF34" s="32">
        <f>(BF24+BF25+BF26+BF27)*BF33</f>
        <v/>
      </c>
      <c r="BG34" s="32">
        <f>(BG24+BG25+BG26+BG27)*BG33</f>
        <v/>
      </c>
      <c r="BH34" s="32">
        <f>(BH24+BH25+BH26+BH27)*BH33</f>
        <v/>
      </c>
      <c r="BI34" s="32">
        <f>(BI24+BI25+BI26+BI27)*BI33</f>
        <v/>
      </c>
      <c r="BJ34" s="32">
        <f>(BJ24+BJ25+BJ26+BJ27)*BJ33</f>
        <v/>
      </c>
      <c r="BK34" s="32">
        <f>(BK24+BK25+BK26+BK27)*BK33</f>
        <v/>
      </c>
    </row>
    <row r="35">
      <c r="A35" s="25" t="inlineStr">
        <is>
          <t>Unsecured money lent (top-ups on loans 3-4, all of loans 5+)</t>
        </is>
      </c>
      <c r="B35" s="28" t="inlineStr">
        <is>
          <t>₹</t>
        </is>
      </c>
      <c r="C35" s="30" t="n">
        <v>0</v>
      </c>
      <c r="D35" s="32">
        <f>(D26+D27)*D33*part_unsec_multiple_ng+D29*loan_ticket_ng</f>
        <v/>
      </c>
      <c r="E35" s="32">
        <f>(E26+E27)*E33*part_unsec_multiple_ng+E29*loan_ticket_ng</f>
        <v/>
      </c>
      <c r="F35" s="32">
        <f>(F26+F27)*F33*part_unsec_multiple_ng+F29*loan_ticket_ng</f>
        <v/>
      </c>
      <c r="G35" s="32">
        <f>(G26+G27)*G33*part_unsec_multiple_ng+G29*loan_ticket_ng</f>
        <v/>
      </c>
      <c r="H35" s="32">
        <f>(H26+H27)*H33*part_unsec_multiple_ng+H29*loan_ticket_ng</f>
        <v/>
      </c>
      <c r="I35" s="32">
        <f>(I26+I27)*I33*part_unsec_multiple_ng+I29*loan_ticket_ng</f>
        <v/>
      </c>
      <c r="J35" s="32">
        <f>(J26+J27)*J33*part_unsec_multiple_ng+J29*loan_ticket_ng</f>
        <v/>
      </c>
      <c r="K35" s="32">
        <f>(K26+K27)*K33*part_unsec_multiple_ng+K29*loan_ticket_ng</f>
        <v/>
      </c>
      <c r="L35" s="32">
        <f>(L26+L27)*L33*part_unsec_multiple_ng+L29*loan_ticket_ng</f>
        <v/>
      </c>
      <c r="M35" s="32">
        <f>(M26+M27)*M33*part_unsec_multiple_ng+M29*loan_ticket_ng</f>
        <v/>
      </c>
      <c r="N35" s="32">
        <f>(N26+N27)*N33*part_unsec_multiple_ng+N29*loan_ticket_ng</f>
        <v/>
      </c>
      <c r="O35" s="32">
        <f>(O26+O27)*O33*part_unsec_multiple_ng+O29*loan_ticket_ng</f>
        <v/>
      </c>
      <c r="P35" s="32">
        <f>(P26+P27)*P33*part_unsec_multiple_ng+P29*loan_ticket_ng</f>
        <v/>
      </c>
      <c r="Q35" s="32">
        <f>(Q26+Q27)*Q33*part_unsec_multiple_ng+Q29*loan_ticket_ng</f>
        <v/>
      </c>
      <c r="R35" s="32">
        <f>(R26+R27)*R33*part_unsec_multiple_ng+R29*loan_ticket_ng</f>
        <v/>
      </c>
      <c r="S35" s="32">
        <f>(S26+S27)*S33*part_unsec_multiple_ng+S29*loan_ticket_ng</f>
        <v/>
      </c>
      <c r="T35" s="32">
        <f>(T26+T27)*T33*part_unsec_multiple_ng+T29*loan_ticket_ng</f>
        <v/>
      </c>
      <c r="U35" s="32">
        <f>(U26+U27)*U33*part_unsec_multiple_ng+U29*loan_ticket_ng</f>
        <v/>
      </c>
      <c r="V35" s="32">
        <f>(V26+V27)*V33*part_unsec_multiple_ng+V29*loan_ticket_ng</f>
        <v/>
      </c>
      <c r="W35" s="32">
        <f>(W26+W27)*W33*part_unsec_multiple_ng+W29*loan_ticket_ng</f>
        <v/>
      </c>
      <c r="X35" s="32">
        <f>(X26+X27)*X33*part_unsec_multiple_ng+X29*loan_ticket_ng</f>
        <v/>
      </c>
      <c r="Y35" s="32">
        <f>(Y26+Y27)*Y33*part_unsec_multiple_ng+Y29*loan_ticket_ng</f>
        <v/>
      </c>
      <c r="Z35" s="32">
        <f>(Z26+Z27)*Z33*part_unsec_multiple_ng+Z29*loan_ticket_ng</f>
        <v/>
      </c>
      <c r="AA35" s="32">
        <f>(AA26+AA27)*AA33*part_unsec_multiple_ng+AA29*loan_ticket_ng</f>
        <v/>
      </c>
      <c r="AB35" s="32">
        <f>(AB26+AB27)*AB33*part_unsec_multiple_ng+AB29*loan_ticket_ng</f>
        <v/>
      </c>
      <c r="AC35" s="32">
        <f>(AC26+AC27)*AC33*part_unsec_multiple_ng+AC29*loan_ticket_ng</f>
        <v/>
      </c>
      <c r="AD35" s="32">
        <f>(AD26+AD27)*AD33*part_unsec_multiple_ng+AD29*loan_ticket_ng</f>
        <v/>
      </c>
      <c r="AE35" s="32">
        <f>(AE26+AE27)*AE33*part_unsec_multiple_ng+AE29*loan_ticket_ng</f>
        <v/>
      </c>
      <c r="AF35" s="32">
        <f>(AF26+AF27)*AF33*part_unsec_multiple_ng+AF29*loan_ticket_ng</f>
        <v/>
      </c>
      <c r="AG35" s="32">
        <f>(AG26+AG27)*AG33*part_unsec_multiple_ng+AG29*loan_ticket_ng</f>
        <v/>
      </c>
      <c r="AH35" s="32">
        <f>(AH26+AH27)*AH33*part_unsec_multiple_ng+AH29*loan_ticket_ng</f>
        <v/>
      </c>
      <c r="AI35" s="32">
        <f>(AI26+AI27)*AI33*part_unsec_multiple_ng+AI29*loan_ticket_ng</f>
        <v/>
      </c>
      <c r="AJ35" s="32">
        <f>(AJ26+AJ27)*AJ33*part_unsec_multiple_ng+AJ29*loan_ticket_ng</f>
        <v/>
      </c>
      <c r="AK35" s="32">
        <f>(AK26+AK27)*AK33*part_unsec_multiple_ng+AK29*loan_ticket_ng</f>
        <v/>
      </c>
      <c r="AL35" s="32">
        <f>(AL26+AL27)*AL33*part_unsec_multiple_ng+AL29*loan_ticket_ng</f>
        <v/>
      </c>
      <c r="AM35" s="32">
        <f>(AM26+AM27)*AM33*part_unsec_multiple_ng+AM29*loan_ticket_ng</f>
        <v/>
      </c>
      <c r="AN35" s="32">
        <f>(AN26+AN27)*AN33*part_unsec_multiple_ng+AN29*loan_ticket_ng</f>
        <v/>
      </c>
      <c r="AO35" s="32">
        <f>(AO26+AO27)*AO33*part_unsec_multiple_ng+AO29*loan_ticket_ng</f>
        <v/>
      </c>
      <c r="AP35" s="32">
        <f>(AP26+AP27)*AP33*part_unsec_multiple_ng+AP29*loan_ticket_ng</f>
        <v/>
      </c>
      <c r="AQ35" s="32">
        <f>(AQ26+AQ27)*AQ33*part_unsec_multiple_ng+AQ29*loan_ticket_ng</f>
        <v/>
      </c>
      <c r="AR35" s="32">
        <f>(AR26+AR27)*AR33*part_unsec_multiple_ng+AR29*loan_ticket_ng</f>
        <v/>
      </c>
      <c r="AS35" s="32">
        <f>(AS26+AS27)*AS33*part_unsec_multiple_ng+AS29*loan_ticket_ng</f>
        <v/>
      </c>
      <c r="AT35" s="32">
        <f>(AT26+AT27)*AT33*part_unsec_multiple_ng+AT29*loan_ticket_ng</f>
        <v/>
      </c>
      <c r="AU35" s="32">
        <f>(AU26+AU27)*AU33*part_unsec_multiple_ng+AU29*loan_ticket_ng</f>
        <v/>
      </c>
      <c r="AV35" s="32">
        <f>(AV26+AV27)*AV33*part_unsec_multiple_ng+AV29*loan_ticket_ng</f>
        <v/>
      </c>
      <c r="AW35" s="32">
        <f>(AW26+AW27)*AW33*part_unsec_multiple_ng+AW29*loan_ticket_ng</f>
        <v/>
      </c>
      <c r="AX35" s="32">
        <f>(AX26+AX27)*AX33*part_unsec_multiple_ng+AX29*loan_ticket_ng</f>
        <v/>
      </c>
      <c r="AY35" s="32">
        <f>(AY26+AY27)*AY33*part_unsec_multiple_ng+AY29*loan_ticket_ng</f>
        <v/>
      </c>
      <c r="AZ35" s="32">
        <f>(AZ26+AZ27)*AZ33*part_unsec_multiple_ng+AZ29*loan_ticket_ng</f>
        <v/>
      </c>
      <c r="BA35" s="32">
        <f>(BA26+BA27)*BA33*part_unsec_multiple_ng+BA29*loan_ticket_ng</f>
        <v/>
      </c>
      <c r="BB35" s="32">
        <f>(BB26+BB27)*BB33*part_unsec_multiple_ng+BB29*loan_ticket_ng</f>
        <v/>
      </c>
      <c r="BC35" s="32">
        <f>(BC26+BC27)*BC33*part_unsec_multiple_ng+BC29*loan_ticket_ng</f>
        <v/>
      </c>
      <c r="BD35" s="32">
        <f>(BD26+BD27)*BD33*part_unsec_multiple_ng+BD29*loan_ticket_ng</f>
        <v/>
      </c>
      <c r="BE35" s="32">
        <f>(BE26+BE27)*BE33*part_unsec_multiple_ng+BE29*loan_ticket_ng</f>
        <v/>
      </c>
      <c r="BF35" s="32">
        <f>(BF26+BF27)*BF33*part_unsec_multiple_ng+BF29*loan_ticket_ng</f>
        <v/>
      </c>
      <c r="BG35" s="32">
        <f>(BG26+BG27)*BG33*part_unsec_multiple_ng+BG29*loan_ticket_ng</f>
        <v/>
      </c>
      <c r="BH35" s="32">
        <f>(BH26+BH27)*BH33*part_unsec_multiple_ng+BH29*loan_ticket_ng</f>
        <v/>
      </c>
      <c r="BI35" s="32">
        <f>(BI26+BI27)*BI33*part_unsec_multiple_ng+BI29*loan_ticket_ng</f>
        <v/>
      </c>
      <c r="BJ35" s="32">
        <f>(BJ26+BJ27)*BJ33*part_unsec_multiple_ng+BJ29*loan_ticket_ng</f>
        <v/>
      </c>
      <c r="BK35" s="32">
        <f>(BK26+BK27)*BK33*part_unsec_multiple_ng+BK29*loan_ticket_ng</f>
        <v/>
      </c>
    </row>
    <row r="36">
      <c r="A36" s="25" t="inlineStr">
        <is>
          <t>Money lent (by partners, or by our NBFC if that lever is on)</t>
        </is>
      </c>
      <c r="B36" s="28" t="inlineStr">
        <is>
          <t>₹</t>
        </is>
      </c>
      <c r="C36" s="30" t="n">
        <v>0</v>
      </c>
      <c r="D36" s="32">
        <f>D34+D35</f>
        <v/>
      </c>
      <c r="E36" s="32">
        <f>E34+E35</f>
        <v/>
      </c>
      <c r="F36" s="32">
        <f>F34+F35</f>
        <v/>
      </c>
      <c r="G36" s="32">
        <f>G34+G35</f>
        <v/>
      </c>
      <c r="H36" s="32">
        <f>H34+H35</f>
        <v/>
      </c>
      <c r="I36" s="32">
        <f>I34+I35</f>
        <v/>
      </c>
      <c r="J36" s="32">
        <f>J34+J35</f>
        <v/>
      </c>
      <c r="K36" s="32">
        <f>K34+K35</f>
        <v/>
      </c>
      <c r="L36" s="32">
        <f>L34+L35</f>
        <v/>
      </c>
      <c r="M36" s="32">
        <f>M34+M35</f>
        <v/>
      </c>
      <c r="N36" s="32">
        <f>N34+N35</f>
        <v/>
      </c>
      <c r="O36" s="32">
        <f>O34+O35</f>
        <v/>
      </c>
      <c r="P36" s="32">
        <f>P34+P35</f>
        <v/>
      </c>
      <c r="Q36" s="32">
        <f>Q34+Q35</f>
        <v/>
      </c>
      <c r="R36" s="32">
        <f>R34+R35</f>
        <v/>
      </c>
      <c r="S36" s="32">
        <f>S34+S35</f>
        <v/>
      </c>
      <c r="T36" s="32">
        <f>T34+T35</f>
        <v/>
      </c>
      <c r="U36" s="32">
        <f>U34+U35</f>
        <v/>
      </c>
      <c r="V36" s="32">
        <f>V34+V35</f>
        <v/>
      </c>
      <c r="W36" s="32">
        <f>W34+W35</f>
        <v/>
      </c>
      <c r="X36" s="32">
        <f>X34+X35</f>
        <v/>
      </c>
      <c r="Y36" s="32">
        <f>Y34+Y35</f>
        <v/>
      </c>
      <c r="Z36" s="32">
        <f>Z34+Z35</f>
        <v/>
      </c>
      <c r="AA36" s="32">
        <f>AA34+AA35</f>
        <v/>
      </c>
      <c r="AB36" s="32">
        <f>AB34+AB35</f>
        <v/>
      </c>
      <c r="AC36" s="32">
        <f>AC34+AC35</f>
        <v/>
      </c>
      <c r="AD36" s="32">
        <f>AD34+AD35</f>
        <v/>
      </c>
      <c r="AE36" s="32">
        <f>AE34+AE35</f>
        <v/>
      </c>
      <c r="AF36" s="32">
        <f>AF34+AF35</f>
        <v/>
      </c>
      <c r="AG36" s="32">
        <f>AG34+AG35</f>
        <v/>
      </c>
      <c r="AH36" s="32">
        <f>AH34+AH35</f>
        <v/>
      </c>
      <c r="AI36" s="32">
        <f>AI34+AI35</f>
        <v/>
      </c>
      <c r="AJ36" s="32">
        <f>AJ34+AJ35</f>
        <v/>
      </c>
      <c r="AK36" s="32">
        <f>AK34+AK35</f>
        <v/>
      </c>
      <c r="AL36" s="32">
        <f>AL34+AL35</f>
        <v/>
      </c>
      <c r="AM36" s="32">
        <f>AM34+AM35</f>
        <v/>
      </c>
      <c r="AN36" s="32">
        <f>AN34+AN35</f>
        <v/>
      </c>
      <c r="AO36" s="32">
        <f>AO34+AO35</f>
        <v/>
      </c>
      <c r="AP36" s="32">
        <f>AP34+AP35</f>
        <v/>
      </c>
      <c r="AQ36" s="32">
        <f>AQ34+AQ35</f>
        <v/>
      </c>
      <c r="AR36" s="32">
        <f>AR34+AR35</f>
        <v/>
      </c>
      <c r="AS36" s="32">
        <f>AS34+AS35</f>
        <v/>
      </c>
      <c r="AT36" s="32">
        <f>AT34+AT35</f>
        <v/>
      </c>
      <c r="AU36" s="32">
        <f>AU34+AU35</f>
        <v/>
      </c>
      <c r="AV36" s="32">
        <f>AV34+AV35</f>
        <v/>
      </c>
      <c r="AW36" s="32">
        <f>AW34+AW35</f>
        <v/>
      </c>
      <c r="AX36" s="32">
        <f>AX34+AX35</f>
        <v/>
      </c>
      <c r="AY36" s="32">
        <f>AY34+AY35</f>
        <v/>
      </c>
      <c r="AZ36" s="32">
        <f>AZ34+AZ35</f>
        <v/>
      </c>
      <c r="BA36" s="32">
        <f>BA34+BA35</f>
        <v/>
      </c>
      <c r="BB36" s="32">
        <f>BB34+BB35</f>
        <v/>
      </c>
      <c r="BC36" s="32">
        <f>BC34+BC35</f>
        <v/>
      </c>
      <c r="BD36" s="32">
        <f>BD34+BD35</f>
        <v/>
      </c>
      <c r="BE36" s="32">
        <f>BE34+BE35</f>
        <v/>
      </c>
      <c r="BF36" s="32">
        <f>BF34+BF35</f>
        <v/>
      </c>
      <c r="BG36" s="32">
        <f>BG34+BG35</f>
        <v/>
      </c>
      <c r="BH36" s="32">
        <f>BH34+BH35</f>
        <v/>
      </c>
      <c r="BI36" s="32">
        <f>BI34+BI35</f>
        <v/>
      </c>
      <c r="BJ36" s="32">
        <f>BJ34+BJ35</f>
        <v/>
      </c>
      <c r="BK36" s="32">
        <f>BK34+BK35</f>
        <v/>
      </c>
    </row>
    <row r="37">
      <c r="A37" s="25" t="inlineStr">
        <is>
          <t>Unsecured money lent in the last loan-length months (sets the guarantee deposit)</t>
        </is>
      </c>
      <c r="B37" s="28" t="inlineStr">
        <is>
          <t>₹</t>
        </is>
      </c>
      <c r="C37" s="30" t="n">
        <v>0</v>
      </c>
      <c r="D37" s="32">
        <f>C37+D35-IF(D$4&gt;loan_tenor_ng,INDEX($C$35:C$35,1,D$4-loan_tenor_ng+1),0)</f>
        <v/>
      </c>
      <c r="E37" s="32">
        <f>D37+E35-IF(E$4&gt;loan_tenor_ng,INDEX($C$35:D$35,1,E$4-loan_tenor_ng+1),0)</f>
        <v/>
      </c>
      <c r="F37" s="32">
        <f>E37+F35-IF(F$4&gt;loan_tenor_ng,INDEX($C$35:E$35,1,F$4-loan_tenor_ng+1),0)</f>
        <v/>
      </c>
      <c r="G37" s="32">
        <f>F37+G35-IF(G$4&gt;loan_tenor_ng,INDEX($C$35:F$35,1,G$4-loan_tenor_ng+1),0)</f>
        <v/>
      </c>
      <c r="H37" s="32">
        <f>G37+H35-IF(H$4&gt;loan_tenor_ng,INDEX($C$35:G$35,1,H$4-loan_tenor_ng+1),0)</f>
        <v/>
      </c>
      <c r="I37" s="32">
        <f>H37+I35-IF(I$4&gt;loan_tenor_ng,INDEX($C$35:H$35,1,I$4-loan_tenor_ng+1),0)</f>
        <v/>
      </c>
      <c r="J37" s="32">
        <f>I37+J35-IF(J$4&gt;loan_tenor_ng,INDEX($C$35:I$35,1,J$4-loan_tenor_ng+1),0)</f>
        <v/>
      </c>
      <c r="K37" s="32">
        <f>J37+K35-IF(K$4&gt;loan_tenor_ng,INDEX($C$35:J$35,1,K$4-loan_tenor_ng+1),0)</f>
        <v/>
      </c>
      <c r="L37" s="32">
        <f>K37+L35-IF(L$4&gt;loan_tenor_ng,INDEX($C$35:K$35,1,L$4-loan_tenor_ng+1),0)</f>
        <v/>
      </c>
      <c r="M37" s="32">
        <f>L37+M35-IF(M$4&gt;loan_tenor_ng,INDEX($C$35:L$35,1,M$4-loan_tenor_ng+1),0)</f>
        <v/>
      </c>
      <c r="N37" s="32">
        <f>M37+N35-IF(N$4&gt;loan_tenor_ng,INDEX($C$35:M$35,1,N$4-loan_tenor_ng+1),0)</f>
        <v/>
      </c>
      <c r="O37" s="32">
        <f>N37+O35-IF(O$4&gt;loan_tenor_ng,INDEX($C$35:N$35,1,O$4-loan_tenor_ng+1),0)</f>
        <v/>
      </c>
      <c r="P37" s="32">
        <f>O37+P35-IF(P$4&gt;loan_tenor_ng,INDEX($C$35:O$35,1,P$4-loan_tenor_ng+1),0)</f>
        <v/>
      </c>
      <c r="Q37" s="32">
        <f>P37+Q35-IF(Q$4&gt;loan_tenor_ng,INDEX($C$35:P$35,1,Q$4-loan_tenor_ng+1),0)</f>
        <v/>
      </c>
      <c r="R37" s="32">
        <f>Q37+R35-IF(R$4&gt;loan_tenor_ng,INDEX($C$35:Q$35,1,R$4-loan_tenor_ng+1),0)</f>
        <v/>
      </c>
      <c r="S37" s="32">
        <f>R37+S35-IF(S$4&gt;loan_tenor_ng,INDEX($C$35:R$35,1,S$4-loan_tenor_ng+1),0)</f>
        <v/>
      </c>
      <c r="T37" s="32">
        <f>S37+T35-IF(T$4&gt;loan_tenor_ng,INDEX($C$35:S$35,1,T$4-loan_tenor_ng+1),0)</f>
        <v/>
      </c>
      <c r="U37" s="32">
        <f>T37+U35-IF(U$4&gt;loan_tenor_ng,INDEX($C$35:T$35,1,U$4-loan_tenor_ng+1),0)</f>
        <v/>
      </c>
      <c r="V37" s="32">
        <f>U37+V35-IF(V$4&gt;loan_tenor_ng,INDEX($C$35:U$35,1,V$4-loan_tenor_ng+1),0)</f>
        <v/>
      </c>
      <c r="W37" s="32">
        <f>V37+W35-IF(W$4&gt;loan_tenor_ng,INDEX($C$35:V$35,1,W$4-loan_tenor_ng+1),0)</f>
        <v/>
      </c>
      <c r="X37" s="32">
        <f>W37+X35-IF(X$4&gt;loan_tenor_ng,INDEX($C$35:W$35,1,X$4-loan_tenor_ng+1),0)</f>
        <v/>
      </c>
      <c r="Y37" s="32">
        <f>X37+Y35-IF(Y$4&gt;loan_tenor_ng,INDEX($C$35:X$35,1,Y$4-loan_tenor_ng+1),0)</f>
        <v/>
      </c>
      <c r="Z37" s="32">
        <f>Y37+Z35-IF(Z$4&gt;loan_tenor_ng,INDEX($C$35:Y$35,1,Z$4-loan_tenor_ng+1),0)</f>
        <v/>
      </c>
      <c r="AA37" s="32">
        <f>Z37+AA35-IF(AA$4&gt;loan_tenor_ng,INDEX($C$35:Z$35,1,AA$4-loan_tenor_ng+1),0)</f>
        <v/>
      </c>
      <c r="AB37" s="32">
        <f>AA37+AB35-IF(AB$4&gt;loan_tenor_ng,INDEX($C$35:AA$35,1,AB$4-loan_tenor_ng+1),0)</f>
        <v/>
      </c>
      <c r="AC37" s="32">
        <f>AB37+AC35-IF(AC$4&gt;loan_tenor_ng,INDEX($C$35:AB$35,1,AC$4-loan_tenor_ng+1),0)</f>
        <v/>
      </c>
      <c r="AD37" s="32">
        <f>AC37+AD35-IF(AD$4&gt;loan_tenor_ng,INDEX($C$35:AC$35,1,AD$4-loan_tenor_ng+1),0)</f>
        <v/>
      </c>
      <c r="AE37" s="32">
        <f>AD37+AE35-IF(AE$4&gt;loan_tenor_ng,INDEX($C$35:AD$35,1,AE$4-loan_tenor_ng+1),0)</f>
        <v/>
      </c>
      <c r="AF37" s="32">
        <f>AE37+AF35-IF(AF$4&gt;loan_tenor_ng,INDEX($C$35:AE$35,1,AF$4-loan_tenor_ng+1),0)</f>
        <v/>
      </c>
      <c r="AG37" s="32">
        <f>AF37+AG35-IF(AG$4&gt;loan_tenor_ng,INDEX($C$35:AF$35,1,AG$4-loan_tenor_ng+1),0)</f>
        <v/>
      </c>
      <c r="AH37" s="32">
        <f>AG37+AH35-IF(AH$4&gt;loan_tenor_ng,INDEX($C$35:AG$35,1,AH$4-loan_tenor_ng+1),0)</f>
        <v/>
      </c>
      <c r="AI37" s="32">
        <f>AH37+AI35-IF(AI$4&gt;loan_tenor_ng,INDEX($C$35:AH$35,1,AI$4-loan_tenor_ng+1),0)</f>
        <v/>
      </c>
      <c r="AJ37" s="32">
        <f>AI37+AJ35-IF(AJ$4&gt;loan_tenor_ng,INDEX($C$35:AI$35,1,AJ$4-loan_tenor_ng+1),0)</f>
        <v/>
      </c>
      <c r="AK37" s="32">
        <f>AJ37+AK35-IF(AK$4&gt;loan_tenor_ng,INDEX($C$35:AJ$35,1,AK$4-loan_tenor_ng+1),0)</f>
        <v/>
      </c>
      <c r="AL37" s="32">
        <f>AK37+AL35-IF(AL$4&gt;loan_tenor_ng,INDEX($C$35:AK$35,1,AL$4-loan_tenor_ng+1),0)</f>
        <v/>
      </c>
      <c r="AM37" s="32">
        <f>AL37+AM35-IF(AM$4&gt;loan_tenor_ng,INDEX($C$35:AL$35,1,AM$4-loan_tenor_ng+1),0)</f>
        <v/>
      </c>
      <c r="AN37" s="32">
        <f>AM37+AN35-IF(AN$4&gt;loan_tenor_ng,INDEX($C$35:AM$35,1,AN$4-loan_tenor_ng+1),0)</f>
        <v/>
      </c>
      <c r="AO37" s="32">
        <f>AN37+AO35-IF(AO$4&gt;loan_tenor_ng,INDEX($C$35:AN$35,1,AO$4-loan_tenor_ng+1),0)</f>
        <v/>
      </c>
      <c r="AP37" s="32">
        <f>AO37+AP35-IF(AP$4&gt;loan_tenor_ng,INDEX($C$35:AO$35,1,AP$4-loan_tenor_ng+1),0)</f>
        <v/>
      </c>
      <c r="AQ37" s="32">
        <f>AP37+AQ35-IF(AQ$4&gt;loan_tenor_ng,INDEX($C$35:AP$35,1,AQ$4-loan_tenor_ng+1),0)</f>
        <v/>
      </c>
      <c r="AR37" s="32">
        <f>AQ37+AR35-IF(AR$4&gt;loan_tenor_ng,INDEX($C$35:AQ$35,1,AR$4-loan_tenor_ng+1),0)</f>
        <v/>
      </c>
      <c r="AS37" s="32">
        <f>AR37+AS35-IF(AS$4&gt;loan_tenor_ng,INDEX($C$35:AR$35,1,AS$4-loan_tenor_ng+1),0)</f>
        <v/>
      </c>
      <c r="AT37" s="32">
        <f>AS37+AT35-IF(AT$4&gt;loan_tenor_ng,INDEX($C$35:AS$35,1,AT$4-loan_tenor_ng+1),0)</f>
        <v/>
      </c>
      <c r="AU37" s="32">
        <f>AT37+AU35-IF(AU$4&gt;loan_tenor_ng,INDEX($C$35:AT$35,1,AU$4-loan_tenor_ng+1),0)</f>
        <v/>
      </c>
      <c r="AV37" s="32">
        <f>AU37+AV35-IF(AV$4&gt;loan_tenor_ng,INDEX($C$35:AU$35,1,AV$4-loan_tenor_ng+1),0)</f>
        <v/>
      </c>
      <c r="AW37" s="32">
        <f>AV37+AW35-IF(AW$4&gt;loan_tenor_ng,INDEX($C$35:AV$35,1,AW$4-loan_tenor_ng+1),0)</f>
        <v/>
      </c>
      <c r="AX37" s="32">
        <f>AW37+AX35-IF(AX$4&gt;loan_tenor_ng,INDEX($C$35:AW$35,1,AX$4-loan_tenor_ng+1),0)</f>
        <v/>
      </c>
      <c r="AY37" s="32">
        <f>AX37+AY35-IF(AY$4&gt;loan_tenor_ng,INDEX($C$35:AX$35,1,AY$4-loan_tenor_ng+1),0)</f>
        <v/>
      </c>
      <c r="AZ37" s="32">
        <f>AY37+AZ35-IF(AZ$4&gt;loan_tenor_ng,INDEX($C$35:AY$35,1,AZ$4-loan_tenor_ng+1),0)</f>
        <v/>
      </c>
      <c r="BA37" s="32">
        <f>AZ37+BA35-IF(BA$4&gt;loan_tenor_ng,INDEX($C$35:AZ$35,1,BA$4-loan_tenor_ng+1),0)</f>
        <v/>
      </c>
      <c r="BB37" s="32">
        <f>BA37+BB35-IF(BB$4&gt;loan_tenor_ng,INDEX($C$35:BA$35,1,BB$4-loan_tenor_ng+1),0)</f>
        <v/>
      </c>
      <c r="BC37" s="32">
        <f>BB37+BC35-IF(BC$4&gt;loan_tenor_ng,INDEX($C$35:BB$35,1,BC$4-loan_tenor_ng+1),0)</f>
        <v/>
      </c>
      <c r="BD37" s="32">
        <f>BC37+BD35-IF(BD$4&gt;loan_tenor_ng,INDEX($C$35:BC$35,1,BD$4-loan_tenor_ng+1),0)</f>
        <v/>
      </c>
      <c r="BE37" s="32">
        <f>BD37+BE35-IF(BE$4&gt;loan_tenor_ng,INDEX($C$35:BD$35,1,BE$4-loan_tenor_ng+1),0)</f>
        <v/>
      </c>
      <c r="BF37" s="32">
        <f>BE37+BF35-IF(BF$4&gt;loan_tenor_ng,INDEX($C$35:BE$35,1,BF$4-loan_tenor_ng+1),0)</f>
        <v/>
      </c>
      <c r="BG37" s="32">
        <f>BF37+BG35-IF(BG$4&gt;loan_tenor_ng,INDEX($C$35:BF$35,1,BG$4-loan_tenor_ng+1),0)</f>
        <v/>
      </c>
      <c r="BH37" s="32">
        <f>BG37+BH35-IF(BH$4&gt;loan_tenor_ng,INDEX($C$35:BG$35,1,BH$4-loan_tenor_ng+1),0)</f>
        <v/>
      </c>
      <c r="BI37" s="32">
        <f>BH37+BI35-IF(BI$4&gt;loan_tenor_ng,INDEX($C$35:BH$35,1,BI$4-loan_tenor_ng+1),0)</f>
        <v/>
      </c>
      <c r="BJ37" s="32">
        <f>BI37+BJ35-IF(BJ$4&gt;loan_tenor_ng,INDEX($C$35:BI$35,1,BJ$4-loan_tenor_ng+1),0)</f>
        <v/>
      </c>
      <c r="BK37" s="32">
        <f>BJ37+BK35-IF(BK$4&gt;loan_tenor_ng,INDEX($C$35:BJ$35,1,BK$4-loan_tenor_ng+1),0)</f>
        <v/>
      </c>
    </row>
    <row r="38">
      <c r="A38" s="25" t="inlineStr">
        <is>
          <t>All money lent in the last loan-length months (an own NBFC's book)</t>
        </is>
      </c>
      <c r="B38" s="28" t="inlineStr">
        <is>
          <t>₹</t>
        </is>
      </c>
      <c r="C38" s="30" t="n">
        <v>0</v>
      </c>
      <c r="D38" s="32">
        <f>C38+D36-IF(D$4&gt;loan_tenor_ng,INDEX($C$36:C$36,1,D$4-loan_tenor_ng+1),0)</f>
        <v/>
      </c>
      <c r="E38" s="32">
        <f>D38+E36-IF(E$4&gt;loan_tenor_ng,INDEX($C$36:D$36,1,E$4-loan_tenor_ng+1),0)</f>
        <v/>
      </c>
      <c r="F38" s="32">
        <f>E38+F36-IF(F$4&gt;loan_tenor_ng,INDEX($C$36:E$36,1,F$4-loan_tenor_ng+1),0)</f>
        <v/>
      </c>
      <c r="G38" s="32">
        <f>F38+G36-IF(G$4&gt;loan_tenor_ng,INDEX($C$36:F$36,1,G$4-loan_tenor_ng+1),0)</f>
        <v/>
      </c>
      <c r="H38" s="32">
        <f>G38+H36-IF(H$4&gt;loan_tenor_ng,INDEX($C$36:G$36,1,H$4-loan_tenor_ng+1),0)</f>
        <v/>
      </c>
      <c r="I38" s="32">
        <f>H38+I36-IF(I$4&gt;loan_tenor_ng,INDEX($C$36:H$36,1,I$4-loan_tenor_ng+1),0)</f>
        <v/>
      </c>
      <c r="J38" s="32">
        <f>I38+J36-IF(J$4&gt;loan_tenor_ng,INDEX($C$36:I$36,1,J$4-loan_tenor_ng+1),0)</f>
        <v/>
      </c>
      <c r="K38" s="32">
        <f>J38+K36-IF(K$4&gt;loan_tenor_ng,INDEX($C$36:J$36,1,K$4-loan_tenor_ng+1),0)</f>
        <v/>
      </c>
      <c r="L38" s="32">
        <f>K38+L36-IF(L$4&gt;loan_tenor_ng,INDEX($C$36:K$36,1,L$4-loan_tenor_ng+1),0)</f>
        <v/>
      </c>
      <c r="M38" s="32">
        <f>L38+M36-IF(M$4&gt;loan_tenor_ng,INDEX($C$36:L$36,1,M$4-loan_tenor_ng+1),0)</f>
        <v/>
      </c>
      <c r="N38" s="32">
        <f>M38+N36-IF(N$4&gt;loan_tenor_ng,INDEX($C$36:M$36,1,N$4-loan_tenor_ng+1),0)</f>
        <v/>
      </c>
      <c r="O38" s="32">
        <f>N38+O36-IF(O$4&gt;loan_tenor_ng,INDEX($C$36:N$36,1,O$4-loan_tenor_ng+1),0)</f>
        <v/>
      </c>
      <c r="P38" s="32">
        <f>O38+P36-IF(P$4&gt;loan_tenor_ng,INDEX($C$36:O$36,1,P$4-loan_tenor_ng+1),0)</f>
        <v/>
      </c>
      <c r="Q38" s="32">
        <f>P38+Q36-IF(Q$4&gt;loan_tenor_ng,INDEX($C$36:P$36,1,Q$4-loan_tenor_ng+1),0)</f>
        <v/>
      </c>
      <c r="R38" s="32">
        <f>Q38+R36-IF(R$4&gt;loan_tenor_ng,INDEX($C$36:Q$36,1,R$4-loan_tenor_ng+1),0)</f>
        <v/>
      </c>
      <c r="S38" s="32">
        <f>R38+S36-IF(S$4&gt;loan_tenor_ng,INDEX($C$36:R$36,1,S$4-loan_tenor_ng+1),0)</f>
        <v/>
      </c>
      <c r="T38" s="32">
        <f>S38+T36-IF(T$4&gt;loan_tenor_ng,INDEX($C$36:S$36,1,T$4-loan_tenor_ng+1),0)</f>
        <v/>
      </c>
      <c r="U38" s="32">
        <f>T38+U36-IF(U$4&gt;loan_tenor_ng,INDEX($C$36:T$36,1,U$4-loan_tenor_ng+1),0)</f>
        <v/>
      </c>
      <c r="V38" s="32">
        <f>U38+V36-IF(V$4&gt;loan_tenor_ng,INDEX($C$36:U$36,1,V$4-loan_tenor_ng+1),0)</f>
        <v/>
      </c>
      <c r="W38" s="32">
        <f>V38+W36-IF(W$4&gt;loan_tenor_ng,INDEX($C$36:V$36,1,W$4-loan_tenor_ng+1),0)</f>
        <v/>
      </c>
      <c r="X38" s="32">
        <f>W38+X36-IF(X$4&gt;loan_tenor_ng,INDEX($C$36:W$36,1,X$4-loan_tenor_ng+1),0)</f>
        <v/>
      </c>
      <c r="Y38" s="32">
        <f>X38+Y36-IF(Y$4&gt;loan_tenor_ng,INDEX($C$36:X$36,1,Y$4-loan_tenor_ng+1),0)</f>
        <v/>
      </c>
      <c r="Z38" s="32">
        <f>Y38+Z36-IF(Z$4&gt;loan_tenor_ng,INDEX($C$36:Y$36,1,Z$4-loan_tenor_ng+1),0)</f>
        <v/>
      </c>
      <c r="AA38" s="32">
        <f>Z38+AA36-IF(AA$4&gt;loan_tenor_ng,INDEX($C$36:Z$36,1,AA$4-loan_tenor_ng+1),0)</f>
        <v/>
      </c>
      <c r="AB38" s="32">
        <f>AA38+AB36-IF(AB$4&gt;loan_tenor_ng,INDEX($C$36:AA$36,1,AB$4-loan_tenor_ng+1),0)</f>
        <v/>
      </c>
      <c r="AC38" s="32">
        <f>AB38+AC36-IF(AC$4&gt;loan_tenor_ng,INDEX($C$36:AB$36,1,AC$4-loan_tenor_ng+1),0)</f>
        <v/>
      </c>
      <c r="AD38" s="32">
        <f>AC38+AD36-IF(AD$4&gt;loan_tenor_ng,INDEX($C$36:AC$36,1,AD$4-loan_tenor_ng+1),0)</f>
        <v/>
      </c>
      <c r="AE38" s="32">
        <f>AD38+AE36-IF(AE$4&gt;loan_tenor_ng,INDEX($C$36:AD$36,1,AE$4-loan_tenor_ng+1),0)</f>
        <v/>
      </c>
      <c r="AF38" s="32">
        <f>AE38+AF36-IF(AF$4&gt;loan_tenor_ng,INDEX($C$36:AE$36,1,AF$4-loan_tenor_ng+1),0)</f>
        <v/>
      </c>
      <c r="AG38" s="32">
        <f>AF38+AG36-IF(AG$4&gt;loan_tenor_ng,INDEX($C$36:AF$36,1,AG$4-loan_tenor_ng+1),0)</f>
        <v/>
      </c>
      <c r="AH38" s="32">
        <f>AG38+AH36-IF(AH$4&gt;loan_tenor_ng,INDEX($C$36:AG$36,1,AH$4-loan_tenor_ng+1),0)</f>
        <v/>
      </c>
      <c r="AI38" s="32">
        <f>AH38+AI36-IF(AI$4&gt;loan_tenor_ng,INDEX($C$36:AH$36,1,AI$4-loan_tenor_ng+1),0)</f>
        <v/>
      </c>
      <c r="AJ38" s="32">
        <f>AI38+AJ36-IF(AJ$4&gt;loan_tenor_ng,INDEX($C$36:AI$36,1,AJ$4-loan_tenor_ng+1),0)</f>
        <v/>
      </c>
      <c r="AK38" s="32">
        <f>AJ38+AK36-IF(AK$4&gt;loan_tenor_ng,INDEX($C$36:AJ$36,1,AK$4-loan_tenor_ng+1),0)</f>
        <v/>
      </c>
      <c r="AL38" s="32">
        <f>AK38+AL36-IF(AL$4&gt;loan_tenor_ng,INDEX($C$36:AK$36,1,AL$4-loan_tenor_ng+1),0)</f>
        <v/>
      </c>
      <c r="AM38" s="32">
        <f>AL38+AM36-IF(AM$4&gt;loan_tenor_ng,INDEX($C$36:AL$36,1,AM$4-loan_tenor_ng+1),0)</f>
        <v/>
      </c>
      <c r="AN38" s="32">
        <f>AM38+AN36-IF(AN$4&gt;loan_tenor_ng,INDEX($C$36:AM$36,1,AN$4-loan_tenor_ng+1),0)</f>
        <v/>
      </c>
      <c r="AO38" s="32">
        <f>AN38+AO36-IF(AO$4&gt;loan_tenor_ng,INDEX($C$36:AN$36,1,AO$4-loan_tenor_ng+1),0)</f>
        <v/>
      </c>
      <c r="AP38" s="32">
        <f>AO38+AP36-IF(AP$4&gt;loan_tenor_ng,INDEX($C$36:AO$36,1,AP$4-loan_tenor_ng+1),0)</f>
        <v/>
      </c>
      <c r="AQ38" s="32">
        <f>AP38+AQ36-IF(AQ$4&gt;loan_tenor_ng,INDEX($C$36:AP$36,1,AQ$4-loan_tenor_ng+1),0)</f>
        <v/>
      </c>
      <c r="AR38" s="32">
        <f>AQ38+AR36-IF(AR$4&gt;loan_tenor_ng,INDEX($C$36:AQ$36,1,AR$4-loan_tenor_ng+1),0)</f>
        <v/>
      </c>
      <c r="AS38" s="32">
        <f>AR38+AS36-IF(AS$4&gt;loan_tenor_ng,INDEX($C$36:AR$36,1,AS$4-loan_tenor_ng+1),0)</f>
        <v/>
      </c>
      <c r="AT38" s="32">
        <f>AS38+AT36-IF(AT$4&gt;loan_tenor_ng,INDEX($C$36:AS$36,1,AT$4-loan_tenor_ng+1),0)</f>
        <v/>
      </c>
      <c r="AU38" s="32">
        <f>AT38+AU36-IF(AU$4&gt;loan_tenor_ng,INDEX($C$36:AT$36,1,AU$4-loan_tenor_ng+1),0)</f>
        <v/>
      </c>
      <c r="AV38" s="32">
        <f>AU38+AV36-IF(AV$4&gt;loan_tenor_ng,INDEX($C$36:AU$36,1,AV$4-loan_tenor_ng+1),0)</f>
        <v/>
      </c>
      <c r="AW38" s="32">
        <f>AV38+AW36-IF(AW$4&gt;loan_tenor_ng,INDEX($C$36:AV$36,1,AW$4-loan_tenor_ng+1),0)</f>
        <v/>
      </c>
      <c r="AX38" s="32">
        <f>AW38+AX36-IF(AX$4&gt;loan_tenor_ng,INDEX($C$36:AW$36,1,AX$4-loan_tenor_ng+1),0)</f>
        <v/>
      </c>
      <c r="AY38" s="32">
        <f>AX38+AY36-IF(AY$4&gt;loan_tenor_ng,INDEX($C$36:AX$36,1,AY$4-loan_tenor_ng+1),0)</f>
        <v/>
      </c>
      <c r="AZ38" s="32">
        <f>AY38+AZ36-IF(AZ$4&gt;loan_tenor_ng,INDEX($C$36:AY$36,1,AZ$4-loan_tenor_ng+1),0)</f>
        <v/>
      </c>
      <c r="BA38" s="32">
        <f>AZ38+BA36-IF(BA$4&gt;loan_tenor_ng,INDEX($C$36:AZ$36,1,BA$4-loan_tenor_ng+1),0)</f>
        <v/>
      </c>
      <c r="BB38" s="32">
        <f>BA38+BB36-IF(BB$4&gt;loan_tenor_ng,INDEX($C$36:BA$36,1,BB$4-loan_tenor_ng+1),0)</f>
        <v/>
      </c>
      <c r="BC38" s="32">
        <f>BB38+BC36-IF(BC$4&gt;loan_tenor_ng,INDEX($C$36:BB$36,1,BC$4-loan_tenor_ng+1),0)</f>
        <v/>
      </c>
      <c r="BD38" s="32">
        <f>BC38+BD36-IF(BD$4&gt;loan_tenor_ng,INDEX($C$36:BC$36,1,BD$4-loan_tenor_ng+1),0)</f>
        <v/>
      </c>
      <c r="BE38" s="32">
        <f>BD38+BE36-IF(BE$4&gt;loan_tenor_ng,INDEX($C$36:BD$36,1,BE$4-loan_tenor_ng+1),0)</f>
        <v/>
      </c>
      <c r="BF38" s="32">
        <f>BE38+BF36-IF(BF$4&gt;loan_tenor_ng,INDEX($C$36:BE$36,1,BF$4-loan_tenor_ng+1),0)</f>
        <v/>
      </c>
      <c r="BG38" s="32">
        <f>BF38+BG36-IF(BG$4&gt;loan_tenor_ng,INDEX($C$36:BF$36,1,BG$4-loan_tenor_ng+1),0)</f>
        <v/>
      </c>
      <c r="BH38" s="32">
        <f>BG38+BH36-IF(BH$4&gt;loan_tenor_ng,INDEX($C$36:BG$36,1,BH$4-loan_tenor_ng+1),0)</f>
        <v/>
      </c>
      <c r="BI38" s="32">
        <f>BH38+BI36-IF(BI$4&gt;loan_tenor_ng,INDEX($C$36:BH$36,1,BI$4-loan_tenor_ng+1),0)</f>
        <v/>
      </c>
      <c r="BJ38" s="32">
        <f>BI38+BJ36-IF(BJ$4&gt;loan_tenor_ng,INDEX($C$36:BI$36,1,BJ$4-loan_tenor_ng+1),0)</f>
        <v/>
      </c>
      <c r="BK38" s="32">
        <f>BJ38+BK36-IF(BK$4&gt;loan_tenor_ng,INDEX($C$36:BJ$36,1,BK$4-loan_tenor_ng+1),0)</f>
        <v/>
      </c>
    </row>
    <row r="39">
      <c r="A39" s="25" t="inlineStr">
        <is>
          <t>Capital locked: guarantee deposit, or NBFC equity for the loan book</t>
        </is>
      </c>
      <c r="B39" s="28" t="inlineStr">
        <is>
          <t>₹</t>
        </is>
      </c>
      <c r="C39" s="30" t="n">
        <v>0</v>
      </c>
      <c r="D39" s="32">
        <f>IF(nbfc_on_ng=1,nbfc_equity_ng*nbfc_avg_frac_ng*D38,dlg_on_ng*dlg_cap_ng*D37)</f>
        <v/>
      </c>
      <c r="E39" s="32">
        <f>IF(nbfc_on_ng=1,nbfc_equity_ng*nbfc_avg_frac_ng*E38,dlg_on_ng*dlg_cap_ng*E37)</f>
        <v/>
      </c>
      <c r="F39" s="32">
        <f>IF(nbfc_on_ng=1,nbfc_equity_ng*nbfc_avg_frac_ng*F38,dlg_on_ng*dlg_cap_ng*F37)</f>
        <v/>
      </c>
      <c r="G39" s="32">
        <f>IF(nbfc_on_ng=1,nbfc_equity_ng*nbfc_avg_frac_ng*G38,dlg_on_ng*dlg_cap_ng*G37)</f>
        <v/>
      </c>
      <c r="H39" s="32">
        <f>IF(nbfc_on_ng=1,nbfc_equity_ng*nbfc_avg_frac_ng*H38,dlg_on_ng*dlg_cap_ng*H37)</f>
        <v/>
      </c>
      <c r="I39" s="32">
        <f>IF(nbfc_on_ng=1,nbfc_equity_ng*nbfc_avg_frac_ng*I38,dlg_on_ng*dlg_cap_ng*I37)</f>
        <v/>
      </c>
      <c r="J39" s="32">
        <f>IF(nbfc_on_ng=1,nbfc_equity_ng*nbfc_avg_frac_ng*J38,dlg_on_ng*dlg_cap_ng*J37)</f>
        <v/>
      </c>
      <c r="K39" s="32">
        <f>IF(nbfc_on_ng=1,nbfc_equity_ng*nbfc_avg_frac_ng*K38,dlg_on_ng*dlg_cap_ng*K37)</f>
        <v/>
      </c>
      <c r="L39" s="32">
        <f>IF(nbfc_on_ng=1,nbfc_equity_ng*nbfc_avg_frac_ng*L38,dlg_on_ng*dlg_cap_ng*L37)</f>
        <v/>
      </c>
      <c r="M39" s="32">
        <f>IF(nbfc_on_ng=1,nbfc_equity_ng*nbfc_avg_frac_ng*M38,dlg_on_ng*dlg_cap_ng*M37)</f>
        <v/>
      </c>
      <c r="N39" s="32">
        <f>IF(nbfc_on_ng=1,nbfc_equity_ng*nbfc_avg_frac_ng*N38,dlg_on_ng*dlg_cap_ng*N37)</f>
        <v/>
      </c>
      <c r="O39" s="32">
        <f>IF(nbfc_on_ng=1,nbfc_equity_ng*nbfc_avg_frac_ng*O38,dlg_on_ng*dlg_cap_ng*O37)</f>
        <v/>
      </c>
      <c r="P39" s="32">
        <f>IF(nbfc_on_ng=1,nbfc_equity_ng*nbfc_avg_frac_ng*P38,dlg_on_ng*dlg_cap_ng*P37)</f>
        <v/>
      </c>
      <c r="Q39" s="32">
        <f>IF(nbfc_on_ng=1,nbfc_equity_ng*nbfc_avg_frac_ng*Q38,dlg_on_ng*dlg_cap_ng*Q37)</f>
        <v/>
      </c>
      <c r="R39" s="32">
        <f>IF(nbfc_on_ng=1,nbfc_equity_ng*nbfc_avg_frac_ng*R38,dlg_on_ng*dlg_cap_ng*R37)</f>
        <v/>
      </c>
      <c r="S39" s="32">
        <f>IF(nbfc_on_ng=1,nbfc_equity_ng*nbfc_avg_frac_ng*S38,dlg_on_ng*dlg_cap_ng*S37)</f>
        <v/>
      </c>
      <c r="T39" s="32">
        <f>IF(nbfc_on_ng=1,nbfc_equity_ng*nbfc_avg_frac_ng*T38,dlg_on_ng*dlg_cap_ng*T37)</f>
        <v/>
      </c>
      <c r="U39" s="32">
        <f>IF(nbfc_on_ng=1,nbfc_equity_ng*nbfc_avg_frac_ng*U38,dlg_on_ng*dlg_cap_ng*U37)</f>
        <v/>
      </c>
      <c r="V39" s="32">
        <f>IF(nbfc_on_ng=1,nbfc_equity_ng*nbfc_avg_frac_ng*V38,dlg_on_ng*dlg_cap_ng*V37)</f>
        <v/>
      </c>
      <c r="W39" s="32">
        <f>IF(nbfc_on_ng=1,nbfc_equity_ng*nbfc_avg_frac_ng*W38,dlg_on_ng*dlg_cap_ng*W37)</f>
        <v/>
      </c>
      <c r="X39" s="32">
        <f>IF(nbfc_on_ng=1,nbfc_equity_ng*nbfc_avg_frac_ng*X38,dlg_on_ng*dlg_cap_ng*X37)</f>
        <v/>
      </c>
      <c r="Y39" s="32">
        <f>IF(nbfc_on_ng=1,nbfc_equity_ng*nbfc_avg_frac_ng*Y38,dlg_on_ng*dlg_cap_ng*Y37)</f>
        <v/>
      </c>
      <c r="Z39" s="32">
        <f>IF(nbfc_on_ng=1,nbfc_equity_ng*nbfc_avg_frac_ng*Z38,dlg_on_ng*dlg_cap_ng*Z37)</f>
        <v/>
      </c>
      <c r="AA39" s="32">
        <f>IF(nbfc_on_ng=1,nbfc_equity_ng*nbfc_avg_frac_ng*AA38,dlg_on_ng*dlg_cap_ng*AA37)</f>
        <v/>
      </c>
      <c r="AB39" s="32">
        <f>IF(nbfc_on_ng=1,nbfc_equity_ng*nbfc_avg_frac_ng*AB38,dlg_on_ng*dlg_cap_ng*AB37)</f>
        <v/>
      </c>
      <c r="AC39" s="32">
        <f>IF(nbfc_on_ng=1,nbfc_equity_ng*nbfc_avg_frac_ng*AC38,dlg_on_ng*dlg_cap_ng*AC37)</f>
        <v/>
      </c>
      <c r="AD39" s="32">
        <f>IF(nbfc_on_ng=1,nbfc_equity_ng*nbfc_avg_frac_ng*AD38,dlg_on_ng*dlg_cap_ng*AD37)</f>
        <v/>
      </c>
      <c r="AE39" s="32">
        <f>IF(nbfc_on_ng=1,nbfc_equity_ng*nbfc_avg_frac_ng*AE38,dlg_on_ng*dlg_cap_ng*AE37)</f>
        <v/>
      </c>
      <c r="AF39" s="32">
        <f>IF(nbfc_on_ng=1,nbfc_equity_ng*nbfc_avg_frac_ng*AF38,dlg_on_ng*dlg_cap_ng*AF37)</f>
        <v/>
      </c>
      <c r="AG39" s="32">
        <f>IF(nbfc_on_ng=1,nbfc_equity_ng*nbfc_avg_frac_ng*AG38,dlg_on_ng*dlg_cap_ng*AG37)</f>
        <v/>
      </c>
      <c r="AH39" s="32">
        <f>IF(nbfc_on_ng=1,nbfc_equity_ng*nbfc_avg_frac_ng*AH38,dlg_on_ng*dlg_cap_ng*AH37)</f>
        <v/>
      </c>
      <c r="AI39" s="32">
        <f>IF(nbfc_on_ng=1,nbfc_equity_ng*nbfc_avg_frac_ng*AI38,dlg_on_ng*dlg_cap_ng*AI37)</f>
        <v/>
      </c>
      <c r="AJ39" s="32">
        <f>IF(nbfc_on_ng=1,nbfc_equity_ng*nbfc_avg_frac_ng*AJ38,dlg_on_ng*dlg_cap_ng*AJ37)</f>
        <v/>
      </c>
      <c r="AK39" s="32">
        <f>IF(nbfc_on_ng=1,nbfc_equity_ng*nbfc_avg_frac_ng*AK38,dlg_on_ng*dlg_cap_ng*AK37)</f>
        <v/>
      </c>
      <c r="AL39" s="32">
        <f>IF(nbfc_on_ng=1,nbfc_equity_ng*nbfc_avg_frac_ng*AL38,dlg_on_ng*dlg_cap_ng*AL37)</f>
        <v/>
      </c>
      <c r="AM39" s="32">
        <f>IF(nbfc_on_ng=1,nbfc_equity_ng*nbfc_avg_frac_ng*AM38,dlg_on_ng*dlg_cap_ng*AM37)</f>
        <v/>
      </c>
      <c r="AN39" s="32">
        <f>IF(nbfc_on_ng=1,nbfc_equity_ng*nbfc_avg_frac_ng*AN38,dlg_on_ng*dlg_cap_ng*AN37)</f>
        <v/>
      </c>
      <c r="AO39" s="32">
        <f>IF(nbfc_on_ng=1,nbfc_equity_ng*nbfc_avg_frac_ng*AO38,dlg_on_ng*dlg_cap_ng*AO37)</f>
        <v/>
      </c>
      <c r="AP39" s="32">
        <f>IF(nbfc_on_ng=1,nbfc_equity_ng*nbfc_avg_frac_ng*AP38,dlg_on_ng*dlg_cap_ng*AP37)</f>
        <v/>
      </c>
      <c r="AQ39" s="32">
        <f>IF(nbfc_on_ng=1,nbfc_equity_ng*nbfc_avg_frac_ng*AQ38,dlg_on_ng*dlg_cap_ng*AQ37)</f>
        <v/>
      </c>
      <c r="AR39" s="32">
        <f>IF(nbfc_on_ng=1,nbfc_equity_ng*nbfc_avg_frac_ng*AR38,dlg_on_ng*dlg_cap_ng*AR37)</f>
        <v/>
      </c>
      <c r="AS39" s="32">
        <f>IF(nbfc_on_ng=1,nbfc_equity_ng*nbfc_avg_frac_ng*AS38,dlg_on_ng*dlg_cap_ng*AS37)</f>
        <v/>
      </c>
      <c r="AT39" s="32">
        <f>IF(nbfc_on_ng=1,nbfc_equity_ng*nbfc_avg_frac_ng*AT38,dlg_on_ng*dlg_cap_ng*AT37)</f>
        <v/>
      </c>
      <c r="AU39" s="32">
        <f>IF(nbfc_on_ng=1,nbfc_equity_ng*nbfc_avg_frac_ng*AU38,dlg_on_ng*dlg_cap_ng*AU37)</f>
        <v/>
      </c>
      <c r="AV39" s="32">
        <f>IF(nbfc_on_ng=1,nbfc_equity_ng*nbfc_avg_frac_ng*AV38,dlg_on_ng*dlg_cap_ng*AV37)</f>
        <v/>
      </c>
      <c r="AW39" s="32">
        <f>IF(nbfc_on_ng=1,nbfc_equity_ng*nbfc_avg_frac_ng*AW38,dlg_on_ng*dlg_cap_ng*AW37)</f>
        <v/>
      </c>
      <c r="AX39" s="32">
        <f>IF(nbfc_on_ng=1,nbfc_equity_ng*nbfc_avg_frac_ng*AX38,dlg_on_ng*dlg_cap_ng*AX37)</f>
        <v/>
      </c>
      <c r="AY39" s="32">
        <f>IF(nbfc_on_ng=1,nbfc_equity_ng*nbfc_avg_frac_ng*AY38,dlg_on_ng*dlg_cap_ng*AY37)</f>
        <v/>
      </c>
      <c r="AZ39" s="32">
        <f>IF(nbfc_on_ng=1,nbfc_equity_ng*nbfc_avg_frac_ng*AZ38,dlg_on_ng*dlg_cap_ng*AZ37)</f>
        <v/>
      </c>
      <c r="BA39" s="32">
        <f>IF(nbfc_on_ng=1,nbfc_equity_ng*nbfc_avg_frac_ng*BA38,dlg_on_ng*dlg_cap_ng*BA37)</f>
        <v/>
      </c>
      <c r="BB39" s="32">
        <f>IF(nbfc_on_ng=1,nbfc_equity_ng*nbfc_avg_frac_ng*BB38,dlg_on_ng*dlg_cap_ng*BB37)</f>
        <v/>
      </c>
      <c r="BC39" s="32">
        <f>IF(nbfc_on_ng=1,nbfc_equity_ng*nbfc_avg_frac_ng*BC38,dlg_on_ng*dlg_cap_ng*BC37)</f>
        <v/>
      </c>
      <c r="BD39" s="32">
        <f>IF(nbfc_on_ng=1,nbfc_equity_ng*nbfc_avg_frac_ng*BD38,dlg_on_ng*dlg_cap_ng*BD37)</f>
        <v/>
      </c>
      <c r="BE39" s="32">
        <f>IF(nbfc_on_ng=1,nbfc_equity_ng*nbfc_avg_frac_ng*BE38,dlg_on_ng*dlg_cap_ng*BE37)</f>
        <v/>
      </c>
      <c r="BF39" s="32">
        <f>IF(nbfc_on_ng=1,nbfc_equity_ng*nbfc_avg_frac_ng*BF38,dlg_on_ng*dlg_cap_ng*BF37)</f>
        <v/>
      </c>
      <c r="BG39" s="32">
        <f>IF(nbfc_on_ng=1,nbfc_equity_ng*nbfc_avg_frac_ng*BG38,dlg_on_ng*dlg_cap_ng*BG37)</f>
        <v/>
      </c>
      <c r="BH39" s="32">
        <f>IF(nbfc_on_ng=1,nbfc_equity_ng*nbfc_avg_frac_ng*BH38,dlg_on_ng*dlg_cap_ng*BH37)</f>
        <v/>
      </c>
      <c r="BI39" s="32">
        <f>IF(nbfc_on_ng=1,nbfc_equity_ng*nbfc_avg_frac_ng*BI38,dlg_on_ng*dlg_cap_ng*BI37)</f>
        <v/>
      </c>
      <c r="BJ39" s="32">
        <f>IF(nbfc_on_ng=1,nbfc_equity_ng*nbfc_avg_frac_ng*BJ38,dlg_on_ng*dlg_cap_ng*BJ37)</f>
        <v/>
      </c>
      <c r="BK39" s="32">
        <f>IF(nbfc_on_ng=1,nbfc_equity_ng*nbfc_avg_frac_ng*BK38,dlg_on_ng*dlg_cap_ng*BK37)</f>
        <v/>
      </c>
    </row>
    <row r="40">
      <c r="A40" s="6" t="inlineStr">
        <is>
          <t>Cards (issued by a partner bank)</t>
        </is>
      </c>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c r="AA40" s="7" t="n"/>
      <c r="AB40" s="7" t="n"/>
      <c r="AC40" s="7" t="n"/>
      <c r="AD40" s="7" t="n"/>
      <c r="AE40" s="7" t="n"/>
      <c r="AF40" s="7" t="n"/>
      <c r="AG40" s="7" t="n"/>
      <c r="AH40" s="7" t="n"/>
      <c r="AI40" s="7" t="n"/>
      <c r="AJ40" s="7" t="n"/>
      <c r="AK40" s="7" t="n"/>
      <c r="AL40" s="7" t="n"/>
      <c r="AM40" s="7" t="n"/>
      <c r="AN40" s="7" t="n"/>
      <c r="AO40" s="7" t="n"/>
      <c r="AP40" s="7"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7" t="n"/>
    </row>
    <row r="41">
      <c r="A41" s="25" t="inlineStr">
        <is>
          <t>Share of active savers with an FD-secured card</t>
        </is>
      </c>
      <c r="B41" s="28" t="inlineStr">
        <is>
          <t>share</t>
        </is>
      </c>
      <c r="C41" s="29" t="n">
        <v>0</v>
      </c>
      <c r="D41" s="31">
        <f>IF(D$4&gt;=card_start_ng,C41*(1-card_churn_ng)+(card_eligible_ng*(1-gold_on_ng*gold_share_ng)-C41)*card_uptake_ng,0)</f>
        <v/>
      </c>
      <c r="E41" s="31">
        <f>IF(E$4&gt;=card_start_ng,D41*(1-card_churn_ng)+(card_eligible_ng*(1-gold_on_ng*gold_share_ng)-D41)*card_uptake_ng,0)</f>
        <v/>
      </c>
      <c r="F41" s="31">
        <f>IF(F$4&gt;=card_start_ng,E41*(1-card_churn_ng)+(card_eligible_ng*(1-gold_on_ng*gold_share_ng)-E41)*card_uptake_ng,0)</f>
        <v/>
      </c>
      <c r="G41" s="31">
        <f>IF(G$4&gt;=card_start_ng,F41*(1-card_churn_ng)+(card_eligible_ng*(1-gold_on_ng*gold_share_ng)-F41)*card_uptake_ng,0)</f>
        <v/>
      </c>
      <c r="H41" s="31">
        <f>IF(H$4&gt;=card_start_ng,G41*(1-card_churn_ng)+(card_eligible_ng*(1-gold_on_ng*gold_share_ng)-G41)*card_uptake_ng,0)</f>
        <v/>
      </c>
      <c r="I41" s="31">
        <f>IF(I$4&gt;=card_start_ng,H41*(1-card_churn_ng)+(card_eligible_ng*(1-gold_on_ng*gold_share_ng)-H41)*card_uptake_ng,0)</f>
        <v/>
      </c>
      <c r="J41" s="31">
        <f>IF(J$4&gt;=card_start_ng,I41*(1-card_churn_ng)+(card_eligible_ng*(1-gold_on_ng*gold_share_ng)-I41)*card_uptake_ng,0)</f>
        <v/>
      </c>
      <c r="K41" s="31">
        <f>IF(K$4&gt;=card_start_ng,J41*(1-card_churn_ng)+(card_eligible_ng*(1-gold_on_ng*gold_share_ng)-J41)*card_uptake_ng,0)</f>
        <v/>
      </c>
      <c r="L41" s="31">
        <f>IF(L$4&gt;=card_start_ng,K41*(1-card_churn_ng)+(card_eligible_ng*(1-gold_on_ng*gold_share_ng)-K41)*card_uptake_ng,0)</f>
        <v/>
      </c>
      <c r="M41" s="31">
        <f>IF(M$4&gt;=card_start_ng,L41*(1-card_churn_ng)+(card_eligible_ng*(1-gold_on_ng*gold_share_ng)-L41)*card_uptake_ng,0)</f>
        <v/>
      </c>
      <c r="N41" s="31">
        <f>IF(N$4&gt;=card_start_ng,M41*(1-card_churn_ng)+(card_eligible_ng*(1-gold_on_ng*gold_share_ng)-M41)*card_uptake_ng,0)</f>
        <v/>
      </c>
      <c r="O41" s="31">
        <f>IF(O$4&gt;=card_start_ng,N41*(1-card_churn_ng)+(card_eligible_ng*(1-gold_on_ng*gold_share_ng)-N41)*card_uptake_ng,0)</f>
        <v/>
      </c>
      <c r="P41" s="31">
        <f>IF(P$4&gt;=card_start_ng,O41*(1-card_churn_ng)+(card_eligible_ng*(1-gold_on_ng*gold_share_ng)-O41)*card_uptake_ng,0)</f>
        <v/>
      </c>
      <c r="Q41" s="31">
        <f>IF(Q$4&gt;=card_start_ng,P41*(1-card_churn_ng)+(card_eligible_ng*(1-gold_on_ng*gold_share_ng)-P41)*card_uptake_ng,0)</f>
        <v/>
      </c>
      <c r="R41" s="31">
        <f>IF(R$4&gt;=card_start_ng,Q41*(1-card_churn_ng)+(card_eligible_ng*(1-gold_on_ng*gold_share_ng)-Q41)*card_uptake_ng,0)</f>
        <v/>
      </c>
      <c r="S41" s="31">
        <f>IF(S$4&gt;=card_start_ng,R41*(1-card_churn_ng)+(card_eligible_ng*(1-gold_on_ng*gold_share_ng)-R41)*card_uptake_ng,0)</f>
        <v/>
      </c>
      <c r="T41" s="31">
        <f>IF(T$4&gt;=card_start_ng,S41*(1-card_churn_ng)+(card_eligible_ng*(1-gold_on_ng*gold_share_ng)-S41)*card_uptake_ng,0)</f>
        <v/>
      </c>
      <c r="U41" s="31">
        <f>IF(U$4&gt;=card_start_ng,T41*(1-card_churn_ng)+(card_eligible_ng*(1-gold_on_ng*gold_share_ng)-T41)*card_uptake_ng,0)</f>
        <v/>
      </c>
      <c r="V41" s="31">
        <f>IF(V$4&gt;=card_start_ng,U41*(1-card_churn_ng)+(card_eligible_ng*(1-gold_on_ng*gold_share_ng)-U41)*card_uptake_ng,0)</f>
        <v/>
      </c>
      <c r="W41" s="31">
        <f>IF(W$4&gt;=card_start_ng,V41*(1-card_churn_ng)+(card_eligible_ng*(1-gold_on_ng*gold_share_ng)-V41)*card_uptake_ng,0)</f>
        <v/>
      </c>
      <c r="X41" s="31">
        <f>IF(X$4&gt;=card_start_ng,W41*(1-card_churn_ng)+(card_eligible_ng*(1-gold_on_ng*gold_share_ng)-W41)*card_uptake_ng,0)</f>
        <v/>
      </c>
      <c r="Y41" s="31">
        <f>IF(Y$4&gt;=card_start_ng,X41*(1-card_churn_ng)+(card_eligible_ng*(1-gold_on_ng*gold_share_ng)-X41)*card_uptake_ng,0)</f>
        <v/>
      </c>
      <c r="Z41" s="31">
        <f>IF(Z$4&gt;=card_start_ng,Y41*(1-card_churn_ng)+(card_eligible_ng*(1-gold_on_ng*gold_share_ng)-Y41)*card_uptake_ng,0)</f>
        <v/>
      </c>
      <c r="AA41" s="31">
        <f>IF(AA$4&gt;=card_start_ng,Z41*(1-card_churn_ng)+(card_eligible_ng*(1-gold_on_ng*gold_share_ng)-Z41)*card_uptake_ng,0)</f>
        <v/>
      </c>
      <c r="AB41" s="31">
        <f>IF(AB$4&gt;=card_start_ng,AA41*(1-card_churn_ng)+(card_eligible_ng*(1-gold_on_ng*gold_share_ng)-AA41)*card_uptake_ng,0)</f>
        <v/>
      </c>
      <c r="AC41" s="31">
        <f>IF(AC$4&gt;=card_start_ng,AB41*(1-card_churn_ng)+(card_eligible_ng*(1-gold_on_ng*gold_share_ng)-AB41)*card_uptake_ng,0)</f>
        <v/>
      </c>
      <c r="AD41" s="31">
        <f>IF(AD$4&gt;=card_start_ng,AC41*(1-card_churn_ng)+(card_eligible_ng*(1-gold_on_ng*gold_share_ng)-AC41)*card_uptake_ng,0)</f>
        <v/>
      </c>
      <c r="AE41" s="31">
        <f>IF(AE$4&gt;=card_start_ng,AD41*(1-card_churn_ng)+(card_eligible_ng*(1-gold_on_ng*gold_share_ng)-AD41)*card_uptake_ng,0)</f>
        <v/>
      </c>
      <c r="AF41" s="31">
        <f>IF(AF$4&gt;=card_start_ng,AE41*(1-card_churn_ng)+(card_eligible_ng*(1-gold_on_ng*gold_share_ng)-AE41)*card_uptake_ng,0)</f>
        <v/>
      </c>
      <c r="AG41" s="31">
        <f>IF(AG$4&gt;=card_start_ng,AF41*(1-card_churn_ng)+(card_eligible_ng*(1-gold_on_ng*gold_share_ng)-AF41)*card_uptake_ng,0)</f>
        <v/>
      </c>
      <c r="AH41" s="31">
        <f>IF(AH$4&gt;=card_start_ng,AG41*(1-card_churn_ng)+(card_eligible_ng*(1-gold_on_ng*gold_share_ng)-AG41)*card_uptake_ng,0)</f>
        <v/>
      </c>
      <c r="AI41" s="31">
        <f>IF(AI$4&gt;=card_start_ng,AH41*(1-card_churn_ng)+(card_eligible_ng*(1-gold_on_ng*gold_share_ng)-AH41)*card_uptake_ng,0)</f>
        <v/>
      </c>
      <c r="AJ41" s="31">
        <f>IF(AJ$4&gt;=card_start_ng,AI41*(1-card_churn_ng)+(card_eligible_ng*(1-gold_on_ng*gold_share_ng)-AI41)*card_uptake_ng,0)</f>
        <v/>
      </c>
      <c r="AK41" s="31">
        <f>IF(AK$4&gt;=card_start_ng,AJ41*(1-card_churn_ng)+(card_eligible_ng*(1-gold_on_ng*gold_share_ng)-AJ41)*card_uptake_ng,0)</f>
        <v/>
      </c>
      <c r="AL41" s="31">
        <f>IF(AL$4&gt;=card_start_ng,AK41*(1-card_churn_ng)+(card_eligible_ng*(1-gold_on_ng*gold_share_ng)-AK41)*card_uptake_ng,0)</f>
        <v/>
      </c>
      <c r="AM41" s="31">
        <f>IF(AM$4&gt;=card_start_ng,AL41*(1-card_churn_ng)+(card_eligible_ng*(1-gold_on_ng*gold_share_ng)-AL41)*card_uptake_ng,0)</f>
        <v/>
      </c>
      <c r="AN41" s="31">
        <f>IF(AN$4&gt;=card_start_ng,AM41*(1-card_churn_ng)+(card_eligible_ng*(1-gold_on_ng*gold_share_ng)-AM41)*card_uptake_ng,0)</f>
        <v/>
      </c>
      <c r="AO41" s="31">
        <f>IF(AO$4&gt;=card_start_ng,AN41*(1-card_churn_ng)+(card_eligible_ng*(1-gold_on_ng*gold_share_ng)-AN41)*card_uptake_ng,0)</f>
        <v/>
      </c>
      <c r="AP41" s="31">
        <f>IF(AP$4&gt;=card_start_ng,AO41*(1-card_churn_ng)+(card_eligible_ng*(1-gold_on_ng*gold_share_ng)-AO41)*card_uptake_ng,0)</f>
        <v/>
      </c>
      <c r="AQ41" s="31">
        <f>IF(AQ$4&gt;=card_start_ng,AP41*(1-card_churn_ng)+(card_eligible_ng*(1-gold_on_ng*gold_share_ng)-AP41)*card_uptake_ng,0)</f>
        <v/>
      </c>
      <c r="AR41" s="31">
        <f>IF(AR$4&gt;=card_start_ng,AQ41*(1-card_churn_ng)+(card_eligible_ng*(1-gold_on_ng*gold_share_ng)-AQ41)*card_uptake_ng,0)</f>
        <v/>
      </c>
      <c r="AS41" s="31">
        <f>IF(AS$4&gt;=card_start_ng,AR41*(1-card_churn_ng)+(card_eligible_ng*(1-gold_on_ng*gold_share_ng)-AR41)*card_uptake_ng,0)</f>
        <v/>
      </c>
      <c r="AT41" s="31">
        <f>IF(AT$4&gt;=card_start_ng,AS41*(1-card_churn_ng)+(card_eligible_ng*(1-gold_on_ng*gold_share_ng)-AS41)*card_uptake_ng,0)</f>
        <v/>
      </c>
      <c r="AU41" s="31">
        <f>IF(AU$4&gt;=card_start_ng,AT41*(1-card_churn_ng)+(card_eligible_ng*(1-gold_on_ng*gold_share_ng)-AT41)*card_uptake_ng,0)</f>
        <v/>
      </c>
      <c r="AV41" s="31">
        <f>IF(AV$4&gt;=card_start_ng,AU41*(1-card_churn_ng)+(card_eligible_ng*(1-gold_on_ng*gold_share_ng)-AU41)*card_uptake_ng,0)</f>
        <v/>
      </c>
      <c r="AW41" s="31">
        <f>IF(AW$4&gt;=card_start_ng,AV41*(1-card_churn_ng)+(card_eligible_ng*(1-gold_on_ng*gold_share_ng)-AV41)*card_uptake_ng,0)</f>
        <v/>
      </c>
      <c r="AX41" s="31">
        <f>IF(AX$4&gt;=card_start_ng,AW41*(1-card_churn_ng)+(card_eligible_ng*(1-gold_on_ng*gold_share_ng)-AW41)*card_uptake_ng,0)</f>
        <v/>
      </c>
      <c r="AY41" s="31">
        <f>IF(AY$4&gt;=card_start_ng,AX41*(1-card_churn_ng)+(card_eligible_ng*(1-gold_on_ng*gold_share_ng)-AX41)*card_uptake_ng,0)</f>
        <v/>
      </c>
      <c r="AZ41" s="31">
        <f>IF(AZ$4&gt;=card_start_ng,AY41*(1-card_churn_ng)+(card_eligible_ng*(1-gold_on_ng*gold_share_ng)-AY41)*card_uptake_ng,0)</f>
        <v/>
      </c>
      <c r="BA41" s="31">
        <f>IF(BA$4&gt;=card_start_ng,AZ41*(1-card_churn_ng)+(card_eligible_ng*(1-gold_on_ng*gold_share_ng)-AZ41)*card_uptake_ng,0)</f>
        <v/>
      </c>
      <c r="BB41" s="31">
        <f>IF(BB$4&gt;=card_start_ng,BA41*(1-card_churn_ng)+(card_eligible_ng*(1-gold_on_ng*gold_share_ng)-BA41)*card_uptake_ng,0)</f>
        <v/>
      </c>
      <c r="BC41" s="31">
        <f>IF(BC$4&gt;=card_start_ng,BB41*(1-card_churn_ng)+(card_eligible_ng*(1-gold_on_ng*gold_share_ng)-BB41)*card_uptake_ng,0)</f>
        <v/>
      </c>
      <c r="BD41" s="31">
        <f>IF(BD$4&gt;=card_start_ng,BC41*(1-card_churn_ng)+(card_eligible_ng*(1-gold_on_ng*gold_share_ng)-BC41)*card_uptake_ng,0)</f>
        <v/>
      </c>
      <c r="BE41" s="31">
        <f>IF(BE$4&gt;=card_start_ng,BD41*(1-card_churn_ng)+(card_eligible_ng*(1-gold_on_ng*gold_share_ng)-BD41)*card_uptake_ng,0)</f>
        <v/>
      </c>
      <c r="BF41" s="31">
        <f>IF(BF$4&gt;=card_start_ng,BE41*(1-card_churn_ng)+(card_eligible_ng*(1-gold_on_ng*gold_share_ng)-BE41)*card_uptake_ng,0)</f>
        <v/>
      </c>
      <c r="BG41" s="31">
        <f>IF(BG$4&gt;=card_start_ng,BF41*(1-card_churn_ng)+(card_eligible_ng*(1-gold_on_ng*gold_share_ng)-BF41)*card_uptake_ng,0)</f>
        <v/>
      </c>
      <c r="BH41" s="31">
        <f>IF(BH$4&gt;=card_start_ng,BG41*(1-card_churn_ng)+(card_eligible_ng*(1-gold_on_ng*gold_share_ng)-BG41)*card_uptake_ng,0)</f>
        <v/>
      </c>
      <c r="BI41" s="31">
        <f>IF(BI$4&gt;=card_start_ng,BH41*(1-card_churn_ng)+(card_eligible_ng*(1-gold_on_ng*gold_share_ng)-BH41)*card_uptake_ng,0)</f>
        <v/>
      </c>
      <c r="BJ41" s="31">
        <f>IF(BJ$4&gt;=card_start_ng,BI41*(1-card_churn_ng)+(card_eligible_ng*(1-gold_on_ng*gold_share_ng)-BI41)*card_uptake_ng,0)</f>
        <v/>
      </c>
      <c r="BK41" s="31">
        <f>IF(BK$4&gt;=card_start_ng,BJ41*(1-card_churn_ng)+(card_eligible_ng*(1-gold_on_ng*gold_share_ng)-BJ41)*card_uptake_ng,0)</f>
        <v/>
      </c>
    </row>
    <row r="42">
      <c r="A42" s="25" t="inlineStr">
        <is>
          <t>New FD-secured cards (only FD money, not gold, can back a card)</t>
        </is>
      </c>
      <c r="B42" s="28" t="inlineStr">
        <is>
          <t>cards</t>
        </is>
      </c>
      <c r="C42" s="42" t="n">
        <v>0</v>
      </c>
      <c r="D42" s="43">
        <f>IF(D$4&gt;=card_start_ng,D7*(card_eligible_ng*(1-gold_on_ng*gold_share_ng)-C41)*card_uptake_ng,0)</f>
        <v/>
      </c>
      <c r="E42" s="43">
        <f>IF(E$4&gt;=card_start_ng,E7*(card_eligible_ng*(1-gold_on_ng*gold_share_ng)-D41)*card_uptake_ng,0)</f>
        <v/>
      </c>
      <c r="F42" s="43">
        <f>IF(F$4&gt;=card_start_ng,F7*(card_eligible_ng*(1-gold_on_ng*gold_share_ng)-E41)*card_uptake_ng,0)</f>
        <v/>
      </c>
      <c r="G42" s="43">
        <f>IF(G$4&gt;=card_start_ng,G7*(card_eligible_ng*(1-gold_on_ng*gold_share_ng)-F41)*card_uptake_ng,0)</f>
        <v/>
      </c>
      <c r="H42" s="43">
        <f>IF(H$4&gt;=card_start_ng,H7*(card_eligible_ng*(1-gold_on_ng*gold_share_ng)-G41)*card_uptake_ng,0)</f>
        <v/>
      </c>
      <c r="I42" s="43">
        <f>IF(I$4&gt;=card_start_ng,I7*(card_eligible_ng*(1-gold_on_ng*gold_share_ng)-H41)*card_uptake_ng,0)</f>
        <v/>
      </c>
      <c r="J42" s="43">
        <f>IF(J$4&gt;=card_start_ng,J7*(card_eligible_ng*(1-gold_on_ng*gold_share_ng)-I41)*card_uptake_ng,0)</f>
        <v/>
      </c>
      <c r="K42" s="43">
        <f>IF(K$4&gt;=card_start_ng,K7*(card_eligible_ng*(1-gold_on_ng*gold_share_ng)-J41)*card_uptake_ng,0)</f>
        <v/>
      </c>
      <c r="L42" s="43">
        <f>IF(L$4&gt;=card_start_ng,L7*(card_eligible_ng*(1-gold_on_ng*gold_share_ng)-K41)*card_uptake_ng,0)</f>
        <v/>
      </c>
      <c r="M42" s="43">
        <f>IF(M$4&gt;=card_start_ng,M7*(card_eligible_ng*(1-gold_on_ng*gold_share_ng)-L41)*card_uptake_ng,0)</f>
        <v/>
      </c>
      <c r="N42" s="43">
        <f>IF(N$4&gt;=card_start_ng,N7*(card_eligible_ng*(1-gold_on_ng*gold_share_ng)-M41)*card_uptake_ng,0)</f>
        <v/>
      </c>
      <c r="O42" s="43">
        <f>IF(O$4&gt;=card_start_ng,O7*(card_eligible_ng*(1-gold_on_ng*gold_share_ng)-N41)*card_uptake_ng,0)</f>
        <v/>
      </c>
      <c r="P42" s="43">
        <f>IF(P$4&gt;=card_start_ng,P7*(card_eligible_ng*(1-gold_on_ng*gold_share_ng)-O41)*card_uptake_ng,0)</f>
        <v/>
      </c>
      <c r="Q42" s="43">
        <f>IF(Q$4&gt;=card_start_ng,Q7*(card_eligible_ng*(1-gold_on_ng*gold_share_ng)-P41)*card_uptake_ng,0)</f>
        <v/>
      </c>
      <c r="R42" s="43">
        <f>IF(R$4&gt;=card_start_ng,R7*(card_eligible_ng*(1-gold_on_ng*gold_share_ng)-Q41)*card_uptake_ng,0)</f>
        <v/>
      </c>
      <c r="S42" s="43">
        <f>IF(S$4&gt;=card_start_ng,S7*(card_eligible_ng*(1-gold_on_ng*gold_share_ng)-R41)*card_uptake_ng,0)</f>
        <v/>
      </c>
      <c r="T42" s="43">
        <f>IF(T$4&gt;=card_start_ng,T7*(card_eligible_ng*(1-gold_on_ng*gold_share_ng)-S41)*card_uptake_ng,0)</f>
        <v/>
      </c>
      <c r="U42" s="43">
        <f>IF(U$4&gt;=card_start_ng,U7*(card_eligible_ng*(1-gold_on_ng*gold_share_ng)-T41)*card_uptake_ng,0)</f>
        <v/>
      </c>
      <c r="V42" s="43">
        <f>IF(V$4&gt;=card_start_ng,V7*(card_eligible_ng*(1-gold_on_ng*gold_share_ng)-U41)*card_uptake_ng,0)</f>
        <v/>
      </c>
      <c r="W42" s="43">
        <f>IF(W$4&gt;=card_start_ng,W7*(card_eligible_ng*(1-gold_on_ng*gold_share_ng)-V41)*card_uptake_ng,0)</f>
        <v/>
      </c>
      <c r="X42" s="43">
        <f>IF(X$4&gt;=card_start_ng,X7*(card_eligible_ng*(1-gold_on_ng*gold_share_ng)-W41)*card_uptake_ng,0)</f>
        <v/>
      </c>
      <c r="Y42" s="43">
        <f>IF(Y$4&gt;=card_start_ng,Y7*(card_eligible_ng*(1-gold_on_ng*gold_share_ng)-X41)*card_uptake_ng,0)</f>
        <v/>
      </c>
      <c r="Z42" s="43">
        <f>IF(Z$4&gt;=card_start_ng,Z7*(card_eligible_ng*(1-gold_on_ng*gold_share_ng)-Y41)*card_uptake_ng,0)</f>
        <v/>
      </c>
      <c r="AA42" s="43">
        <f>IF(AA$4&gt;=card_start_ng,AA7*(card_eligible_ng*(1-gold_on_ng*gold_share_ng)-Z41)*card_uptake_ng,0)</f>
        <v/>
      </c>
      <c r="AB42" s="43">
        <f>IF(AB$4&gt;=card_start_ng,AB7*(card_eligible_ng*(1-gold_on_ng*gold_share_ng)-AA41)*card_uptake_ng,0)</f>
        <v/>
      </c>
      <c r="AC42" s="43">
        <f>IF(AC$4&gt;=card_start_ng,AC7*(card_eligible_ng*(1-gold_on_ng*gold_share_ng)-AB41)*card_uptake_ng,0)</f>
        <v/>
      </c>
      <c r="AD42" s="43">
        <f>IF(AD$4&gt;=card_start_ng,AD7*(card_eligible_ng*(1-gold_on_ng*gold_share_ng)-AC41)*card_uptake_ng,0)</f>
        <v/>
      </c>
      <c r="AE42" s="43">
        <f>IF(AE$4&gt;=card_start_ng,AE7*(card_eligible_ng*(1-gold_on_ng*gold_share_ng)-AD41)*card_uptake_ng,0)</f>
        <v/>
      </c>
      <c r="AF42" s="43">
        <f>IF(AF$4&gt;=card_start_ng,AF7*(card_eligible_ng*(1-gold_on_ng*gold_share_ng)-AE41)*card_uptake_ng,0)</f>
        <v/>
      </c>
      <c r="AG42" s="43">
        <f>IF(AG$4&gt;=card_start_ng,AG7*(card_eligible_ng*(1-gold_on_ng*gold_share_ng)-AF41)*card_uptake_ng,0)</f>
        <v/>
      </c>
      <c r="AH42" s="43">
        <f>IF(AH$4&gt;=card_start_ng,AH7*(card_eligible_ng*(1-gold_on_ng*gold_share_ng)-AG41)*card_uptake_ng,0)</f>
        <v/>
      </c>
      <c r="AI42" s="43">
        <f>IF(AI$4&gt;=card_start_ng,AI7*(card_eligible_ng*(1-gold_on_ng*gold_share_ng)-AH41)*card_uptake_ng,0)</f>
        <v/>
      </c>
      <c r="AJ42" s="43">
        <f>IF(AJ$4&gt;=card_start_ng,AJ7*(card_eligible_ng*(1-gold_on_ng*gold_share_ng)-AI41)*card_uptake_ng,0)</f>
        <v/>
      </c>
      <c r="AK42" s="43">
        <f>IF(AK$4&gt;=card_start_ng,AK7*(card_eligible_ng*(1-gold_on_ng*gold_share_ng)-AJ41)*card_uptake_ng,0)</f>
        <v/>
      </c>
      <c r="AL42" s="43">
        <f>IF(AL$4&gt;=card_start_ng,AL7*(card_eligible_ng*(1-gold_on_ng*gold_share_ng)-AK41)*card_uptake_ng,0)</f>
        <v/>
      </c>
      <c r="AM42" s="43">
        <f>IF(AM$4&gt;=card_start_ng,AM7*(card_eligible_ng*(1-gold_on_ng*gold_share_ng)-AL41)*card_uptake_ng,0)</f>
        <v/>
      </c>
      <c r="AN42" s="43">
        <f>IF(AN$4&gt;=card_start_ng,AN7*(card_eligible_ng*(1-gold_on_ng*gold_share_ng)-AM41)*card_uptake_ng,0)</f>
        <v/>
      </c>
      <c r="AO42" s="43">
        <f>IF(AO$4&gt;=card_start_ng,AO7*(card_eligible_ng*(1-gold_on_ng*gold_share_ng)-AN41)*card_uptake_ng,0)</f>
        <v/>
      </c>
      <c r="AP42" s="43">
        <f>IF(AP$4&gt;=card_start_ng,AP7*(card_eligible_ng*(1-gold_on_ng*gold_share_ng)-AO41)*card_uptake_ng,0)</f>
        <v/>
      </c>
      <c r="AQ42" s="43">
        <f>IF(AQ$4&gt;=card_start_ng,AQ7*(card_eligible_ng*(1-gold_on_ng*gold_share_ng)-AP41)*card_uptake_ng,0)</f>
        <v/>
      </c>
      <c r="AR42" s="43">
        <f>IF(AR$4&gt;=card_start_ng,AR7*(card_eligible_ng*(1-gold_on_ng*gold_share_ng)-AQ41)*card_uptake_ng,0)</f>
        <v/>
      </c>
      <c r="AS42" s="43">
        <f>IF(AS$4&gt;=card_start_ng,AS7*(card_eligible_ng*(1-gold_on_ng*gold_share_ng)-AR41)*card_uptake_ng,0)</f>
        <v/>
      </c>
      <c r="AT42" s="43">
        <f>IF(AT$4&gt;=card_start_ng,AT7*(card_eligible_ng*(1-gold_on_ng*gold_share_ng)-AS41)*card_uptake_ng,0)</f>
        <v/>
      </c>
      <c r="AU42" s="43">
        <f>IF(AU$4&gt;=card_start_ng,AU7*(card_eligible_ng*(1-gold_on_ng*gold_share_ng)-AT41)*card_uptake_ng,0)</f>
        <v/>
      </c>
      <c r="AV42" s="43">
        <f>IF(AV$4&gt;=card_start_ng,AV7*(card_eligible_ng*(1-gold_on_ng*gold_share_ng)-AU41)*card_uptake_ng,0)</f>
        <v/>
      </c>
      <c r="AW42" s="43">
        <f>IF(AW$4&gt;=card_start_ng,AW7*(card_eligible_ng*(1-gold_on_ng*gold_share_ng)-AV41)*card_uptake_ng,0)</f>
        <v/>
      </c>
      <c r="AX42" s="43">
        <f>IF(AX$4&gt;=card_start_ng,AX7*(card_eligible_ng*(1-gold_on_ng*gold_share_ng)-AW41)*card_uptake_ng,0)</f>
        <v/>
      </c>
      <c r="AY42" s="43">
        <f>IF(AY$4&gt;=card_start_ng,AY7*(card_eligible_ng*(1-gold_on_ng*gold_share_ng)-AX41)*card_uptake_ng,0)</f>
        <v/>
      </c>
      <c r="AZ42" s="43">
        <f>IF(AZ$4&gt;=card_start_ng,AZ7*(card_eligible_ng*(1-gold_on_ng*gold_share_ng)-AY41)*card_uptake_ng,0)</f>
        <v/>
      </c>
      <c r="BA42" s="43">
        <f>IF(BA$4&gt;=card_start_ng,BA7*(card_eligible_ng*(1-gold_on_ng*gold_share_ng)-AZ41)*card_uptake_ng,0)</f>
        <v/>
      </c>
      <c r="BB42" s="43">
        <f>IF(BB$4&gt;=card_start_ng,BB7*(card_eligible_ng*(1-gold_on_ng*gold_share_ng)-BA41)*card_uptake_ng,0)</f>
        <v/>
      </c>
      <c r="BC42" s="43">
        <f>IF(BC$4&gt;=card_start_ng,BC7*(card_eligible_ng*(1-gold_on_ng*gold_share_ng)-BB41)*card_uptake_ng,0)</f>
        <v/>
      </c>
      <c r="BD42" s="43">
        <f>IF(BD$4&gt;=card_start_ng,BD7*(card_eligible_ng*(1-gold_on_ng*gold_share_ng)-BC41)*card_uptake_ng,0)</f>
        <v/>
      </c>
      <c r="BE42" s="43">
        <f>IF(BE$4&gt;=card_start_ng,BE7*(card_eligible_ng*(1-gold_on_ng*gold_share_ng)-BD41)*card_uptake_ng,0)</f>
        <v/>
      </c>
      <c r="BF42" s="43">
        <f>IF(BF$4&gt;=card_start_ng,BF7*(card_eligible_ng*(1-gold_on_ng*gold_share_ng)-BE41)*card_uptake_ng,0)</f>
        <v/>
      </c>
      <c r="BG42" s="43">
        <f>IF(BG$4&gt;=card_start_ng,BG7*(card_eligible_ng*(1-gold_on_ng*gold_share_ng)-BF41)*card_uptake_ng,0)</f>
        <v/>
      </c>
      <c r="BH42" s="43">
        <f>IF(BH$4&gt;=card_start_ng,BH7*(card_eligible_ng*(1-gold_on_ng*gold_share_ng)-BG41)*card_uptake_ng,0)</f>
        <v/>
      </c>
      <c r="BI42" s="43">
        <f>IF(BI$4&gt;=card_start_ng,BI7*(card_eligible_ng*(1-gold_on_ng*gold_share_ng)-BH41)*card_uptake_ng,0)</f>
        <v/>
      </c>
      <c r="BJ42" s="43">
        <f>IF(BJ$4&gt;=card_start_ng,BJ7*(card_eligible_ng*(1-gold_on_ng*gold_share_ng)-BI41)*card_uptake_ng,0)</f>
        <v/>
      </c>
      <c r="BK42" s="43">
        <f>IF(BK$4&gt;=card_start_ng,BK7*(card_eligible_ng*(1-gold_on_ng*gold_share_ng)-BJ41)*card_uptake_ng,0)</f>
        <v/>
      </c>
    </row>
    <row r="43">
      <c r="A43" s="25" t="inlineStr">
        <is>
          <t>Card holders</t>
        </is>
      </c>
      <c r="B43" s="28" t="inlineStr">
        <is>
          <t>cards</t>
        </is>
      </c>
      <c r="C43" s="42" t="n">
        <v>0</v>
      </c>
      <c r="D43" s="43">
        <f>D7*D41</f>
        <v/>
      </c>
      <c r="E43" s="43">
        <f>E7*E41</f>
        <v/>
      </c>
      <c r="F43" s="43">
        <f>F7*F41</f>
        <v/>
      </c>
      <c r="G43" s="43">
        <f>G7*G41</f>
        <v/>
      </c>
      <c r="H43" s="43">
        <f>H7*H41</f>
        <v/>
      </c>
      <c r="I43" s="43">
        <f>I7*I41</f>
        <v/>
      </c>
      <c r="J43" s="43">
        <f>J7*J41</f>
        <v/>
      </c>
      <c r="K43" s="43">
        <f>K7*K41</f>
        <v/>
      </c>
      <c r="L43" s="43">
        <f>L7*L41</f>
        <v/>
      </c>
      <c r="M43" s="43">
        <f>M7*M41</f>
        <v/>
      </c>
      <c r="N43" s="43">
        <f>N7*N41</f>
        <v/>
      </c>
      <c r="O43" s="43">
        <f>O7*O41</f>
        <v/>
      </c>
      <c r="P43" s="43">
        <f>P7*P41</f>
        <v/>
      </c>
      <c r="Q43" s="43">
        <f>Q7*Q41</f>
        <v/>
      </c>
      <c r="R43" s="43">
        <f>R7*R41</f>
        <v/>
      </c>
      <c r="S43" s="43">
        <f>S7*S41</f>
        <v/>
      </c>
      <c r="T43" s="43">
        <f>T7*T41</f>
        <v/>
      </c>
      <c r="U43" s="43">
        <f>U7*U41</f>
        <v/>
      </c>
      <c r="V43" s="43">
        <f>V7*V41</f>
        <v/>
      </c>
      <c r="W43" s="43">
        <f>W7*W41</f>
        <v/>
      </c>
      <c r="X43" s="43">
        <f>X7*X41</f>
        <v/>
      </c>
      <c r="Y43" s="43">
        <f>Y7*Y41</f>
        <v/>
      </c>
      <c r="Z43" s="43">
        <f>Z7*Z41</f>
        <v/>
      </c>
      <c r="AA43" s="43">
        <f>AA7*AA41</f>
        <v/>
      </c>
      <c r="AB43" s="43">
        <f>AB7*AB41</f>
        <v/>
      </c>
      <c r="AC43" s="43">
        <f>AC7*AC41</f>
        <v/>
      </c>
      <c r="AD43" s="43">
        <f>AD7*AD41</f>
        <v/>
      </c>
      <c r="AE43" s="43">
        <f>AE7*AE41</f>
        <v/>
      </c>
      <c r="AF43" s="43">
        <f>AF7*AF41</f>
        <v/>
      </c>
      <c r="AG43" s="43">
        <f>AG7*AG41</f>
        <v/>
      </c>
      <c r="AH43" s="43">
        <f>AH7*AH41</f>
        <v/>
      </c>
      <c r="AI43" s="43">
        <f>AI7*AI41</f>
        <v/>
      </c>
      <c r="AJ43" s="43">
        <f>AJ7*AJ41</f>
        <v/>
      </c>
      <c r="AK43" s="43">
        <f>AK7*AK41</f>
        <v/>
      </c>
      <c r="AL43" s="43">
        <f>AL7*AL41</f>
        <v/>
      </c>
      <c r="AM43" s="43">
        <f>AM7*AM41</f>
        <v/>
      </c>
      <c r="AN43" s="43">
        <f>AN7*AN41</f>
        <v/>
      </c>
      <c r="AO43" s="43">
        <f>AO7*AO41</f>
        <v/>
      </c>
      <c r="AP43" s="43">
        <f>AP7*AP41</f>
        <v/>
      </c>
      <c r="AQ43" s="43">
        <f>AQ7*AQ41</f>
        <v/>
      </c>
      <c r="AR43" s="43">
        <f>AR7*AR41</f>
        <v/>
      </c>
      <c r="AS43" s="43">
        <f>AS7*AS41</f>
        <v/>
      </c>
      <c r="AT43" s="43">
        <f>AT7*AT41</f>
        <v/>
      </c>
      <c r="AU43" s="43">
        <f>AU7*AU41</f>
        <v/>
      </c>
      <c r="AV43" s="43">
        <f>AV7*AV41</f>
        <v/>
      </c>
      <c r="AW43" s="43">
        <f>AW7*AW41</f>
        <v/>
      </c>
      <c r="AX43" s="43">
        <f>AX7*AX41</f>
        <v/>
      </c>
      <c r="AY43" s="43">
        <f>AY7*AY41</f>
        <v/>
      </c>
      <c r="AZ43" s="43">
        <f>AZ7*AZ41</f>
        <v/>
      </c>
      <c r="BA43" s="43">
        <f>BA7*BA41</f>
        <v/>
      </c>
      <c r="BB43" s="43">
        <f>BB7*BB41</f>
        <v/>
      </c>
      <c r="BC43" s="43">
        <f>BC7*BC41</f>
        <v/>
      </c>
      <c r="BD43" s="43">
        <f>BD7*BD41</f>
        <v/>
      </c>
      <c r="BE43" s="43">
        <f>BE7*BE41</f>
        <v/>
      </c>
      <c r="BF43" s="43">
        <f>BF7*BF41</f>
        <v/>
      </c>
      <c r="BG43" s="43">
        <f>BG7*BG41</f>
        <v/>
      </c>
      <c r="BH43" s="43">
        <f>BH7*BH41</f>
        <v/>
      </c>
      <c r="BI43" s="43">
        <f>BI7*BI41</f>
        <v/>
      </c>
      <c r="BJ43" s="43">
        <f>BJ7*BJ41</f>
        <v/>
      </c>
      <c r="BK43" s="43">
        <f>BK7*BK41</f>
        <v/>
      </c>
    </row>
    <row r="44">
      <c r="A44" s="25" t="inlineStr">
        <is>
          <t>Share moved to an unsecured card</t>
        </is>
      </c>
      <c r="B44" s="28" t="inlineStr">
        <is>
          <t>share</t>
        </is>
      </c>
      <c r="C44" s="29" t="n">
        <v>0</v>
      </c>
      <c r="D44" s="31">
        <f>IF(D$4&gt;=unsec_start_ng,C44+MAX(0,C41-C44)*unsec_grad_ng,C44)</f>
        <v/>
      </c>
      <c r="E44" s="31">
        <f>IF(E$4&gt;=unsec_start_ng,D44+MAX(0,D41-D44)*unsec_grad_ng,D44)</f>
        <v/>
      </c>
      <c r="F44" s="31">
        <f>IF(F$4&gt;=unsec_start_ng,E44+MAX(0,E41-E44)*unsec_grad_ng,E44)</f>
        <v/>
      </c>
      <c r="G44" s="31">
        <f>IF(G$4&gt;=unsec_start_ng,F44+MAX(0,F41-F44)*unsec_grad_ng,F44)</f>
        <v/>
      </c>
      <c r="H44" s="31">
        <f>IF(H$4&gt;=unsec_start_ng,G44+MAX(0,G41-G44)*unsec_grad_ng,G44)</f>
        <v/>
      </c>
      <c r="I44" s="31">
        <f>IF(I$4&gt;=unsec_start_ng,H44+MAX(0,H41-H44)*unsec_grad_ng,H44)</f>
        <v/>
      </c>
      <c r="J44" s="31">
        <f>IF(J$4&gt;=unsec_start_ng,I44+MAX(0,I41-I44)*unsec_grad_ng,I44)</f>
        <v/>
      </c>
      <c r="K44" s="31">
        <f>IF(K$4&gt;=unsec_start_ng,J44+MAX(0,J41-J44)*unsec_grad_ng,J44)</f>
        <v/>
      </c>
      <c r="L44" s="31">
        <f>IF(L$4&gt;=unsec_start_ng,K44+MAX(0,K41-K44)*unsec_grad_ng,K44)</f>
        <v/>
      </c>
      <c r="M44" s="31">
        <f>IF(M$4&gt;=unsec_start_ng,L44+MAX(0,L41-L44)*unsec_grad_ng,L44)</f>
        <v/>
      </c>
      <c r="N44" s="31">
        <f>IF(N$4&gt;=unsec_start_ng,M44+MAX(0,M41-M44)*unsec_grad_ng,M44)</f>
        <v/>
      </c>
      <c r="O44" s="31">
        <f>IF(O$4&gt;=unsec_start_ng,N44+MAX(0,N41-N44)*unsec_grad_ng,N44)</f>
        <v/>
      </c>
      <c r="P44" s="31">
        <f>IF(P$4&gt;=unsec_start_ng,O44+MAX(0,O41-O44)*unsec_grad_ng,O44)</f>
        <v/>
      </c>
      <c r="Q44" s="31">
        <f>IF(Q$4&gt;=unsec_start_ng,P44+MAX(0,P41-P44)*unsec_grad_ng,P44)</f>
        <v/>
      </c>
      <c r="R44" s="31">
        <f>IF(R$4&gt;=unsec_start_ng,Q44+MAX(0,Q41-Q44)*unsec_grad_ng,Q44)</f>
        <v/>
      </c>
      <c r="S44" s="31">
        <f>IF(S$4&gt;=unsec_start_ng,R44+MAX(0,R41-R44)*unsec_grad_ng,R44)</f>
        <v/>
      </c>
      <c r="T44" s="31">
        <f>IF(T$4&gt;=unsec_start_ng,S44+MAX(0,S41-S44)*unsec_grad_ng,S44)</f>
        <v/>
      </c>
      <c r="U44" s="31">
        <f>IF(U$4&gt;=unsec_start_ng,T44+MAX(0,T41-T44)*unsec_grad_ng,T44)</f>
        <v/>
      </c>
      <c r="V44" s="31">
        <f>IF(V$4&gt;=unsec_start_ng,U44+MAX(0,U41-U44)*unsec_grad_ng,U44)</f>
        <v/>
      </c>
      <c r="W44" s="31">
        <f>IF(W$4&gt;=unsec_start_ng,V44+MAX(0,V41-V44)*unsec_grad_ng,V44)</f>
        <v/>
      </c>
      <c r="X44" s="31">
        <f>IF(X$4&gt;=unsec_start_ng,W44+MAX(0,W41-W44)*unsec_grad_ng,W44)</f>
        <v/>
      </c>
      <c r="Y44" s="31">
        <f>IF(Y$4&gt;=unsec_start_ng,X44+MAX(0,X41-X44)*unsec_grad_ng,X44)</f>
        <v/>
      </c>
      <c r="Z44" s="31">
        <f>IF(Z$4&gt;=unsec_start_ng,Y44+MAX(0,Y41-Y44)*unsec_grad_ng,Y44)</f>
        <v/>
      </c>
      <c r="AA44" s="31">
        <f>IF(AA$4&gt;=unsec_start_ng,Z44+MAX(0,Z41-Z44)*unsec_grad_ng,Z44)</f>
        <v/>
      </c>
      <c r="AB44" s="31">
        <f>IF(AB$4&gt;=unsec_start_ng,AA44+MAX(0,AA41-AA44)*unsec_grad_ng,AA44)</f>
        <v/>
      </c>
      <c r="AC44" s="31">
        <f>IF(AC$4&gt;=unsec_start_ng,AB44+MAX(0,AB41-AB44)*unsec_grad_ng,AB44)</f>
        <v/>
      </c>
      <c r="AD44" s="31">
        <f>IF(AD$4&gt;=unsec_start_ng,AC44+MAX(0,AC41-AC44)*unsec_grad_ng,AC44)</f>
        <v/>
      </c>
      <c r="AE44" s="31">
        <f>IF(AE$4&gt;=unsec_start_ng,AD44+MAX(0,AD41-AD44)*unsec_grad_ng,AD44)</f>
        <v/>
      </c>
      <c r="AF44" s="31">
        <f>IF(AF$4&gt;=unsec_start_ng,AE44+MAX(0,AE41-AE44)*unsec_grad_ng,AE44)</f>
        <v/>
      </c>
      <c r="AG44" s="31">
        <f>IF(AG$4&gt;=unsec_start_ng,AF44+MAX(0,AF41-AF44)*unsec_grad_ng,AF44)</f>
        <v/>
      </c>
      <c r="AH44" s="31">
        <f>IF(AH$4&gt;=unsec_start_ng,AG44+MAX(0,AG41-AG44)*unsec_grad_ng,AG44)</f>
        <v/>
      </c>
      <c r="AI44" s="31">
        <f>IF(AI$4&gt;=unsec_start_ng,AH44+MAX(0,AH41-AH44)*unsec_grad_ng,AH44)</f>
        <v/>
      </c>
      <c r="AJ44" s="31">
        <f>IF(AJ$4&gt;=unsec_start_ng,AI44+MAX(0,AI41-AI44)*unsec_grad_ng,AI44)</f>
        <v/>
      </c>
      <c r="AK44" s="31">
        <f>IF(AK$4&gt;=unsec_start_ng,AJ44+MAX(0,AJ41-AJ44)*unsec_grad_ng,AJ44)</f>
        <v/>
      </c>
      <c r="AL44" s="31">
        <f>IF(AL$4&gt;=unsec_start_ng,AK44+MAX(0,AK41-AK44)*unsec_grad_ng,AK44)</f>
        <v/>
      </c>
      <c r="AM44" s="31">
        <f>IF(AM$4&gt;=unsec_start_ng,AL44+MAX(0,AL41-AL44)*unsec_grad_ng,AL44)</f>
        <v/>
      </c>
      <c r="AN44" s="31">
        <f>IF(AN$4&gt;=unsec_start_ng,AM44+MAX(0,AM41-AM44)*unsec_grad_ng,AM44)</f>
        <v/>
      </c>
      <c r="AO44" s="31">
        <f>IF(AO$4&gt;=unsec_start_ng,AN44+MAX(0,AN41-AN44)*unsec_grad_ng,AN44)</f>
        <v/>
      </c>
      <c r="AP44" s="31">
        <f>IF(AP$4&gt;=unsec_start_ng,AO44+MAX(0,AO41-AO44)*unsec_grad_ng,AO44)</f>
        <v/>
      </c>
      <c r="AQ44" s="31">
        <f>IF(AQ$4&gt;=unsec_start_ng,AP44+MAX(0,AP41-AP44)*unsec_grad_ng,AP44)</f>
        <v/>
      </c>
      <c r="AR44" s="31">
        <f>IF(AR$4&gt;=unsec_start_ng,AQ44+MAX(0,AQ41-AQ44)*unsec_grad_ng,AQ44)</f>
        <v/>
      </c>
      <c r="AS44" s="31">
        <f>IF(AS$4&gt;=unsec_start_ng,AR44+MAX(0,AR41-AR44)*unsec_grad_ng,AR44)</f>
        <v/>
      </c>
      <c r="AT44" s="31">
        <f>IF(AT$4&gt;=unsec_start_ng,AS44+MAX(0,AS41-AS44)*unsec_grad_ng,AS44)</f>
        <v/>
      </c>
      <c r="AU44" s="31">
        <f>IF(AU$4&gt;=unsec_start_ng,AT44+MAX(0,AT41-AT44)*unsec_grad_ng,AT44)</f>
        <v/>
      </c>
      <c r="AV44" s="31">
        <f>IF(AV$4&gt;=unsec_start_ng,AU44+MAX(0,AU41-AU44)*unsec_grad_ng,AU44)</f>
        <v/>
      </c>
      <c r="AW44" s="31">
        <f>IF(AW$4&gt;=unsec_start_ng,AV44+MAX(0,AV41-AV44)*unsec_grad_ng,AV44)</f>
        <v/>
      </c>
      <c r="AX44" s="31">
        <f>IF(AX$4&gt;=unsec_start_ng,AW44+MAX(0,AW41-AW44)*unsec_grad_ng,AW44)</f>
        <v/>
      </c>
      <c r="AY44" s="31">
        <f>IF(AY$4&gt;=unsec_start_ng,AX44+MAX(0,AX41-AX44)*unsec_grad_ng,AX44)</f>
        <v/>
      </c>
      <c r="AZ44" s="31">
        <f>IF(AZ$4&gt;=unsec_start_ng,AY44+MAX(0,AY41-AY44)*unsec_grad_ng,AY44)</f>
        <v/>
      </c>
      <c r="BA44" s="31">
        <f>IF(BA$4&gt;=unsec_start_ng,AZ44+MAX(0,AZ41-AZ44)*unsec_grad_ng,AZ44)</f>
        <v/>
      </c>
      <c r="BB44" s="31">
        <f>IF(BB$4&gt;=unsec_start_ng,BA44+MAX(0,BA41-BA44)*unsec_grad_ng,BA44)</f>
        <v/>
      </c>
      <c r="BC44" s="31">
        <f>IF(BC$4&gt;=unsec_start_ng,BB44+MAX(0,BB41-BB44)*unsec_grad_ng,BB44)</f>
        <v/>
      </c>
      <c r="BD44" s="31">
        <f>IF(BD$4&gt;=unsec_start_ng,BC44+MAX(0,BC41-BC44)*unsec_grad_ng,BC44)</f>
        <v/>
      </c>
      <c r="BE44" s="31">
        <f>IF(BE$4&gt;=unsec_start_ng,BD44+MAX(0,BD41-BD44)*unsec_grad_ng,BD44)</f>
        <v/>
      </c>
      <c r="BF44" s="31">
        <f>IF(BF$4&gt;=unsec_start_ng,BE44+MAX(0,BE41-BE44)*unsec_grad_ng,BE44)</f>
        <v/>
      </c>
      <c r="BG44" s="31">
        <f>IF(BG$4&gt;=unsec_start_ng,BF44+MAX(0,BF41-BF44)*unsec_grad_ng,BF44)</f>
        <v/>
      </c>
      <c r="BH44" s="31">
        <f>IF(BH$4&gt;=unsec_start_ng,BG44+MAX(0,BG41-BG44)*unsec_grad_ng,BG44)</f>
        <v/>
      </c>
      <c r="BI44" s="31">
        <f>IF(BI$4&gt;=unsec_start_ng,BH44+MAX(0,BH41-BH44)*unsec_grad_ng,BH44)</f>
        <v/>
      </c>
      <c r="BJ44" s="31">
        <f>IF(BJ$4&gt;=unsec_start_ng,BI44+MAX(0,BI41-BI44)*unsec_grad_ng,BI44)</f>
        <v/>
      </c>
      <c r="BK44" s="31">
        <f>IF(BK$4&gt;=unsec_start_ng,BJ44+MAX(0,BJ41-BJ44)*unsec_grad_ng,BJ44)</f>
        <v/>
      </c>
    </row>
    <row r="45">
      <c r="A45" s="25" t="inlineStr">
        <is>
          <t>New unsecured cards</t>
        </is>
      </c>
      <c r="B45" s="28" t="inlineStr">
        <is>
          <t>cards</t>
        </is>
      </c>
      <c r="C45" s="42" t="n">
        <v>0</v>
      </c>
      <c r="D45" s="43">
        <f>D7*(D44-C44)</f>
        <v/>
      </c>
      <c r="E45" s="43">
        <f>E7*(E44-D44)</f>
        <v/>
      </c>
      <c r="F45" s="43">
        <f>F7*(F44-E44)</f>
        <v/>
      </c>
      <c r="G45" s="43">
        <f>G7*(G44-F44)</f>
        <v/>
      </c>
      <c r="H45" s="43">
        <f>H7*(H44-G44)</f>
        <v/>
      </c>
      <c r="I45" s="43">
        <f>I7*(I44-H44)</f>
        <v/>
      </c>
      <c r="J45" s="43">
        <f>J7*(J44-I44)</f>
        <v/>
      </c>
      <c r="K45" s="43">
        <f>K7*(K44-J44)</f>
        <v/>
      </c>
      <c r="L45" s="43">
        <f>L7*(L44-K44)</f>
        <v/>
      </c>
      <c r="M45" s="43">
        <f>M7*(M44-L44)</f>
        <v/>
      </c>
      <c r="N45" s="43">
        <f>N7*(N44-M44)</f>
        <v/>
      </c>
      <c r="O45" s="43">
        <f>O7*(O44-N44)</f>
        <v/>
      </c>
      <c r="P45" s="43">
        <f>P7*(P44-O44)</f>
        <v/>
      </c>
      <c r="Q45" s="43">
        <f>Q7*(Q44-P44)</f>
        <v/>
      </c>
      <c r="R45" s="43">
        <f>R7*(R44-Q44)</f>
        <v/>
      </c>
      <c r="S45" s="43">
        <f>S7*(S44-R44)</f>
        <v/>
      </c>
      <c r="T45" s="43">
        <f>T7*(T44-S44)</f>
        <v/>
      </c>
      <c r="U45" s="43">
        <f>U7*(U44-T44)</f>
        <v/>
      </c>
      <c r="V45" s="43">
        <f>V7*(V44-U44)</f>
        <v/>
      </c>
      <c r="W45" s="43">
        <f>W7*(W44-V44)</f>
        <v/>
      </c>
      <c r="X45" s="43">
        <f>X7*(X44-W44)</f>
        <v/>
      </c>
      <c r="Y45" s="43">
        <f>Y7*(Y44-X44)</f>
        <v/>
      </c>
      <c r="Z45" s="43">
        <f>Z7*(Z44-Y44)</f>
        <v/>
      </c>
      <c r="AA45" s="43">
        <f>AA7*(AA44-Z44)</f>
        <v/>
      </c>
      <c r="AB45" s="43">
        <f>AB7*(AB44-AA44)</f>
        <v/>
      </c>
      <c r="AC45" s="43">
        <f>AC7*(AC44-AB44)</f>
        <v/>
      </c>
      <c r="AD45" s="43">
        <f>AD7*(AD44-AC44)</f>
        <v/>
      </c>
      <c r="AE45" s="43">
        <f>AE7*(AE44-AD44)</f>
        <v/>
      </c>
      <c r="AF45" s="43">
        <f>AF7*(AF44-AE44)</f>
        <v/>
      </c>
      <c r="AG45" s="43">
        <f>AG7*(AG44-AF44)</f>
        <v/>
      </c>
      <c r="AH45" s="43">
        <f>AH7*(AH44-AG44)</f>
        <v/>
      </c>
      <c r="AI45" s="43">
        <f>AI7*(AI44-AH44)</f>
        <v/>
      </c>
      <c r="AJ45" s="43">
        <f>AJ7*(AJ44-AI44)</f>
        <v/>
      </c>
      <c r="AK45" s="43">
        <f>AK7*(AK44-AJ44)</f>
        <v/>
      </c>
      <c r="AL45" s="43">
        <f>AL7*(AL44-AK44)</f>
        <v/>
      </c>
      <c r="AM45" s="43">
        <f>AM7*(AM44-AL44)</f>
        <v/>
      </c>
      <c r="AN45" s="43">
        <f>AN7*(AN44-AM44)</f>
        <v/>
      </c>
      <c r="AO45" s="43">
        <f>AO7*(AO44-AN44)</f>
        <v/>
      </c>
      <c r="AP45" s="43">
        <f>AP7*(AP44-AO44)</f>
        <v/>
      </c>
      <c r="AQ45" s="43">
        <f>AQ7*(AQ44-AP44)</f>
        <v/>
      </c>
      <c r="AR45" s="43">
        <f>AR7*(AR44-AQ44)</f>
        <v/>
      </c>
      <c r="AS45" s="43">
        <f>AS7*(AS44-AR44)</f>
        <v/>
      </c>
      <c r="AT45" s="43">
        <f>AT7*(AT44-AS44)</f>
        <v/>
      </c>
      <c r="AU45" s="43">
        <f>AU7*(AU44-AT44)</f>
        <v/>
      </c>
      <c r="AV45" s="43">
        <f>AV7*(AV44-AU44)</f>
        <v/>
      </c>
      <c r="AW45" s="43">
        <f>AW7*(AW44-AV44)</f>
        <v/>
      </c>
      <c r="AX45" s="43">
        <f>AX7*(AX44-AW44)</f>
        <v/>
      </c>
      <c r="AY45" s="43">
        <f>AY7*(AY44-AX44)</f>
        <v/>
      </c>
      <c r="AZ45" s="43">
        <f>AZ7*(AZ44-AY44)</f>
        <v/>
      </c>
      <c r="BA45" s="43">
        <f>BA7*(BA44-AZ44)</f>
        <v/>
      </c>
      <c r="BB45" s="43">
        <f>BB7*(BB44-BA44)</f>
        <v/>
      </c>
      <c r="BC45" s="43">
        <f>BC7*(BC44-BB44)</f>
        <v/>
      </c>
      <c r="BD45" s="43">
        <f>BD7*(BD44-BC44)</f>
        <v/>
      </c>
      <c r="BE45" s="43">
        <f>BE7*(BE44-BD44)</f>
        <v/>
      </c>
      <c r="BF45" s="43">
        <f>BF7*(BF44-BE44)</f>
        <v/>
      </c>
      <c r="BG45" s="43">
        <f>BG7*(BG44-BF44)</f>
        <v/>
      </c>
      <c r="BH45" s="43">
        <f>BH7*(BH44-BG44)</f>
        <v/>
      </c>
      <c r="BI45" s="43">
        <f>BI7*(BI44-BH44)</f>
        <v/>
      </c>
      <c r="BJ45" s="43">
        <f>BJ7*(BJ44-BI44)</f>
        <v/>
      </c>
      <c r="BK45" s="43">
        <f>BK7*(BK44-BJ44)</f>
        <v/>
      </c>
    </row>
    <row r="46">
      <c r="A46" s="6" t="inlineStr">
        <is>
          <t>Equity SIPs beyond the daily savings</t>
        </is>
      </c>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c r="AA46" s="7" t="n"/>
      <c r="AB46" s="7" t="n"/>
      <c r="AC46" s="7" t="n"/>
      <c r="AD46" s="7" t="n"/>
      <c r="AE46" s="7" t="n"/>
      <c r="AF46" s="7" t="n"/>
      <c r="AG46" s="7" t="n"/>
      <c r="AH46" s="7" t="n"/>
      <c r="AI46" s="7" t="n"/>
      <c r="AJ46" s="7" t="n"/>
      <c r="AK46" s="7" t="n"/>
      <c r="AL46" s="7" t="n"/>
      <c r="AM46" s="7" t="n"/>
      <c r="AN46" s="7" t="n"/>
      <c r="AO46" s="7" t="n"/>
      <c r="AP46" s="7" t="n"/>
      <c r="AQ46" s="7" t="n"/>
      <c r="AR46" s="7" t="n"/>
      <c r="AS46" s="7" t="n"/>
      <c r="AT46" s="7" t="n"/>
      <c r="AU46" s="7" t="n"/>
      <c r="AV46" s="7" t="n"/>
      <c r="AW46" s="7" t="n"/>
      <c r="AX46" s="7" t="n"/>
      <c r="AY46" s="7" t="n"/>
      <c r="AZ46" s="7" t="n"/>
      <c r="BA46" s="7" t="n"/>
      <c r="BB46" s="7" t="n"/>
      <c r="BC46" s="7" t="n"/>
      <c r="BD46" s="7" t="n"/>
      <c r="BE46" s="7" t="n"/>
      <c r="BF46" s="7" t="n"/>
      <c r="BG46" s="7" t="n"/>
      <c r="BH46" s="7" t="n"/>
      <c r="BI46" s="7" t="n"/>
      <c r="BJ46" s="7" t="n"/>
      <c r="BK46" s="7" t="n"/>
    </row>
    <row r="47">
      <c r="A47" s="25" t="inlineStr">
        <is>
          <t>Share of active savers with an equity SIP</t>
        </is>
      </c>
      <c r="B47" s="28" t="inlineStr">
        <is>
          <t>share</t>
        </is>
      </c>
      <c r="C47" s="29" t="n">
        <v>0</v>
      </c>
      <c r="D47" s="31">
        <f>IF(D$4&gt;=sip_start_ng,C47*(1-sip_stop_ng)+(sip_eligible_ng-C47)*sip_uptake_ng,0)</f>
        <v/>
      </c>
      <c r="E47" s="31">
        <f>IF(E$4&gt;=sip_start_ng,D47*(1-sip_stop_ng)+(sip_eligible_ng-D47)*sip_uptake_ng,0)</f>
        <v/>
      </c>
      <c r="F47" s="31">
        <f>IF(F$4&gt;=sip_start_ng,E47*(1-sip_stop_ng)+(sip_eligible_ng-E47)*sip_uptake_ng,0)</f>
        <v/>
      </c>
      <c r="G47" s="31">
        <f>IF(G$4&gt;=sip_start_ng,F47*(1-sip_stop_ng)+(sip_eligible_ng-F47)*sip_uptake_ng,0)</f>
        <v/>
      </c>
      <c r="H47" s="31">
        <f>IF(H$4&gt;=sip_start_ng,G47*(1-sip_stop_ng)+(sip_eligible_ng-G47)*sip_uptake_ng,0)</f>
        <v/>
      </c>
      <c r="I47" s="31">
        <f>IF(I$4&gt;=sip_start_ng,H47*(1-sip_stop_ng)+(sip_eligible_ng-H47)*sip_uptake_ng,0)</f>
        <v/>
      </c>
      <c r="J47" s="31">
        <f>IF(J$4&gt;=sip_start_ng,I47*(1-sip_stop_ng)+(sip_eligible_ng-I47)*sip_uptake_ng,0)</f>
        <v/>
      </c>
      <c r="K47" s="31">
        <f>IF(K$4&gt;=sip_start_ng,J47*(1-sip_stop_ng)+(sip_eligible_ng-J47)*sip_uptake_ng,0)</f>
        <v/>
      </c>
      <c r="L47" s="31">
        <f>IF(L$4&gt;=sip_start_ng,K47*(1-sip_stop_ng)+(sip_eligible_ng-K47)*sip_uptake_ng,0)</f>
        <v/>
      </c>
      <c r="M47" s="31">
        <f>IF(M$4&gt;=sip_start_ng,L47*(1-sip_stop_ng)+(sip_eligible_ng-L47)*sip_uptake_ng,0)</f>
        <v/>
      </c>
      <c r="N47" s="31">
        <f>IF(N$4&gt;=sip_start_ng,M47*(1-sip_stop_ng)+(sip_eligible_ng-M47)*sip_uptake_ng,0)</f>
        <v/>
      </c>
      <c r="O47" s="31">
        <f>IF(O$4&gt;=sip_start_ng,N47*(1-sip_stop_ng)+(sip_eligible_ng-N47)*sip_uptake_ng,0)</f>
        <v/>
      </c>
      <c r="P47" s="31">
        <f>IF(P$4&gt;=sip_start_ng,O47*(1-sip_stop_ng)+(sip_eligible_ng-O47)*sip_uptake_ng,0)</f>
        <v/>
      </c>
      <c r="Q47" s="31">
        <f>IF(Q$4&gt;=sip_start_ng,P47*(1-sip_stop_ng)+(sip_eligible_ng-P47)*sip_uptake_ng,0)</f>
        <v/>
      </c>
      <c r="R47" s="31">
        <f>IF(R$4&gt;=sip_start_ng,Q47*(1-sip_stop_ng)+(sip_eligible_ng-Q47)*sip_uptake_ng,0)</f>
        <v/>
      </c>
      <c r="S47" s="31">
        <f>IF(S$4&gt;=sip_start_ng,R47*(1-sip_stop_ng)+(sip_eligible_ng-R47)*sip_uptake_ng,0)</f>
        <v/>
      </c>
      <c r="T47" s="31">
        <f>IF(T$4&gt;=sip_start_ng,S47*(1-sip_stop_ng)+(sip_eligible_ng-S47)*sip_uptake_ng,0)</f>
        <v/>
      </c>
      <c r="U47" s="31">
        <f>IF(U$4&gt;=sip_start_ng,T47*(1-sip_stop_ng)+(sip_eligible_ng-T47)*sip_uptake_ng,0)</f>
        <v/>
      </c>
      <c r="V47" s="31">
        <f>IF(V$4&gt;=sip_start_ng,U47*(1-sip_stop_ng)+(sip_eligible_ng-U47)*sip_uptake_ng,0)</f>
        <v/>
      </c>
      <c r="W47" s="31">
        <f>IF(W$4&gt;=sip_start_ng,V47*(1-sip_stop_ng)+(sip_eligible_ng-V47)*sip_uptake_ng,0)</f>
        <v/>
      </c>
      <c r="X47" s="31">
        <f>IF(X$4&gt;=sip_start_ng,W47*(1-sip_stop_ng)+(sip_eligible_ng-W47)*sip_uptake_ng,0)</f>
        <v/>
      </c>
      <c r="Y47" s="31">
        <f>IF(Y$4&gt;=sip_start_ng,X47*(1-sip_stop_ng)+(sip_eligible_ng-X47)*sip_uptake_ng,0)</f>
        <v/>
      </c>
      <c r="Z47" s="31">
        <f>IF(Z$4&gt;=sip_start_ng,Y47*(1-sip_stop_ng)+(sip_eligible_ng-Y47)*sip_uptake_ng,0)</f>
        <v/>
      </c>
      <c r="AA47" s="31">
        <f>IF(AA$4&gt;=sip_start_ng,Z47*(1-sip_stop_ng)+(sip_eligible_ng-Z47)*sip_uptake_ng,0)</f>
        <v/>
      </c>
      <c r="AB47" s="31">
        <f>IF(AB$4&gt;=sip_start_ng,AA47*(1-sip_stop_ng)+(sip_eligible_ng-AA47)*sip_uptake_ng,0)</f>
        <v/>
      </c>
      <c r="AC47" s="31">
        <f>IF(AC$4&gt;=sip_start_ng,AB47*(1-sip_stop_ng)+(sip_eligible_ng-AB47)*sip_uptake_ng,0)</f>
        <v/>
      </c>
      <c r="AD47" s="31">
        <f>IF(AD$4&gt;=sip_start_ng,AC47*(1-sip_stop_ng)+(sip_eligible_ng-AC47)*sip_uptake_ng,0)</f>
        <v/>
      </c>
      <c r="AE47" s="31">
        <f>IF(AE$4&gt;=sip_start_ng,AD47*(1-sip_stop_ng)+(sip_eligible_ng-AD47)*sip_uptake_ng,0)</f>
        <v/>
      </c>
      <c r="AF47" s="31">
        <f>IF(AF$4&gt;=sip_start_ng,AE47*(1-sip_stop_ng)+(sip_eligible_ng-AE47)*sip_uptake_ng,0)</f>
        <v/>
      </c>
      <c r="AG47" s="31">
        <f>IF(AG$4&gt;=sip_start_ng,AF47*(1-sip_stop_ng)+(sip_eligible_ng-AF47)*sip_uptake_ng,0)</f>
        <v/>
      </c>
      <c r="AH47" s="31">
        <f>IF(AH$4&gt;=sip_start_ng,AG47*(1-sip_stop_ng)+(sip_eligible_ng-AG47)*sip_uptake_ng,0)</f>
        <v/>
      </c>
      <c r="AI47" s="31">
        <f>IF(AI$4&gt;=sip_start_ng,AH47*(1-sip_stop_ng)+(sip_eligible_ng-AH47)*sip_uptake_ng,0)</f>
        <v/>
      </c>
      <c r="AJ47" s="31">
        <f>IF(AJ$4&gt;=sip_start_ng,AI47*(1-sip_stop_ng)+(sip_eligible_ng-AI47)*sip_uptake_ng,0)</f>
        <v/>
      </c>
      <c r="AK47" s="31">
        <f>IF(AK$4&gt;=sip_start_ng,AJ47*(1-sip_stop_ng)+(sip_eligible_ng-AJ47)*sip_uptake_ng,0)</f>
        <v/>
      </c>
      <c r="AL47" s="31">
        <f>IF(AL$4&gt;=sip_start_ng,AK47*(1-sip_stop_ng)+(sip_eligible_ng-AK47)*sip_uptake_ng,0)</f>
        <v/>
      </c>
      <c r="AM47" s="31">
        <f>IF(AM$4&gt;=sip_start_ng,AL47*(1-sip_stop_ng)+(sip_eligible_ng-AL47)*sip_uptake_ng,0)</f>
        <v/>
      </c>
      <c r="AN47" s="31">
        <f>IF(AN$4&gt;=sip_start_ng,AM47*(1-sip_stop_ng)+(sip_eligible_ng-AM47)*sip_uptake_ng,0)</f>
        <v/>
      </c>
      <c r="AO47" s="31">
        <f>IF(AO$4&gt;=sip_start_ng,AN47*(1-sip_stop_ng)+(sip_eligible_ng-AN47)*sip_uptake_ng,0)</f>
        <v/>
      </c>
      <c r="AP47" s="31">
        <f>IF(AP$4&gt;=sip_start_ng,AO47*(1-sip_stop_ng)+(sip_eligible_ng-AO47)*sip_uptake_ng,0)</f>
        <v/>
      </c>
      <c r="AQ47" s="31">
        <f>IF(AQ$4&gt;=sip_start_ng,AP47*(1-sip_stop_ng)+(sip_eligible_ng-AP47)*sip_uptake_ng,0)</f>
        <v/>
      </c>
      <c r="AR47" s="31">
        <f>IF(AR$4&gt;=sip_start_ng,AQ47*(1-sip_stop_ng)+(sip_eligible_ng-AQ47)*sip_uptake_ng,0)</f>
        <v/>
      </c>
      <c r="AS47" s="31">
        <f>IF(AS$4&gt;=sip_start_ng,AR47*(1-sip_stop_ng)+(sip_eligible_ng-AR47)*sip_uptake_ng,0)</f>
        <v/>
      </c>
      <c r="AT47" s="31">
        <f>IF(AT$4&gt;=sip_start_ng,AS47*(1-sip_stop_ng)+(sip_eligible_ng-AS47)*sip_uptake_ng,0)</f>
        <v/>
      </c>
      <c r="AU47" s="31">
        <f>IF(AU$4&gt;=sip_start_ng,AT47*(1-sip_stop_ng)+(sip_eligible_ng-AT47)*sip_uptake_ng,0)</f>
        <v/>
      </c>
      <c r="AV47" s="31">
        <f>IF(AV$4&gt;=sip_start_ng,AU47*(1-sip_stop_ng)+(sip_eligible_ng-AU47)*sip_uptake_ng,0)</f>
        <v/>
      </c>
      <c r="AW47" s="31">
        <f>IF(AW$4&gt;=sip_start_ng,AV47*(1-sip_stop_ng)+(sip_eligible_ng-AV47)*sip_uptake_ng,0)</f>
        <v/>
      </c>
      <c r="AX47" s="31">
        <f>IF(AX$4&gt;=sip_start_ng,AW47*(1-sip_stop_ng)+(sip_eligible_ng-AW47)*sip_uptake_ng,0)</f>
        <v/>
      </c>
      <c r="AY47" s="31">
        <f>IF(AY$4&gt;=sip_start_ng,AX47*(1-sip_stop_ng)+(sip_eligible_ng-AX47)*sip_uptake_ng,0)</f>
        <v/>
      </c>
      <c r="AZ47" s="31">
        <f>IF(AZ$4&gt;=sip_start_ng,AY47*(1-sip_stop_ng)+(sip_eligible_ng-AY47)*sip_uptake_ng,0)</f>
        <v/>
      </c>
      <c r="BA47" s="31">
        <f>IF(BA$4&gt;=sip_start_ng,AZ47*(1-sip_stop_ng)+(sip_eligible_ng-AZ47)*sip_uptake_ng,0)</f>
        <v/>
      </c>
      <c r="BB47" s="31">
        <f>IF(BB$4&gt;=sip_start_ng,BA47*(1-sip_stop_ng)+(sip_eligible_ng-BA47)*sip_uptake_ng,0)</f>
        <v/>
      </c>
      <c r="BC47" s="31">
        <f>IF(BC$4&gt;=sip_start_ng,BB47*(1-sip_stop_ng)+(sip_eligible_ng-BB47)*sip_uptake_ng,0)</f>
        <v/>
      </c>
      <c r="BD47" s="31">
        <f>IF(BD$4&gt;=sip_start_ng,BC47*(1-sip_stop_ng)+(sip_eligible_ng-BC47)*sip_uptake_ng,0)</f>
        <v/>
      </c>
      <c r="BE47" s="31">
        <f>IF(BE$4&gt;=sip_start_ng,BD47*(1-sip_stop_ng)+(sip_eligible_ng-BD47)*sip_uptake_ng,0)</f>
        <v/>
      </c>
      <c r="BF47" s="31">
        <f>IF(BF$4&gt;=sip_start_ng,BE47*(1-sip_stop_ng)+(sip_eligible_ng-BE47)*sip_uptake_ng,0)</f>
        <v/>
      </c>
      <c r="BG47" s="31">
        <f>IF(BG$4&gt;=sip_start_ng,BF47*(1-sip_stop_ng)+(sip_eligible_ng-BF47)*sip_uptake_ng,0)</f>
        <v/>
      </c>
      <c r="BH47" s="31">
        <f>IF(BH$4&gt;=sip_start_ng,BG47*(1-sip_stop_ng)+(sip_eligible_ng-BG47)*sip_uptake_ng,0)</f>
        <v/>
      </c>
      <c r="BI47" s="31">
        <f>IF(BI$4&gt;=sip_start_ng,BH47*(1-sip_stop_ng)+(sip_eligible_ng-BH47)*sip_uptake_ng,0)</f>
        <v/>
      </c>
      <c r="BJ47" s="31">
        <f>IF(BJ$4&gt;=sip_start_ng,BI47*(1-sip_stop_ng)+(sip_eligible_ng-BI47)*sip_uptake_ng,0)</f>
        <v/>
      </c>
      <c r="BK47" s="31">
        <f>IF(BK$4&gt;=sip_start_ng,BJ47*(1-sip_stop_ng)+(sip_eligible_ng-BJ47)*sip_uptake_ng,0)</f>
        <v/>
      </c>
    </row>
    <row r="48">
      <c r="A48" s="25" t="inlineStr">
        <is>
          <t>New SIPs</t>
        </is>
      </c>
      <c r="B48" s="28" t="inlineStr">
        <is>
          <t>SIPs</t>
        </is>
      </c>
      <c r="C48" s="42" t="n">
        <v>0</v>
      </c>
      <c r="D48" s="43">
        <f>IF(D$4&gt;=sip_start_ng,D7*(sip_eligible_ng-C47)*sip_uptake_ng,0)</f>
        <v/>
      </c>
      <c r="E48" s="43">
        <f>IF(E$4&gt;=sip_start_ng,E7*(sip_eligible_ng-D47)*sip_uptake_ng,0)</f>
        <v/>
      </c>
      <c r="F48" s="43">
        <f>IF(F$4&gt;=sip_start_ng,F7*(sip_eligible_ng-E47)*sip_uptake_ng,0)</f>
        <v/>
      </c>
      <c r="G48" s="43">
        <f>IF(G$4&gt;=sip_start_ng,G7*(sip_eligible_ng-F47)*sip_uptake_ng,0)</f>
        <v/>
      </c>
      <c r="H48" s="43">
        <f>IF(H$4&gt;=sip_start_ng,H7*(sip_eligible_ng-G47)*sip_uptake_ng,0)</f>
        <v/>
      </c>
      <c r="I48" s="43">
        <f>IF(I$4&gt;=sip_start_ng,I7*(sip_eligible_ng-H47)*sip_uptake_ng,0)</f>
        <v/>
      </c>
      <c r="J48" s="43">
        <f>IF(J$4&gt;=sip_start_ng,J7*(sip_eligible_ng-I47)*sip_uptake_ng,0)</f>
        <v/>
      </c>
      <c r="K48" s="43">
        <f>IF(K$4&gt;=sip_start_ng,K7*(sip_eligible_ng-J47)*sip_uptake_ng,0)</f>
        <v/>
      </c>
      <c r="L48" s="43">
        <f>IF(L$4&gt;=sip_start_ng,L7*(sip_eligible_ng-K47)*sip_uptake_ng,0)</f>
        <v/>
      </c>
      <c r="M48" s="43">
        <f>IF(M$4&gt;=sip_start_ng,M7*(sip_eligible_ng-L47)*sip_uptake_ng,0)</f>
        <v/>
      </c>
      <c r="N48" s="43">
        <f>IF(N$4&gt;=sip_start_ng,N7*(sip_eligible_ng-M47)*sip_uptake_ng,0)</f>
        <v/>
      </c>
      <c r="O48" s="43">
        <f>IF(O$4&gt;=sip_start_ng,O7*(sip_eligible_ng-N47)*sip_uptake_ng,0)</f>
        <v/>
      </c>
      <c r="P48" s="43">
        <f>IF(P$4&gt;=sip_start_ng,P7*(sip_eligible_ng-O47)*sip_uptake_ng,0)</f>
        <v/>
      </c>
      <c r="Q48" s="43">
        <f>IF(Q$4&gt;=sip_start_ng,Q7*(sip_eligible_ng-P47)*sip_uptake_ng,0)</f>
        <v/>
      </c>
      <c r="R48" s="43">
        <f>IF(R$4&gt;=sip_start_ng,R7*(sip_eligible_ng-Q47)*sip_uptake_ng,0)</f>
        <v/>
      </c>
      <c r="S48" s="43">
        <f>IF(S$4&gt;=sip_start_ng,S7*(sip_eligible_ng-R47)*sip_uptake_ng,0)</f>
        <v/>
      </c>
      <c r="T48" s="43">
        <f>IF(T$4&gt;=sip_start_ng,T7*(sip_eligible_ng-S47)*sip_uptake_ng,0)</f>
        <v/>
      </c>
      <c r="U48" s="43">
        <f>IF(U$4&gt;=sip_start_ng,U7*(sip_eligible_ng-T47)*sip_uptake_ng,0)</f>
        <v/>
      </c>
      <c r="V48" s="43">
        <f>IF(V$4&gt;=sip_start_ng,V7*(sip_eligible_ng-U47)*sip_uptake_ng,0)</f>
        <v/>
      </c>
      <c r="W48" s="43">
        <f>IF(W$4&gt;=sip_start_ng,W7*(sip_eligible_ng-V47)*sip_uptake_ng,0)</f>
        <v/>
      </c>
      <c r="X48" s="43">
        <f>IF(X$4&gt;=sip_start_ng,X7*(sip_eligible_ng-W47)*sip_uptake_ng,0)</f>
        <v/>
      </c>
      <c r="Y48" s="43">
        <f>IF(Y$4&gt;=sip_start_ng,Y7*(sip_eligible_ng-X47)*sip_uptake_ng,0)</f>
        <v/>
      </c>
      <c r="Z48" s="43">
        <f>IF(Z$4&gt;=sip_start_ng,Z7*(sip_eligible_ng-Y47)*sip_uptake_ng,0)</f>
        <v/>
      </c>
      <c r="AA48" s="43">
        <f>IF(AA$4&gt;=sip_start_ng,AA7*(sip_eligible_ng-Z47)*sip_uptake_ng,0)</f>
        <v/>
      </c>
      <c r="AB48" s="43">
        <f>IF(AB$4&gt;=sip_start_ng,AB7*(sip_eligible_ng-AA47)*sip_uptake_ng,0)</f>
        <v/>
      </c>
      <c r="AC48" s="43">
        <f>IF(AC$4&gt;=sip_start_ng,AC7*(sip_eligible_ng-AB47)*sip_uptake_ng,0)</f>
        <v/>
      </c>
      <c r="AD48" s="43">
        <f>IF(AD$4&gt;=sip_start_ng,AD7*(sip_eligible_ng-AC47)*sip_uptake_ng,0)</f>
        <v/>
      </c>
      <c r="AE48" s="43">
        <f>IF(AE$4&gt;=sip_start_ng,AE7*(sip_eligible_ng-AD47)*sip_uptake_ng,0)</f>
        <v/>
      </c>
      <c r="AF48" s="43">
        <f>IF(AF$4&gt;=sip_start_ng,AF7*(sip_eligible_ng-AE47)*sip_uptake_ng,0)</f>
        <v/>
      </c>
      <c r="AG48" s="43">
        <f>IF(AG$4&gt;=sip_start_ng,AG7*(sip_eligible_ng-AF47)*sip_uptake_ng,0)</f>
        <v/>
      </c>
      <c r="AH48" s="43">
        <f>IF(AH$4&gt;=sip_start_ng,AH7*(sip_eligible_ng-AG47)*sip_uptake_ng,0)</f>
        <v/>
      </c>
      <c r="AI48" s="43">
        <f>IF(AI$4&gt;=sip_start_ng,AI7*(sip_eligible_ng-AH47)*sip_uptake_ng,0)</f>
        <v/>
      </c>
      <c r="AJ48" s="43">
        <f>IF(AJ$4&gt;=sip_start_ng,AJ7*(sip_eligible_ng-AI47)*sip_uptake_ng,0)</f>
        <v/>
      </c>
      <c r="AK48" s="43">
        <f>IF(AK$4&gt;=sip_start_ng,AK7*(sip_eligible_ng-AJ47)*sip_uptake_ng,0)</f>
        <v/>
      </c>
      <c r="AL48" s="43">
        <f>IF(AL$4&gt;=sip_start_ng,AL7*(sip_eligible_ng-AK47)*sip_uptake_ng,0)</f>
        <v/>
      </c>
      <c r="AM48" s="43">
        <f>IF(AM$4&gt;=sip_start_ng,AM7*(sip_eligible_ng-AL47)*sip_uptake_ng,0)</f>
        <v/>
      </c>
      <c r="AN48" s="43">
        <f>IF(AN$4&gt;=sip_start_ng,AN7*(sip_eligible_ng-AM47)*sip_uptake_ng,0)</f>
        <v/>
      </c>
      <c r="AO48" s="43">
        <f>IF(AO$4&gt;=sip_start_ng,AO7*(sip_eligible_ng-AN47)*sip_uptake_ng,0)</f>
        <v/>
      </c>
      <c r="AP48" s="43">
        <f>IF(AP$4&gt;=sip_start_ng,AP7*(sip_eligible_ng-AO47)*sip_uptake_ng,0)</f>
        <v/>
      </c>
      <c r="AQ48" s="43">
        <f>IF(AQ$4&gt;=sip_start_ng,AQ7*(sip_eligible_ng-AP47)*sip_uptake_ng,0)</f>
        <v/>
      </c>
      <c r="AR48" s="43">
        <f>IF(AR$4&gt;=sip_start_ng,AR7*(sip_eligible_ng-AQ47)*sip_uptake_ng,0)</f>
        <v/>
      </c>
      <c r="AS48" s="43">
        <f>IF(AS$4&gt;=sip_start_ng,AS7*(sip_eligible_ng-AR47)*sip_uptake_ng,0)</f>
        <v/>
      </c>
      <c r="AT48" s="43">
        <f>IF(AT$4&gt;=sip_start_ng,AT7*(sip_eligible_ng-AS47)*sip_uptake_ng,0)</f>
        <v/>
      </c>
      <c r="AU48" s="43">
        <f>IF(AU$4&gt;=sip_start_ng,AU7*(sip_eligible_ng-AT47)*sip_uptake_ng,0)</f>
        <v/>
      </c>
      <c r="AV48" s="43">
        <f>IF(AV$4&gt;=sip_start_ng,AV7*(sip_eligible_ng-AU47)*sip_uptake_ng,0)</f>
        <v/>
      </c>
      <c r="AW48" s="43">
        <f>IF(AW$4&gt;=sip_start_ng,AW7*(sip_eligible_ng-AV47)*sip_uptake_ng,0)</f>
        <v/>
      </c>
      <c r="AX48" s="43">
        <f>IF(AX$4&gt;=sip_start_ng,AX7*(sip_eligible_ng-AW47)*sip_uptake_ng,0)</f>
        <v/>
      </c>
      <c r="AY48" s="43">
        <f>IF(AY$4&gt;=sip_start_ng,AY7*(sip_eligible_ng-AX47)*sip_uptake_ng,0)</f>
        <v/>
      </c>
      <c r="AZ48" s="43">
        <f>IF(AZ$4&gt;=sip_start_ng,AZ7*(sip_eligible_ng-AY47)*sip_uptake_ng,0)</f>
        <v/>
      </c>
      <c r="BA48" s="43">
        <f>IF(BA$4&gt;=sip_start_ng,BA7*(sip_eligible_ng-AZ47)*sip_uptake_ng,0)</f>
        <v/>
      </c>
      <c r="BB48" s="43">
        <f>IF(BB$4&gt;=sip_start_ng,BB7*(sip_eligible_ng-BA47)*sip_uptake_ng,0)</f>
        <v/>
      </c>
      <c r="BC48" s="43">
        <f>IF(BC$4&gt;=sip_start_ng,BC7*(sip_eligible_ng-BB47)*sip_uptake_ng,0)</f>
        <v/>
      </c>
      <c r="BD48" s="43">
        <f>IF(BD$4&gt;=sip_start_ng,BD7*(sip_eligible_ng-BC47)*sip_uptake_ng,0)</f>
        <v/>
      </c>
      <c r="BE48" s="43">
        <f>IF(BE$4&gt;=sip_start_ng,BE7*(sip_eligible_ng-BD47)*sip_uptake_ng,0)</f>
        <v/>
      </c>
      <c r="BF48" s="43">
        <f>IF(BF$4&gt;=sip_start_ng,BF7*(sip_eligible_ng-BE47)*sip_uptake_ng,0)</f>
        <v/>
      </c>
      <c r="BG48" s="43">
        <f>IF(BG$4&gt;=sip_start_ng,BG7*(sip_eligible_ng-BF47)*sip_uptake_ng,0)</f>
        <v/>
      </c>
      <c r="BH48" s="43">
        <f>IF(BH$4&gt;=sip_start_ng,BH7*(sip_eligible_ng-BG47)*sip_uptake_ng,0)</f>
        <v/>
      </c>
      <c r="BI48" s="43">
        <f>IF(BI$4&gt;=sip_start_ng,BI7*(sip_eligible_ng-BH47)*sip_uptake_ng,0)</f>
        <v/>
      </c>
      <c r="BJ48" s="43">
        <f>IF(BJ$4&gt;=sip_start_ng,BJ7*(sip_eligible_ng-BI47)*sip_uptake_ng,0)</f>
        <v/>
      </c>
      <c r="BK48" s="43">
        <f>IF(BK$4&gt;=sip_start_ng,BK7*(sip_eligible_ng-BJ47)*sip_uptake_ng,0)</f>
        <v/>
      </c>
    </row>
    <row r="49">
      <c r="A49" s="25" t="inlineStr">
        <is>
          <t>SIP balance</t>
        </is>
      </c>
      <c r="B49" s="28" t="inlineStr">
        <is>
          <t>₹</t>
        </is>
      </c>
      <c r="C49" s="30" t="n">
        <v>0</v>
      </c>
      <c r="D49" s="32">
        <f>C49*(1+sip_return_ng/12)*(1-sip_redeem_ng)+D7*D47*sip_amount_ng</f>
        <v/>
      </c>
      <c r="E49" s="32">
        <f>D49*(1+sip_return_ng/12)*(1-sip_redeem_ng)+E7*E47*sip_amount_ng</f>
        <v/>
      </c>
      <c r="F49" s="32">
        <f>E49*(1+sip_return_ng/12)*(1-sip_redeem_ng)+F7*F47*sip_amount_ng</f>
        <v/>
      </c>
      <c r="G49" s="32">
        <f>F49*(1+sip_return_ng/12)*(1-sip_redeem_ng)+G7*G47*sip_amount_ng</f>
        <v/>
      </c>
      <c r="H49" s="32">
        <f>G49*(1+sip_return_ng/12)*(1-sip_redeem_ng)+H7*H47*sip_amount_ng</f>
        <v/>
      </c>
      <c r="I49" s="32">
        <f>H49*(1+sip_return_ng/12)*(1-sip_redeem_ng)+I7*I47*sip_amount_ng</f>
        <v/>
      </c>
      <c r="J49" s="32">
        <f>I49*(1+sip_return_ng/12)*(1-sip_redeem_ng)+J7*J47*sip_amount_ng</f>
        <v/>
      </c>
      <c r="K49" s="32">
        <f>J49*(1+sip_return_ng/12)*(1-sip_redeem_ng)+K7*K47*sip_amount_ng</f>
        <v/>
      </c>
      <c r="L49" s="32">
        <f>K49*(1+sip_return_ng/12)*(1-sip_redeem_ng)+L7*L47*sip_amount_ng</f>
        <v/>
      </c>
      <c r="M49" s="32">
        <f>L49*(1+sip_return_ng/12)*(1-sip_redeem_ng)+M7*M47*sip_amount_ng</f>
        <v/>
      </c>
      <c r="N49" s="32">
        <f>M49*(1+sip_return_ng/12)*(1-sip_redeem_ng)+N7*N47*sip_amount_ng</f>
        <v/>
      </c>
      <c r="O49" s="32">
        <f>N49*(1+sip_return_ng/12)*(1-sip_redeem_ng)+O7*O47*sip_amount_ng</f>
        <v/>
      </c>
      <c r="P49" s="32">
        <f>O49*(1+sip_return_ng/12)*(1-sip_redeem_ng)+P7*P47*sip_amount_ng</f>
        <v/>
      </c>
      <c r="Q49" s="32">
        <f>P49*(1+sip_return_ng/12)*(1-sip_redeem_ng)+Q7*Q47*sip_amount_ng</f>
        <v/>
      </c>
      <c r="R49" s="32">
        <f>Q49*(1+sip_return_ng/12)*(1-sip_redeem_ng)+R7*R47*sip_amount_ng</f>
        <v/>
      </c>
      <c r="S49" s="32">
        <f>R49*(1+sip_return_ng/12)*(1-sip_redeem_ng)+S7*S47*sip_amount_ng</f>
        <v/>
      </c>
      <c r="T49" s="32">
        <f>S49*(1+sip_return_ng/12)*(1-sip_redeem_ng)+T7*T47*sip_amount_ng</f>
        <v/>
      </c>
      <c r="U49" s="32">
        <f>T49*(1+sip_return_ng/12)*(1-sip_redeem_ng)+U7*U47*sip_amount_ng</f>
        <v/>
      </c>
      <c r="V49" s="32">
        <f>U49*(1+sip_return_ng/12)*(1-sip_redeem_ng)+V7*V47*sip_amount_ng</f>
        <v/>
      </c>
      <c r="W49" s="32">
        <f>V49*(1+sip_return_ng/12)*(1-sip_redeem_ng)+W7*W47*sip_amount_ng</f>
        <v/>
      </c>
      <c r="X49" s="32">
        <f>W49*(1+sip_return_ng/12)*(1-sip_redeem_ng)+X7*X47*sip_amount_ng</f>
        <v/>
      </c>
      <c r="Y49" s="32">
        <f>X49*(1+sip_return_ng/12)*(1-sip_redeem_ng)+Y7*Y47*sip_amount_ng</f>
        <v/>
      </c>
      <c r="Z49" s="32">
        <f>Y49*(1+sip_return_ng/12)*(1-sip_redeem_ng)+Z7*Z47*sip_amount_ng</f>
        <v/>
      </c>
      <c r="AA49" s="32">
        <f>Z49*(1+sip_return_ng/12)*(1-sip_redeem_ng)+AA7*AA47*sip_amount_ng</f>
        <v/>
      </c>
      <c r="AB49" s="32">
        <f>AA49*(1+sip_return_ng/12)*(1-sip_redeem_ng)+AB7*AB47*sip_amount_ng</f>
        <v/>
      </c>
      <c r="AC49" s="32">
        <f>AB49*(1+sip_return_ng/12)*(1-sip_redeem_ng)+AC7*AC47*sip_amount_ng</f>
        <v/>
      </c>
      <c r="AD49" s="32">
        <f>AC49*(1+sip_return_ng/12)*(1-sip_redeem_ng)+AD7*AD47*sip_amount_ng</f>
        <v/>
      </c>
      <c r="AE49" s="32">
        <f>AD49*(1+sip_return_ng/12)*(1-sip_redeem_ng)+AE7*AE47*sip_amount_ng</f>
        <v/>
      </c>
      <c r="AF49" s="32">
        <f>AE49*(1+sip_return_ng/12)*(1-sip_redeem_ng)+AF7*AF47*sip_amount_ng</f>
        <v/>
      </c>
      <c r="AG49" s="32">
        <f>AF49*(1+sip_return_ng/12)*(1-sip_redeem_ng)+AG7*AG47*sip_amount_ng</f>
        <v/>
      </c>
      <c r="AH49" s="32">
        <f>AG49*(1+sip_return_ng/12)*(1-sip_redeem_ng)+AH7*AH47*sip_amount_ng</f>
        <v/>
      </c>
      <c r="AI49" s="32">
        <f>AH49*(1+sip_return_ng/12)*(1-sip_redeem_ng)+AI7*AI47*sip_amount_ng</f>
        <v/>
      </c>
      <c r="AJ49" s="32">
        <f>AI49*(1+sip_return_ng/12)*(1-sip_redeem_ng)+AJ7*AJ47*sip_amount_ng</f>
        <v/>
      </c>
      <c r="AK49" s="32">
        <f>AJ49*(1+sip_return_ng/12)*(1-sip_redeem_ng)+AK7*AK47*sip_amount_ng</f>
        <v/>
      </c>
      <c r="AL49" s="32">
        <f>AK49*(1+sip_return_ng/12)*(1-sip_redeem_ng)+AL7*AL47*sip_amount_ng</f>
        <v/>
      </c>
      <c r="AM49" s="32">
        <f>AL49*(1+sip_return_ng/12)*(1-sip_redeem_ng)+AM7*AM47*sip_amount_ng</f>
        <v/>
      </c>
      <c r="AN49" s="32">
        <f>AM49*(1+sip_return_ng/12)*(1-sip_redeem_ng)+AN7*AN47*sip_amount_ng</f>
        <v/>
      </c>
      <c r="AO49" s="32">
        <f>AN49*(1+sip_return_ng/12)*(1-sip_redeem_ng)+AO7*AO47*sip_amount_ng</f>
        <v/>
      </c>
      <c r="AP49" s="32">
        <f>AO49*(1+sip_return_ng/12)*(1-sip_redeem_ng)+AP7*AP47*sip_amount_ng</f>
        <v/>
      </c>
      <c r="AQ49" s="32">
        <f>AP49*(1+sip_return_ng/12)*(1-sip_redeem_ng)+AQ7*AQ47*sip_amount_ng</f>
        <v/>
      </c>
      <c r="AR49" s="32">
        <f>AQ49*(1+sip_return_ng/12)*(1-sip_redeem_ng)+AR7*AR47*sip_amount_ng</f>
        <v/>
      </c>
      <c r="AS49" s="32">
        <f>AR49*(1+sip_return_ng/12)*(1-sip_redeem_ng)+AS7*AS47*sip_amount_ng</f>
        <v/>
      </c>
      <c r="AT49" s="32">
        <f>AS49*(1+sip_return_ng/12)*(1-sip_redeem_ng)+AT7*AT47*sip_amount_ng</f>
        <v/>
      </c>
      <c r="AU49" s="32">
        <f>AT49*(1+sip_return_ng/12)*(1-sip_redeem_ng)+AU7*AU47*sip_amount_ng</f>
        <v/>
      </c>
      <c r="AV49" s="32">
        <f>AU49*(1+sip_return_ng/12)*(1-sip_redeem_ng)+AV7*AV47*sip_amount_ng</f>
        <v/>
      </c>
      <c r="AW49" s="32">
        <f>AV49*(1+sip_return_ng/12)*(1-sip_redeem_ng)+AW7*AW47*sip_amount_ng</f>
        <v/>
      </c>
      <c r="AX49" s="32">
        <f>AW49*(1+sip_return_ng/12)*(1-sip_redeem_ng)+AX7*AX47*sip_amount_ng</f>
        <v/>
      </c>
      <c r="AY49" s="32">
        <f>AX49*(1+sip_return_ng/12)*(1-sip_redeem_ng)+AY7*AY47*sip_amount_ng</f>
        <v/>
      </c>
      <c r="AZ49" s="32">
        <f>AY49*(1+sip_return_ng/12)*(1-sip_redeem_ng)+AZ7*AZ47*sip_amount_ng</f>
        <v/>
      </c>
      <c r="BA49" s="32">
        <f>AZ49*(1+sip_return_ng/12)*(1-sip_redeem_ng)+BA7*BA47*sip_amount_ng</f>
        <v/>
      </c>
      <c r="BB49" s="32">
        <f>BA49*(1+sip_return_ng/12)*(1-sip_redeem_ng)+BB7*BB47*sip_amount_ng</f>
        <v/>
      </c>
      <c r="BC49" s="32">
        <f>BB49*(1+sip_return_ng/12)*(1-sip_redeem_ng)+BC7*BC47*sip_amount_ng</f>
        <v/>
      </c>
      <c r="BD49" s="32">
        <f>BC49*(1+sip_return_ng/12)*(1-sip_redeem_ng)+BD7*BD47*sip_amount_ng</f>
        <v/>
      </c>
      <c r="BE49" s="32">
        <f>BD49*(1+sip_return_ng/12)*(1-sip_redeem_ng)+BE7*BE47*sip_amount_ng</f>
        <v/>
      </c>
      <c r="BF49" s="32">
        <f>BE49*(1+sip_return_ng/12)*(1-sip_redeem_ng)+BF7*BF47*sip_amount_ng</f>
        <v/>
      </c>
      <c r="BG49" s="32">
        <f>BF49*(1+sip_return_ng/12)*(1-sip_redeem_ng)+BG7*BG47*sip_amount_ng</f>
        <v/>
      </c>
      <c r="BH49" s="32">
        <f>BG49*(1+sip_return_ng/12)*(1-sip_redeem_ng)+BH7*BH47*sip_amount_ng</f>
        <v/>
      </c>
      <c r="BI49" s="32">
        <f>BH49*(1+sip_return_ng/12)*(1-sip_redeem_ng)+BI7*BI47*sip_amount_ng</f>
        <v/>
      </c>
      <c r="BJ49" s="32">
        <f>BI49*(1+sip_return_ng/12)*(1-sip_redeem_ng)+BJ7*BJ47*sip_amount_ng</f>
        <v/>
      </c>
      <c r="BK49" s="32">
        <f>BJ49*(1+sip_return_ng/12)*(1-sip_redeem_ng)+BK7*BK47*sip_amount_ng</f>
        <v/>
      </c>
    </row>
    <row r="50">
      <c r="A50" s="6" t="inlineStr">
        <is>
          <t>Insurance (annual policies from partner insurers)</t>
        </is>
      </c>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c r="AA50" s="7" t="n"/>
      <c r="AB50" s="7" t="n"/>
      <c r="AC50" s="7" t="n"/>
      <c r="AD50" s="7" t="n"/>
      <c r="AE50" s="7" t="n"/>
      <c r="AF50" s="7" t="n"/>
      <c r="AG50" s="7" t="n"/>
      <c r="AH50" s="7" t="n"/>
      <c r="AI50" s="7" t="n"/>
      <c r="AJ50" s="7" t="n"/>
      <c r="AK50" s="7" t="n"/>
      <c r="AL50" s="7" t="n"/>
      <c r="AM50" s="7" t="n"/>
      <c r="AN50" s="7" t="n"/>
      <c r="AO50" s="7" t="n"/>
      <c r="AP50" s="7" t="n"/>
      <c r="AQ50" s="7" t="n"/>
      <c r="AR50" s="7" t="n"/>
      <c r="AS50" s="7" t="n"/>
      <c r="AT50" s="7" t="n"/>
      <c r="AU50" s="7" t="n"/>
      <c r="AV50" s="7" t="n"/>
      <c r="AW50" s="7" t="n"/>
      <c r="AX50" s="7" t="n"/>
      <c r="AY50" s="7" t="n"/>
      <c r="AZ50" s="7" t="n"/>
      <c r="BA50" s="7" t="n"/>
      <c r="BB50" s="7" t="n"/>
      <c r="BC50" s="7" t="n"/>
      <c r="BD50" s="7" t="n"/>
      <c r="BE50" s="7" t="n"/>
      <c r="BF50" s="7" t="n"/>
      <c r="BG50" s="7" t="n"/>
      <c r="BH50" s="7" t="n"/>
      <c r="BI50" s="7" t="n"/>
      <c r="BJ50" s="7" t="n"/>
      <c r="BK50" s="7" t="n"/>
    </row>
    <row r="51">
      <c r="A51" s="25" t="inlineStr">
        <is>
          <t>Share of active savers ever insured</t>
        </is>
      </c>
      <c r="B51" s="28" t="inlineStr">
        <is>
          <t>share</t>
        </is>
      </c>
      <c r="C51" s="29" t="n">
        <v>0</v>
      </c>
      <c r="D51" s="31">
        <f>IF(D$4&gt;=ins_start_ng,C51+(ins_eligible_ng-C51)*ins_uptake_ng,0)</f>
        <v/>
      </c>
      <c r="E51" s="31">
        <f>IF(E$4&gt;=ins_start_ng,D51+(ins_eligible_ng-D51)*ins_uptake_ng,0)</f>
        <v/>
      </c>
      <c r="F51" s="31">
        <f>IF(F$4&gt;=ins_start_ng,E51+(ins_eligible_ng-E51)*ins_uptake_ng,0)</f>
        <v/>
      </c>
      <c r="G51" s="31">
        <f>IF(G$4&gt;=ins_start_ng,F51+(ins_eligible_ng-F51)*ins_uptake_ng,0)</f>
        <v/>
      </c>
      <c r="H51" s="31">
        <f>IF(H$4&gt;=ins_start_ng,G51+(ins_eligible_ng-G51)*ins_uptake_ng,0)</f>
        <v/>
      </c>
      <c r="I51" s="31">
        <f>IF(I$4&gt;=ins_start_ng,H51+(ins_eligible_ng-H51)*ins_uptake_ng,0)</f>
        <v/>
      </c>
      <c r="J51" s="31">
        <f>IF(J$4&gt;=ins_start_ng,I51+(ins_eligible_ng-I51)*ins_uptake_ng,0)</f>
        <v/>
      </c>
      <c r="K51" s="31">
        <f>IF(K$4&gt;=ins_start_ng,J51+(ins_eligible_ng-J51)*ins_uptake_ng,0)</f>
        <v/>
      </c>
      <c r="L51" s="31">
        <f>IF(L$4&gt;=ins_start_ng,K51+(ins_eligible_ng-K51)*ins_uptake_ng,0)</f>
        <v/>
      </c>
      <c r="M51" s="31">
        <f>IF(M$4&gt;=ins_start_ng,L51+(ins_eligible_ng-L51)*ins_uptake_ng,0)</f>
        <v/>
      </c>
      <c r="N51" s="31">
        <f>IF(N$4&gt;=ins_start_ng,M51+(ins_eligible_ng-M51)*ins_uptake_ng,0)</f>
        <v/>
      </c>
      <c r="O51" s="31">
        <f>IF(O$4&gt;=ins_start_ng,N51+(ins_eligible_ng-N51)*ins_uptake_ng,0)</f>
        <v/>
      </c>
      <c r="P51" s="31">
        <f>IF(P$4&gt;=ins_start_ng,O51+(ins_eligible_ng-O51)*ins_uptake_ng,0)</f>
        <v/>
      </c>
      <c r="Q51" s="31">
        <f>IF(Q$4&gt;=ins_start_ng,P51+(ins_eligible_ng-P51)*ins_uptake_ng,0)</f>
        <v/>
      </c>
      <c r="R51" s="31">
        <f>IF(R$4&gt;=ins_start_ng,Q51+(ins_eligible_ng-Q51)*ins_uptake_ng,0)</f>
        <v/>
      </c>
      <c r="S51" s="31">
        <f>IF(S$4&gt;=ins_start_ng,R51+(ins_eligible_ng-R51)*ins_uptake_ng,0)</f>
        <v/>
      </c>
      <c r="T51" s="31">
        <f>IF(T$4&gt;=ins_start_ng,S51+(ins_eligible_ng-S51)*ins_uptake_ng,0)</f>
        <v/>
      </c>
      <c r="U51" s="31">
        <f>IF(U$4&gt;=ins_start_ng,T51+(ins_eligible_ng-T51)*ins_uptake_ng,0)</f>
        <v/>
      </c>
      <c r="V51" s="31">
        <f>IF(V$4&gt;=ins_start_ng,U51+(ins_eligible_ng-U51)*ins_uptake_ng,0)</f>
        <v/>
      </c>
      <c r="W51" s="31">
        <f>IF(W$4&gt;=ins_start_ng,V51+(ins_eligible_ng-V51)*ins_uptake_ng,0)</f>
        <v/>
      </c>
      <c r="X51" s="31">
        <f>IF(X$4&gt;=ins_start_ng,W51+(ins_eligible_ng-W51)*ins_uptake_ng,0)</f>
        <v/>
      </c>
      <c r="Y51" s="31">
        <f>IF(Y$4&gt;=ins_start_ng,X51+(ins_eligible_ng-X51)*ins_uptake_ng,0)</f>
        <v/>
      </c>
      <c r="Z51" s="31">
        <f>IF(Z$4&gt;=ins_start_ng,Y51+(ins_eligible_ng-Y51)*ins_uptake_ng,0)</f>
        <v/>
      </c>
      <c r="AA51" s="31">
        <f>IF(AA$4&gt;=ins_start_ng,Z51+(ins_eligible_ng-Z51)*ins_uptake_ng,0)</f>
        <v/>
      </c>
      <c r="AB51" s="31">
        <f>IF(AB$4&gt;=ins_start_ng,AA51+(ins_eligible_ng-AA51)*ins_uptake_ng,0)</f>
        <v/>
      </c>
      <c r="AC51" s="31">
        <f>IF(AC$4&gt;=ins_start_ng,AB51+(ins_eligible_ng-AB51)*ins_uptake_ng,0)</f>
        <v/>
      </c>
      <c r="AD51" s="31">
        <f>IF(AD$4&gt;=ins_start_ng,AC51+(ins_eligible_ng-AC51)*ins_uptake_ng,0)</f>
        <v/>
      </c>
      <c r="AE51" s="31">
        <f>IF(AE$4&gt;=ins_start_ng,AD51+(ins_eligible_ng-AD51)*ins_uptake_ng,0)</f>
        <v/>
      </c>
      <c r="AF51" s="31">
        <f>IF(AF$4&gt;=ins_start_ng,AE51+(ins_eligible_ng-AE51)*ins_uptake_ng,0)</f>
        <v/>
      </c>
      <c r="AG51" s="31">
        <f>IF(AG$4&gt;=ins_start_ng,AF51+(ins_eligible_ng-AF51)*ins_uptake_ng,0)</f>
        <v/>
      </c>
      <c r="AH51" s="31">
        <f>IF(AH$4&gt;=ins_start_ng,AG51+(ins_eligible_ng-AG51)*ins_uptake_ng,0)</f>
        <v/>
      </c>
      <c r="AI51" s="31">
        <f>IF(AI$4&gt;=ins_start_ng,AH51+(ins_eligible_ng-AH51)*ins_uptake_ng,0)</f>
        <v/>
      </c>
      <c r="AJ51" s="31">
        <f>IF(AJ$4&gt;=ins_start_ng,AI51+(ins_eligible_ng-AI51)*ins_uptake_ng,0)</f>
        <v/>
      </c>
      <c r="AK51" s="31">
        <f>IF(AK$4&gt;=ins_start_ng,AJ51+(ins_eligible_ng-AJ51)*ins_uptake_ng,0)</f>
        <v/>
      </c>
      <c r="AL51" s="31">
        <f>IF(AL$4&gt;=ins_start_ng,AK51+(ins_eligible_ng-AK51)*ins_uptake_ng,0)</f>
        <v/>
      </c>
      <c r="AM51" s="31">
        <f>IF(AM$4&gt;=ins_start_ng,AL51+(ins_eligible_ng-AL51)*ins_uptake_ng,0)</f>
        <v/>
      </c>
      <c r="AN51" s="31">
        <f>IF(AN$4&gt;=ins_start_ng,AM51+(ins_eligible_ng-AM51)*ins_uptake_ng,0)</f>
        <v/>
      </c>
      <c r="AO51" s="31">
        <f>IF(AO$4&gt;=ins_start_ng,AN51+(ins_eligible_ng-AN51)*ins_uptake_ng,0)</f>
        <v/>
      </c>
      <c r="AP51" s="31">
        <f>IF(AP$4&gt;=ins_start_ng,AO51+(ins_eligible_ng-AO51)*ins_uptake_ng,0)</f>
        <v/>
      </c>
      <c r="AQ51" s="31">
        <f>IF(AQ$4&gt;=ins_start_ng,AP51+(ins_eligible_ng-AP51)*ins_uptake_ng,0)</f>
        <v/>
      </c>
      <c r="AR51" s="31">
        <f>IF(AR$4&gt;=ins_start_ng,AQ51+(ins_eligible_ng-AQ51)*ins_uptake_ng,0)</f>
        <v/>
      </c>
      <c r="AS51" s="31">
        <f>IF(AS$4&gt;=ins_start_ng,AR51+(ins_eligible_ng-AR51)*ins_uptake_ng,0)</f>
        <v/>
      </c>
      <c r="AT51" s="31">
        <f>IF(AT$4&gt;=ins_start_ng,AS51+(ins_eligible_ng-AS51)*ins_uptake_ng,0)</f>
        <v/>
      </c>
      <c r="AU51" s="31">
        <f>IF(AU$4&gt;=ins_start_ng,AT51+(ins_eligible_ng-AT51)*ins_uptake_ng,0)</f>
        <v/>
      </c>
      <c r="AV51" s="31">
        <f>IF(AV$4&gt;=ins_start_ng,AU51+(ins_eligible_ng-AU51)*ins_uptake_ng,0)</f>
        <v/>
      </c>
      <c r="AW51" s="31">
        <f>IF(AW$4&gt;=ins_start_ng,AV51+(ins_eligible_ng-AV51)*ins_uptake_ng,0)</f>
        <v/>
      </c>
      <c r="AX51" s="31">
        <f>IF(AX$4&gt;=ins_start_ng,AW51+(ins_eligible_ng-AW51)*ins_uptake_ng,0)</f>
        <v/>
      </c>
      <c r="AY51" s="31">
        <f>IF(AY$4&gt;=ins_start_ng,AX51+(ins_eligible_ng-AX51)*ins_uptake_ng,0)</f>
        <v/>
      </c>
      <c r="AZ51" s="31">
        <f>IF(AZ$4&gt;=ins_start_ng,AY51+(ins_eligible_ng-AY51)*ins_uptake_ng,0)</f>
        <v/>
      </c>
      <c r="BA51" s="31">
        <f>IF(BA$4&gt;=ins_start_ng,AZ51+(ins_eligible_ng-AZ51)*ins_uptake_ng,0)</f>
        <v/>
      </c>
      <c r="BB51" s="31">
        <f>IF(BB$4&gt;=ins_start_ng,BA51+(ins_eligible_ng-BA51)*ins_uptake_ng,0)</f>
        <v/>
      </c>
      <c r="BC51" s="31">
        <f>IF(BC$4&gt;=ins_start_ng,BB51+(ins_eligible_ng-BB51)*ins_uptake_ng,0)</f>
        <v/>
      </c>
      <c r="BD51" s="31">
        <f>IF(BD$4&gt;=ins_start_ng,BC51+(ins_eligible_ng-BC51)*ins_uptake_ng,0)</f>
        <v/>
      </c>
      <c r="BE51" s="31">
        <f>IF(BE$4&gt;=ins_start_ng,BD51+(ins_eligible_ng-BD51)*ins_uptake_ng,0)</f>
        <v/>
      </c>
      <c r="BF51" s="31">
        <f>IF(BF$4&gt;=ins_start_ng,BE51+(ins_eligible_ng-BE51)*ins_uptake_ng,0)</f>
        <v/>
      </c>
      <c r="BG51" s="31">
        <f>IF(BG$4&gt;=ins_start_ng,BF51+(ins_eligible_ng-BF51)*ins_uptake_ng,0)</f>
        <v/>
      </c>
      <c r="BH51" s="31">
        <f>IF(BH$4&gt;=ins_start_ng,BG51+(ins_eligible_ng-BG51)*ins_uptake_ng,0)</f>
        <v/>
      </c>
      <c r="BI51" s="31">
        <f>IF(BI$4&gt;=ins_start_ng,BH51+(ins_eligible_ng-BH51)*ins_uptake_ng,0)</f>
        <v/>
      </c>
      <c r="BJ51" s="31">
        <f>IF(BJ$4&gt;=ins_start_ng,BI51+(ins_eligible_ng-BI51)*ins_uptake_ng,0)</f>
        <v/>
      </c>
      <c r="BK51" s="31">
        <f>IF(BK$4&gt;=ins_start_ng,BJ51+(ins_eligible_ng-BJ51)*ins_uptake_ng,0)</f>
        <v/>
      </c>
    </row>
    <row r="52">
      <c r="A52" s="25" t="inlineStr">
        <is>
          <t>New policies</t>
        </is>
      </c>
      <c r="B52" s="28" t="inlineStr">
        <is>
          <t>policies</t>
        </is>
      </c>
      <c r="C52" s="42" t="n">
        <v>0</v>
      </c>
      <c r="D52" s="43">
        <f>IF(D$4&gt;=ins_start_ng,D7*(ins_eligible_ng-C51)*ins_uptake_ng,0)</f>
        <v/>
      </c>
      <c r="E52" s="43">
        <f>IF(E$4&gt;=ins_start_ng,E7*(ins_eligible_ng-D51)*ins_uptake_ng,0)</f>
        <v/>
      </c>
      <c r="F52" s="43">
        <f>IF(F$4&gt;=ins_start_ng,F7*(ins_eligible_ng-E51)*ins_uptake_ng,0)</f>
        <v/>
      </c>
      <c r="G52" s="43">
        <f>IF(G$4&gt;=ins_start_ng,G7*(ins_eligible_ng-F51)*ins_uptake_ng,0)</f>
        <v/>
      </c>
      <c r="H52" s="43">
        <f>IF(H$4&gt;=ins_start_ng,H7*(ins_eligible_ng-G51)*ins_uptake_ng,0)</f>
        <v/>
      </c>
      <c r="I52" s="43">
        <f>IF(I$4&gt;=ins_start_ng,I7*(ins_eligible_ng-H51)*ins_uptake_ng,0)</f>
        <v/>
      </c>
      <c r="J52" s="43">
        <f>IF(J$4&gt;=ins_start_ng,J7*(ins_eligible_ng-I51)*ins_uptake_ng,0)</f>
        <v/>
      </c>
      <c r="K52" s="43">
        <f>IF(K$4&gt;=ins_start_ng,K7*(ins_eligible_ng-J51)*ins_uptake_ng,0)</f>
        <v/>
      </c>
      <c r="L52" s="43">
        <f>IF(L$4&gt;=ins_start_ng,L7*(ins_eligible_ng-K51)*ins_uptake_ng,0)</f>
        <v/>
      </c>
      <c r="M52" s="43">
        <f>IF(M$4&gt;=ins_start_ng,M7*(ins_eligible_ng-L51)*ins_uptake_ng,0)</f>
        <v/>
      </c>
      <c r="N52" s="43">
        <f>IF(N$4&gt;=ins_start_ng,N7*(ins_eligible_ng-M51)*ins_uptake_ng,0)</f>
        <v/>
      </c>
      <c r="O52" s="43">
        <f>IF(O$4&gt;=ins_start_ng,O7*(ins_eligible_ng-N51)*ins_uptake_ng,0)</f>
        <v/>
      </c>
      <c r="P52" s="43">
        <f>IF(P$4&gt;=ins_start_ng,P7*(ins_eligible_ng-O51)*ins_uptake_ng,0)</f>
        <v/>
      </c>
      <c r="Q52" s="43">
        <f>IF(Q$4&gt;=ins_start_ng,Q7*(ins_eligible_ng-P51)*ins_uptake_ng,0)</f>
        <v/>
      </c>
      <c r="R52" s="43">
        <f>IF(R$4&gt;=ins_start_ng,R7*(ins_eligible_ng-Q51)*ins_uptake_ng,0)</f>
        <v/>
      </c>
      <c r="S52" s="43">
        <f>IF(S$4&gt;=ins_start_ng,S7*(ins_eligible_ng-R51)*ins_uptake_ng,0)</f>
        <v/>
      </c>
      <c r="T52" s="43">
        <f>IF(T$4&gt;=ins_start_ng,T7*(ins_eligible_ng-S51)*ins_uptake_ng,0)</f>
        <v/>
      </c>
      <c r="U52" s="43">
        <f>IF(U$4&gt;=ins_start_ng,U7*(ins_eligible_ng-T51)*ins_uptake_ng,0)</f>
        <v/>
      </c>
      <c r="V52" s="43">
        <f>IF(V$4&gt;=ins_start_ng,V7*(ins_eligible_ng-U51)*ins_uptake_ng,0)</f>
        <v/>
      </c>
      <c r="W52" s="43">
        <f>IF(W$4&gt;=ins_start_ng,W7*(ins_eligible_ng-V51)*ins_uptake_ng,0)</f>
        <v/>
      </c>
      <c r="X52" s="43">
        <f>IF(X$4&gt;=ins_start_ng,X7*(ins_eligible_ng-W51)*ins_uptake_ng,0)</f>
        <v/>
      </c>
      <c r="Y52" s="43">
        <f>IF(Y$4&gt;=ins_start_ng,Y7*(ins_eligible_ng-X51)*ins_uptake_ng,0)</f>
        <v/>
      </c>
      <c r="Z52" s="43">
        <f>IF(Z$4&gt;=ins_start_ng,Z7*(ins_eligible_ng-Y51)*ins_uptake_ng,0)</f>
        <v/>
      </c>
      <c r="AA52" s="43">
        <f>IF(AA$4&gt;=ins_start_ng,AA7*(ins_eligible_ng-Z51)*ins_uptake_ng,0)</f>
        <v/>
      </c>
      <c r="AB52" s="43">
        <f>IF(AB$4&gt;=ins_start_ng,AB7*(ins_eligible_ng-AA51)*ins_uptake_ng,0)</f>
        <v/>
      </c>
      <c r="AC52" s="43">
        <f>IF(AC$4&gt;=ins_start_ng,AC7*(ins_eligible_ng-AB51)*ins_uptake_ng,0)</f>
        <v/>
      </c>
      <c r="AD52" s="43">
        <f>IF(AD$4&gt;=ins_start_ng,AD7*(ins_eligible_ng-AC51)*ins_uptake_ng,0)</f>
        <v/>
      </c>
      <c r="AE52" s="43">
        <f>IF(AE$4&gt;=ins_start_ng,AE7*(ins_eligible_ng-AD51)*ins_uptake_ng,0)</f>
        <v/>
      </c>
      <c r="AF52" s="43">
        <f>IF(AF$4&gt;=ins_start_ng,AF7*(ins_eligible_ng-AE51)*ins_uptake_ng,0)</f>
        <v/>
      </c>
      <c r="AG52" s="43">
        <f>IF(AG$4&gt;=ins_start_ng,AG7*(ins_eligible_ng-AF51)*ins_uptake_ng,0)</f>
        <v/>
      </c>
      <c r="AH52" s="43">
        <f>IF(AH$4&gt;=ins_start_ng,AH7*(ins_eligible_ng-AG51)*ins_uptake_ng,0)</f>
        <v/>
      </c>
      <c r="AI52" s="43">
        <f>IF(AI$4&gt;=ins_start_ng,AI7*(ins_eligible_ng-AH51)*ins_uptake_ng,0)</f>
        <v/>
      </c>
      <c r="AJ52" s="43">
        <f>IF(AJ$4&gt;=ins_start_ng,AJ7*(ins_eligible_ng-AI51)*ins_uptake_ng,0)</f>
        <v/>
      </c>
      <c r="AK52" s="43">
        <f>IF(AK$4&gt;=ins_start_ng,AK7*(ins_eligible_ng-AJ51)*ins_uptake_ng,0)</f>
        <v/>
      </c>
      <c r="AL52" s="43">
        <f>IF(AL$4&gt;=ins_start_ng,AL7*(ins_eligible_ng-AK51)*ins_uptake_ng,0)</f>
        <v/>
      </c>
      <c r="AM52" s="43">
        <f>IF(AM$4&gt;=ins_start_ng,AM7*(ins_eligible_ng-AL51)*ins_uptake_ng,0)</f>
        <v/>
      </c>
      <c r="AN52" s="43">
        <f>IF(AN$4&gt;=ins_start_ng,AN7*(ins_eligible_ng-AM51)*ins_uptake_ng,0)</f>
        <v/>
      </c>
      <c r="AO52" s="43">
        <f>IF(AO$4&gt;=ins_start_ng,AO7*(ins_eligible_ng-AN51)*ins_uptake_ng,0)</f>
        <v/>
      </c>
      <c r="AP52" s="43">
        <f>IF(AP$4&gt;=ins_start_ng,AP7*(ins_eligible_ng-AO51)*ins_uptake_ng,0)</f>
        <v/>
      </c>
      <c r="AQ52" s="43">
        <f>IF(AQ$4&gt;=ins_start_ng,AQ7*(ins_eligible_ng-AP51)*ins_uptake_ng,0)</f>
        <v/>
      </c>
      <c r="AR52" s="43">
        <f>IF(AR$4&gt;=ins_start_ng,AR7*(ins_eligible_ng-AQ51)*ins_uptake_ng,0)</f>
        <v/>
      </c>
      <c r="AS52" s="43">
        <f>IF(AS$4&gt;=ins_start_ng,AS7*(ins_eligible_ng-AR51)*ins_uptake_ng,0)</f>
        <v/>
      </c>
      <c r="AT52" s="43">
        <f>IF(AT$4&gt;=ins_start_ng,AT7*(ins_eligible_ng-AS51)*ins_uptake_ng,0)</f>
        <v/>
      </c>
      <c r="AU52" s="43">
        <f>IF(AU$4&gt;=ins_start_ng,AU7*(ins_eligible_ng-AT51)*ins_uptake_ng,0)</f>
        <v/>
      </c>
      <c r="AV52" s="43">
        <f>IF(AV$4&gt;=ins_start_ng,AV7*(ins_eligible_ng-AU51)*ins_uptake_ng,0)</f>
        <v/>
      </c>
      <c r="AW52" s="43">
        <f>IF(AW$4&gt;=ins_start_ng,AW7*(ins_eligible_ng-AV51)*ins_uptake_ng,0)</f>
        <v/>
      </c>
      <c r="AX52" s="43">
        <f>IF(AX$4&gt;=ins_start_ng,AX7*(ins_eligible_ng-AW51)*ins_uptake_ng,0)</f>
        <v/>
      </c>
      <c r="AY52" s="43">
        <f>IF(AY$4&gt;=ins_start_ng,AY7*(ins_eligible_ng-AX51)*ins_uptake_ng,0)</f>
        <v/>
      </c>
      <c r="AZ52" s="43">
        <f>IF(AZ$4&gt;=ins_start_ng,AZ7*(ins_eligible_ng-AY51)*ins_uptake_ng,0)</f>
        <v/>
      </c>
      <c r="BA52" s="43">
        <f>IF(BA$4&gt;=ins_start_ng,BA7*(ins_eligible_ng-AZ51)*ins_uptake_ng,0)</f>
        <v/>
      </c>
      <c r="BB52" s="43">
        <f>IF(BB$4&gt;=ins_start_ng,BB7*(ins_eligible_ng-BA51)*ins_uptake_ng,0)</f>
        <v/>
      </c>
      <c r="BC52" s="43">
        <f>IF(BC$4&gt;=ins_start_ng,BC7*(ins_eligible_ng-BB51)*ins_uptake_ng,0)</f>
        <v/>
      </c>
      <c r="BD52" s="43">
        <f>IF(BD$4&gt;=ins_start_ng,BD7*(ins_eligible_ng-BC51)*ins_uptake_ng,0)</f>
        <v/>
      </c>
      <c r="BE52" s="43">
        <f>IF(BE$4&gt;=ins_start_ng,BE7*(ins_eligible_ng-BD51)*ins_uptake_ng,0)</f>
        <v/>
      </c>
      <c r="BF52" s="43">
        <f>IF(BF$4&gt;=ins_start_ng,BF7*(ins_eligible_ng-BE51)*ins_uptake_ng,0)</f>
        <v/>
      </c>
      <c r="BG52" s="43">
        <f>IF(BG$4&gt;=ins_start_ng,BG7*(ins_eligible_ng-BF51)*ins_uptake_ng,0)</f>
        <v/>
      </c>
      <c r="BH52" s="43">
        <f>IF(BH$4&gt;=ins_start_ng,BH7*(ins_eligible_ng-BG51)*ins_uptake_ng,0)</f>
        <v/>
      </c>
      <c r="BI52" s="43">
        <f>IF(BI$4&gt;=ins_start_ng,BI7*(ins_eligible_ng-BH51)*ins_uptake_ng,0)</f>
        <v/>
      </c>
      <c r="BJ52" s="43">
        <f>IF(BJ$4&gt;=ins_start_ng,BJ7*(ins_eligible_ng-BI51)*ins_uptake_ng,0)</f>
        <v/>
      </c>
      <c r="BK52" s="43">
        <f>IF(BK$4&gt;=ins_start_ng,BK7*(ins_eligible_ng-BJ51)*ins_uptake_ng,0)</f>
        <v/>
      </c>
    </row>
    <row r="53">
      <c r="A53" s="25" t="inlineStr">
        <is>
          <t>Renewed policies</t>
        </is>
      </c>
      <c r="B53" s="28" t="inlineStr">
        <is>
          <t>policies</t>
        </is>
      </c>
      <c r="C53" s="42" t="n">
        <v>0</v>
      </c>
      <c r="D53" s="43">
        <f>IF(D$4&gt;12,(INDEX($C$52:C$52,1,D$4-12+1)+INDEX($C$53:C$53,1,D$4-12+1))*ins_persist_ng,0)</f>
        <v/>
      </c>
      <c r="E53" s="43">
        <f>IF(E$4&gt;12,(INDEX($C$52:D$52,1,E$4-12+1)+INDEX($C$53:D$53,1,E$4-12+1))*ins_persist_ng,0)</f>
        <v/>
      </c>
      <c r="F53" s="43">
        <f>IF(F$4&gt;12,(INDEX($C$52:E$52,1,F$4-12+1)+INDEX($C$53:E$53,1,F$4-12+1))*ins_persist_ng,0)</f>
        <v/>
      </c>
      <c r="G53" s="43">
        <f>IF(G$4&gt;12,(INDEX($C$52:F$52,1,G$4-12+1)+INDEX($C$53:F$53,1,G$4-12+1))*ins_persist_ng,0)</f>
        <v/>
      </c>
      <c r="H53" s="43">
        <f>IF(H$4&gt;12,(INDEX($C$52:G$52,1,H$4-12+1)+INDEX($C$53:G$53,1,H$4-12+1))*ins_persist_ng,0)</f>
        <v/>
      </c>
      <c r="I53" s="43">
        <f>IF(I$4&gt;12,(INDEX($C$52:H$52,1,I$4-12+1)+INDEX($C$53:H$53,1,I$4-12+1))*ins_persist_ng,0)</f>
        <v/>
      </c>
      <c r="J53" s="43">
        <f>IF(J$4&gt;12,(INDEX($C$52:I$52,1,J$4-12+1)+INDEX($C$53:I$53,1,J$4-12+1))*ins_persist_ng,0)</f>
        <v/>
      </c>
      <c r="K53" s="43">
        <f>IF(K$4&gt;12,(INDEX($C$52:J$52,1,K$4-12+1)+INDEX($C$53:J$53,1,K$4-12+1))*ins_persist_ng,0)</f>
        <v/>
      </c>
      <c r="L53" s="43">
        <f>IF(L$4&gt;12,(INDEX($C$52:K$52,1,L$4-12+1)+INDEX($C$53:K$53,1,L$4-12+1))*ins_persist_ng,0)</f>
        <v/>
      </c>
      <c r="M53" s="43">
        <f>IF(M$4&gt;12,(INDEX($C$52:L$52,1,M$4-12+1)+INDEX($C$53:L$53,1,M$4-12+1))*ins_persist_ng,0)</f>
        <v/>
      </c>
      <c r="N53" s="43">
        <f>IF(N$4&gt;12,(INDEX($C$52:M$52,1,N$4-12+1)+INDEX($C$53:M$53,1,N$4-12+1))*ins_persist_ng,0)</f>
        <v/>
      </c>
      <c r="O53" s="43">
        <f>IF(O$4&gt;12,(INDEX($C$52:N$52,1,O$4-12+1)+INDEX($C$53:N$53,1,O$4-12+1))*ins_persist_ng,0)</f>
        <v/>
      </c>
      <c r="P53" s="43">
        <f>IF(P$4&gt;12,(INDEX($C$52:O$52,1,P$4-12+1)+INDEX($C$53:O$53,1,P$4-12+1))*ins_persist_ng,0)</f>
        <v/>
      </c>
      <c r="Q53" s="43">
        <f>IF(Q$4&gt;12,(INDEX($C$52:P$52,1,Q$4-12+1)+INDEX($C$53:P$53,1,Q$4-12+1))*ins_persist_ng,0)</f>
        <v/>
      </c>
      <c r="R53" s="43">
        <f>IF(R$4&gt;12,(INDEX($C$52:Q$52,1,R$4-12+1)+INDEX($C$53:Q$53,1,R$4-12+1))*ins_persist_ng,0)</f>
        <v/>
      </c>
      <c r="S53" s="43">
        <f>IF(S$4&gt;12,(INDEX($C$52:R$52,1,S$4-12+1)+INDEX($C$53:R$53,1,S$4-12+1))*ins_persist_ng,0)</f>
        <v/>
      </c>
      <c r="T53" s="43">
        <f>IF(T$4&gt;12,(INDEX($C$52:S$52,1,T$4-12+1)+INDEX($C$53:S$53,1,T$4-12+1))*ins_persist_ng,0)</f>
        <v/>
      </c>
      <c r="U53" s="43">
        <f>IF(U$4&gt;12,(INDEX($C$52:T$52,1,U$4-12+1)+INDEX($C$53:T$53,1,U$4-12+1))*ins_persist_ng,0)</f>
        <v/>
      </c>
      <c r="V53" s="43">
        <f>IF(V$4&gt;12,(INDEX($C$52:U$52,1,V$4-12+1)+INDEX($C$53:U$53,1,V$4-12+1))*ins_persist_ng,0)</f>
        <v/>
      </c>
      <c r="W53" s="43">
        <f>IF(W$4&gt;12,(INDEX($C$52:V$52,1,W$4-12+1)+INDEX($C$53:V$53,1,W$4-12+1))*ins_persist_ng,0)</f>
        <v/>
      </c>
      <c r="X53" s="43">
        <f>IF(X$4&gt;12,(INDEX($C$52:W$52,1,X$4-12+1)+INDEX($C$53:W$53,1,X$4-12+1))*ins_persist_ng,0)</f>
        <v/>
      </c>
      <c r="Y53" s="43">
        <f>IF(Y$4&gt;12,(INDEX($C$52:X$52,1,Y$4-12+1)+INDEX($C$53:X$53,1,Y$4-12+1))*ins_persist_ng,0)</f>
        <v/>
      </c>
      <c r="Z53" s="43">
        <f>IF(Z$4&gt;12,(INDEX($C$52:Y$52,1,Z$4-12+1)+INDEX($C$53:Y$53,1,Z$4-12+1))*ins_persist_ng,0)</f>
        <v/>
      </c>
      <c r="AA53" s="43">
        <f>IF(AA$4&gt;12,(INDEX($C$52:Z$52,1,AA$4-12+1)+INDEX($C$53:Z$53,1,AA$4-12+1))*ins_persist_ng,0)</f>
        <v/>
      </c>
      <c r="AB53" s="43">
        <f>IF(AB$4&gt;12,(INDEX($C$52:AA$52,1,AB$4-12+1)+INDEX($C$53:AA$53,1,AB$4-12+1))*ins_persist_ng,0)</f>
        <v/>
      </c>
      <c r="AC53" s="43">
        <f>IF(AC$4&gt;12,(INDEX($C$52:AB$52,1,AC$4-12+1)+INDEX($C$53:AB$53,1,AC$4-12+1))*ins_persist_ng,0)</f>
        <v/>
      </c>
      <c r="AD53" s="43">
        <f>IF(AD$4&gt;12,(INDEX($C$52:AC$52,1,AD$4-12+1)+INDEX($C$53:AC$53,1,AD$4-12+1))*ins_persist_ng,0)</f>
        <v/>
      </c>
      <c r="AE53" s="43">
        <f>IF(AE$4&gt;12,(INDEX($C$52:AD$52,1,AE$4-12+1)+INDEX($C$53:AD$53,1,AE$4-12+1))*ins_persist_ng,0)</f>
        <v/>
      </c>
      <c r="AF53" s="43">
        <f>IF(AF$4&gt;12,(INDEX($C$52:AE$52,1,AF$4-12+1)+INDEX($C$53:AE$53,1,AF$4-12+1))*ins_persist_ng,0)</f>
        <v/>
      </c>
      <c r="AG53" s="43">
        <f>IF(AG$4&gt;12,(INDEX($C$52:AF$52,1,AG$4-12+1)+INDEX($C$53:AF$53,1,AG$4-12+1))*ins_persist_ng,0)</f>
        <v/>
      </c>
      <c r="AH53" s="43">
        <f>IF(AH$4&gt;12,(INDEX($C$52:AG$52,1,AH$4-12+1)+INDEX($C$53:AG$53,1,AH$4-12+1))*ins_persist_ng,0)</f>
        <v/>
      </c>
      <c r="AI53" s="43">
        <f>IF(AI$4&gt;12,(INDEX($C$52:AH$52,1,AI$4-12+1)+INDEX($C$53:AH$53,1,AI$4-12+1))*ins_persist_ng,0)</f>
        <v/>
      </c>
      <c r="AJ53" s="43">
        <f>IF(AJ$4&gt;12,(INDEX($C$52:AI$52,1,AJ$4-12+1)+INDEX($C$53:AI$53,1,AJ$4-12+1))*ins_persist_ng,0)</f>
        <v/>
      </c>
      <c r="AK53" s="43">
        <f>IF(AK$4&gt;12,(INDEX($C$52:AJ$52,1,AK$4-12+1)+INDEX($C$53:AJ$53,1,AK$4-12+1))*ins_persist_ng,0)</f>
        <v/>
      </c>
      <c r="AL53" s="43">
        <f>IF(AL$4&gt;12,(INDEX($C$52:AK$52,1,AL$4-12+1)+INDEX($C$53:AK$53,1,AL$4-12+1))*ins_persist_ng,0)</f>
        <v/>
      </c>
      <c r="AM53" s="43">
        <f>IF(AM$4&gt;12,(INDEX($C$52:AL$52,1,AM$4-12+1)+INDEX($C$53:AL$53,1,AM$4-12+1))*ins_persist_ng,0)</f>
        <v/>
      </c>
      <c r="AN53" s="43">
        <f>IF(AN$4&gt;12,(INDEX($C$52:AM$52,1,AN$4-12+1)+INDEX($C$53:AM$53,1,AN$4-12+1))*ins_persist_ng,0)</f>
        <v/>
      </c>
      <c r="AO53" s="43">
        <f>IF(AO$4&gt;12,(INDEX($C$52:AN$52,1,AO$4-12+1)+INDEX($C$53:AN$53,1,AO$4-12+1))*ins_persist_ng,0)</f>
        <v/>
      </c>
      <c r="AP53" s="43">
        <f>IF(AP$4&gt;12,(INDEX($C$52:AO$52,1,AP$4-12+1)+INDEX($C$53:AO$53,1,AP$4-12+1))*ins_persist_ng,0)</f>
        <v/>
      </c>
      <c r="AQ53" s="43">
        <f>IF(AQ$4&gt;12,(INDEX($C$52:AP$52,1,AQ$4-12+1)+INDEX($C$53:AP$53,1,AQ$4-12+1))*ins_persist_ng,0)</f>
        <v/>
      </c>
      <c r="AR53" s="43">
        <f>IF(AR$4&gt;12,(INDEX($C$52:AQ$52,1,AR$4-12+1)+INDEX($C$53:AQ$53,1,AR$4-12+1))*ins_persist_ng,0)</f>
        <v/>
      </c>
      <c r="AS53" s="43">
        <f>IF(AS$4&gt;12,(INDEX($C$52:AR$52,1,AS$4-12+1)+INDEX($C$53:AR$53,1,AS$4-12+1))*ins_persist_ng,0)</f>
        <v/>
      </c>
      <c r="AT53" s="43">
        <f>IF(AT$4&gt;12,(INDEX($C$52:AS$52,1,AT$4-12+1)+INDEX($C$53:AS$53,1,AT$4-12+1))*ins_persist_ng,0)</f>
        <v/>
      </c>
      <c r="AU53" s="43">
        <f>IF(AU$4&gt;12,(INDEX($C$52:AT$52,1,AU$4-12+1)+INDEX($C$53:AT$53,1,AU$4-12+1))*ins_persist_ng,0)</f>
        <v/>
      </c>
      <c r="AV53" s="43">
        <f>IF(AV$4&gt;12,(INDEX($C$52:AU$52,1,AV$4-12+1)+INDEX($C$53:AU$53,1,AV$4-12+1))*ins_persist_ng,0)</f>
        <v/>
      </c>
      <c r="AW53" s="43">
        <f>IF(AW$4&gt;12,(INDEX($C$52:AV$52,1,AW$4-12+1)+INDEX($C$53:AV$53,1,AW$4-12+1))*ins_persist_ng,0)</f>
        <v/>
      </c>
      <c r="AX53" s="43">
        <f>IF(AX$4&gt;12,(INDEX($C$52:AW$52,1,AX$4-12+1)+INDEX($C$53:AW$53,1,AX$4-12+1))*ins_persist_ng,0)</f>
        <v/>
      </c>
      <c r="AY53" s="43">
        <f>IF(AY$4&gt;12,(INDEX($C$52:AX$52,1,AY$4-12+1)+INDEX($C$53:AX$53,1,AY$4-12+1))*ins_persist_ng,0)</f>
        <v/>
      </c>
      <c r="AZ53" s="43">
        <f>IF(AZ$4&gt;12,(INDEX($C$52:AY$52,1,AZ$4-12+1)+INDEX($C$53:AY$53,1,AZ$4-12+1))*ins_persist_ng,0)</f>
        <v/>
      </c>
      <c r="BA53" s="43">
        <f>IF(BA$4&gt;12,(INDEX($C$52:AZ$52,1,BA$4-12+1)+INDEX($C$53:AZ$53,1,BA$4-12+1))*ins_persist_ng,0)</f>
        <v/>
      </c>
      <c r="BB53" s="43">
        <f>IF(BB$4&gt;12,(INDEX($C$52:BA$52,1,BB$4-12+1)+INDEX($C$53:BA$53,1,BB$4-12+1))*ins_persist_ng,0)</f>
        <v/>
      </c>
      <c r="BC53" s="43">
        <f>IF(BC$4&gt;12,(INDEX($C$52:BB$52,1,BC$4-12+1)+INDEX($C$53:BB$53,1,BC$4-12+1))*ins_persist_ng,0)</f>
        <v/>
      </c>
      <c r="BD53" s="43">
        <f>IF(BD$4&gt;12,(INDEX($C$52:BC$52,1,BD$4-12+1)+INDEX($C$53:BC$53,1,BD$4-12+1))*ins_persist_ng,0)</f>
        <v/>
      </c>
      <c r="BE53" s="43">
        <f>IF(BE$4&gt;12,(INDEX($C$52:BD$52,1,BE$4-12+1)+INDEX($C$53:BD$53,1,BE$4-12+1))*ins_persist_ng,0)</f>
        <v/>
      </c>
      <c r="BF53" s="43">
        <f>IF(BF$4&gt;12,(INDEX($C$52:BE$52,1,BF$4-12+1)+INDEX($C$53:BE$53,1,BF$4-12+1))*ins_persist_ng,0)</f>
        <v/>
      </c>
      <c r="BG53" s="43">
        <f>IF(BG$4&gt;12,(INDEX($C$52:BF$52,1,BG$4-12+1)+INDEX($C$53:BF$53,1,BG$4-12+1))*ins_persist_ng,0)</f>
        <v/>
      </c>
      <c r="BH53" s="43">
        <f>IF(BH$4&gt;12,(INDEX($C$52:BG$52,1,BH$4-12+1)+INDEX($C$53:BG$53,1,BH$4-12+1))*ins_persist_ng,0)</f>
        <v/>
      </c>
      <c r="BI53" s="43">
        <f>IF(BI$4&gt;12,(INDEX($C$52:BH$52,1,BI$4-12+1)+INDEX($C$53:BH$53,1,BI$4-12+1))*ins_persist_ng,0)</f>
        <v/>
      </c>
      <c r="BJ53" s="43">
        <f>IF(BJ$4&gt;12,(INDEX($C$52:BI$52,1,BJ$4-12+1)+INDEX($C$53:BI$53,1,BJ$4-12+1))*ins_persist_ng,0)</f>
        <v/>
      </c>
      <c r="BK53" s="43">
        <f>IF(BK$4&gt;12,(INDEX($C$52:BJ$52,1,BK$4-12+1)+INDEX($C$53:BJ$53,1,BK$4-12+1))*ins_persist_ng,0)</f>
        <v/>
      </c>
    </row>
    <row r="54">
      <c r="A54" s="6" t="inlineStr">
        <is>
          <t>Revenue</t>
        </is>
      </c>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c r="AA54" s="7" t="n"/>
      <c r="AB54" s="7" t="n"/>
      <c r="AC54" s="7" t="n"/>
      <c r="AD54" s="7" t="n"/>
      <c r="AE54" s="7" t="n"/>
      <c r="AF54" s="7" t="n"/>
      <c r="AG54" s="7" t="n"/>
      <c r="AH54" s="7" t="n"/>
      <c r="AI54" s="7" t="n"/>
      <c r="AJ54" s="7" t="n"/>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7" t="n"/>
    </row>
    <row r="55">
      <c r="A55" s="25" t="inlineStr">
        <is>
          <t>Liquid-fund trail commission</t>
        </is>
      </c>
      <c r="B55" s="28" t="inlineStr">
        <is>
          <t>₹</t>
        </is>
      </c>
      <c r="C55" s="30" t="n">
        <v>0</v>
      </c>
      <c r="D55" s="32">
        <f>D21*trail_liquid_ng/12</f>
        <v/>
      </c>
      <c r="E55" s="32">
        <f>E21*trail_liquid_ng/12</f>
        <v/>
      </c>
      <c r="F55" s="32">
        <f>F21*trail_liquid_ng/12</f>
        <v/>
      </c>
      <c r="G55" s="32">
        <f>G21*trail_liquid_ng/12</f>
        <v/>
      </c>
      <c r="H55" s="32">
        <f>H21*trail_liquid_ng/12</f>
        <v/>
      </c>
      <c r="I55" s="32">
        <f>I21*trail_liquid_ng/12</f>
        <v/>
      </c>
      <c r="J55" s="32">
        <f>J21*trail_liquid_ng/12</f>
        <v/>
      </c>
      <c r="K55" s="32">
        <f>K21*trail_liquid_ng/12</f>
        <v/>
      </c>
      <c r="L55" s="32">
        <f>L21*trail_liquid_ng/12</f>
        <v/>
      </c>
      <c r="M55" s="32">
        <f>M21*trail_liquid_ng/12</f>
        <v/>
      </c>
      <c r="N55" s="32">
        <f>N21*trail_liquid_ng/12</f>
        <v/>
      </c>
      <c r="O55" s="32">
        <f>O21*trail_liquid_ng/12</f>
        <v/>
      </c>
      <c r="P55" s="32">
        <f>P21*trail_liquid_ng/12</f>
        <v/>
      </c>
      <c r="Q55" s="32">
        <f>Q21*trail_liquid_ng/12</f>
        <v/>
      </c>
      <c r="R55" s="32">
        <f>R21*trail_liquid_ng/12</f>
        <v/>
      </c>
      <c r="S55" s="32">
        <f>S21*trail_liquid_ng/12</f>
        <v/>
      </c>
      <c r="T55" s="32">
        <f>T21*trail_liquid_ng/12</f>
        <v/>
      </c>
      <c r="U55" s="32">
        <f>U21*trail_liquid_ng/12</f>
        <v/>
      </c>
      <c r="V55" s="32">
        <f>V21*trail_liquid_ng/12</f>
        <v/>
      </c>
      <c r="W55" s="32">
        <f>W21*trail_liquid_ng/12</f>
        <v/>
      </c>
      <c r="X55" s="32">
        <f>X21*trail_liquid_ng/12</f>
        <v/>
      </c>
      <c r="Y55" s="32">
        <f>Y21*trail_liquid_ng/12</f>
        <v/>
      </c>
      <c r="Z55" s="32">
        <f>Z21*trail_liquid_ng/12</f>
        <v/>
      </c>
      <c r="AA55" s="32">
        <f>AA21*trail_liquid_ng/12</f>
        <v/>
      </c>
      <c r="AB55" s="32">
        <f>AB21*trail_liquid_ng/12</f>
        <v/>
      </c>
      <c r="AC55" s="32">
        <f>AC21*trail_liquid_ng/12</f>
        <v/>
      </c>
      <c r="AD55" s="32">
        <f>AD21*trail_liquid_ng/12</f>
        <v/>
      </c>
      <c r="AE55" s="32">
        <f>AE21*trail_liquid_ng/12</f>
        <v/>
      </c>
      <c r="AF55" s="32">
        <f>AF21*trail_liquid_ng/12</f>
        <v/>
      </c>
      <c r="AG55" s="32">
        <f>AG21*trail_liquid_ng/12</f>
        <v/>
      </c>
      <c r="AH55" s="32">
        <f>AH21*trail_liquid_ng/12</f>
        <v/>
      </c>
      <c r="AI55" s="32">
        <f>AI21*trail_liquid_ng/12</f>
        <v/>
      </c>
      <c r="AJ55" s="32">
        <f>AJ21*trail_liquid_ng/12</f>
        <v/>
      </c>
      <c r="AK55" s="32">
        <f>AK21*trail_liquid_ng/12</f>
        <v/>
      </c>
      <c r="AL55" s="32">
        <f>AL21*trail_liquid_ng/12</f>
        <v/>
      </c>
      <c r="AM55" s="32">
        <f>AM21*trail_liquid_ng/12</f>
        <v/>
      </c>
      <c r="AN55" s="32">
        <f>AN21*trail_liquid_ng/12</f>
        <v/>
      </c>
      <c r="AO55" s="32">
        <f>AO21*trail_liquid_ng/12</f>
        <v/>
      </c>
      <c r="AP55" s="32">
        <f>AP21*trail_liquid_ng/12</f>
        <v/>
      </c>
      <c r="AQ55" s="32">
        <f>AQ21*trail_liquid_ng/12</f>
        <v/>
      </c>
      <c r="AR55" s="32">
        <f>AR21*trail_liquid_ng/12</f>
        <v/>
      </c>
      <c r="AS55" s="32">
        <f>AS21*trail_liquid_ng/12</f>
        <v/>
      </c>
      <c r="AT55" s="32">
        <f>AT21*trail_liquid_ng/12</f>
        <v/>
      </c>
      <c r="AU55" s="32">
        <f>AU21*trail_liquid_ng/12</f>
        <v/>
      </c>
      <c r="AV55" s="32">
        <f>AV21*trail_liquid_ng/12</f>
        <v/>
      </c>
      <c r="AW55" s="32">
        <f>AW21*trail_liquid_ng/12</f>
        <v/>
      </c>
      <c r="AX55" s="32">
        <f>AX21*trail_liquid_ng/12</f>
        <v/>
      </c>
      <c r="AY55" s="32">
        <f>AY21*trail_liquid_ng/12</f>
        <v/>
      </c>
      <c r="AZ55" s="32">
        <f>AZ21*trail_liquid_ng/12</f>
        <v/>
      </c>
      <c r="BA55" s="32">
        <f>BA21*trail_liquid_ng/12</f>
        <v/>
      </c>
      <c r="BB55" s="32">
        <f>BB21*trail_liquid_ng/12</f>
        <v/>
      </c>
      <c r="BC55" s="32">
        <f>BC21*trail_liquid_ng/12</f>
        <v/>
      </c>
      <c r="BD55" s="32">
        <f>BD21*trail_liquid_ng/12</f>
        <v/>
      </c>
      <c r="BE55" s="32">
        <f>BE21*trail_liquid_ng/12</f>
        <v/>
      </c>
      <c r="BF55" s="32">
        <f>BF21*trail_liquid_ng/12</f>
        <v/>
      </c>
      <c r="BG55" s="32">
        <f>BG21*trail_liquid_ng/12</f>
        <v/>
      </c>
      <c r="BH55" s="32">
        <f>BH21*trail_liquid_ng/12</f>
        <v/>
      </c>
      <c r="BI55" s="32">
        <f>BI21*trail_liquid_ng/12</f>
        <v/>
      </c>
      <c r="BJ55" s="32">
        <f>BJ21*trail_liquid_ng/12</f>
        <v/>
      </c>
      <c r="BK55" s="32">
        <f>BK21*trail_liquid_ng/12</f>
        <v/>
      </c>
    </row>
    <row r="56">
      <c r="A56" s="25" t="inlineStr">
        <is>
          <t>FD distribution fee</t>
        </is>
      </c>
      <c r="B56" s="28" t="inlineStr">
        <is>
          <t>₹</t>
        </is>
      </c>
      <c r="C56" s="30" t="n">
        <v>0</v>
      </c>
      <c r="D56" s="32">
        <f>D20*fd_fee_ng/12</f>
        <v/>
      </c>
      <c r="E56" s="32">
        <f>E20*fd_fee_ng/12</f>
        <v/>
      </c>
      <c r="F56" s="32">
        <f>F20*fd_fee_ng/12</f>
        <v/>
      </c>
      <c r="G56" s="32">
        <f>G20*fd_fee_ng/12</f>
        <v/>
      </c>
      <c r="H56" s="32">
        <f>H20*fd_fee_ng/12</f>
        <v/>
      </c>
      <c r="I56" s="32">
        <f>I20*fd_fee_ng/12</f>
        <v/>
      </c>
      <c r="J56" s="32">
        <f>J20*fd_fee_ng/12</f>
        <v/>
      </c>
      <c r="K56" s="32">
        <f>K20*fd_fee_ng/12</f>
        <v/>
      </c>
      <c r="L56" s="32">
        <f>L20*fd_fee_ng/12</f>
        <v/>
      </c>
      <c r="M56" s="32">
        <f>M20*fd_fee_ng/12</f>
        <v/>
      </c>
      <c r="N56" s="32">
        <f>N20*fd_fee_ng/12</f>
        <v/>
      </c>
      <c r="O56" s="32">
        <f>O20*fd_fee_ng/12</f>
        <v/>
      </c>
      <c r="P56" s="32">
        <f>P20*fd_fee_ng/12</f>
        <v/>
      </c>
      <c r="Q56" s="32">
        <f>Q20*fd_fee_ng/12</f>
        <v/>
      </c>
      <c r="R56" s="32">
        <f>R20*fd_fee_ng/12</f>
        <v/>
      </c>
      <c r="S56" s="32">
        <f>S20*fd_fee_ng/12</f>
        <v/>
      </c>
      <c r="T56" s="32">
        <f>T20*fd_fee_ng/12</f>
        <v/>
      </c>
      <c r="U56" s="32">
        <f>U20*fd_fee_ng/12</f>
        <v/>
      </c>
      <c r="V56" s="32">
        <f>V20*fd_fee_ng/12</f>
        <v/>
      </c>
      <c r="W56" s="32">
        <f>W20*fd_fee_ng/12</f>
        <v/>
      </c>
      <c r="X56" s="32">
        <f>X20*fd_fee_ng/12</f>
        <v/>
      </c>
      <c r="Y56" s="32">
        <f>Y20*fd_fee_ng/12</f>
        <v/>
      </c>
      <c r="Z56" s="32">
        <f>Z20*fd_fee_ng/12</f>
        <v/>
      </c>
      <c r="AA56" s="32">
        <f>AA20*fd_fee_ng/12</f>
        <v/>
      </c>
      <c r="AB56" s="32">
        <f>AB20*fd_fee_ng/12</f>
        <v/>
      </c>
      <c r="AC56" s="32">
        <f>AC20*fd_fee_ng/12</f>
        <v/>
      </c>
      <c r="AD56" s="32">
        <f>AD20*fd_fee_ng/12</f>
        <v/>
      </c>
      <c r="AE56" s="32">
        <f>AE20*fd_fee_ng/12</f>
        <v/>
      </c>
      <c r="AF56" s="32">
        <f>AF20*fd_fee_ng/12</f>
        <v/>
      </c>
      <c r="AG56" s="32">
        <f>AG20*fd_fee_ng/12</f>
        <v/>
      </c>
      <c r="AH56" s="32">
        <f>AH20*fd_fee_ng/12</f>
        <v/>
      </c>
      <c r="AI56" s="32">
        <f>AI20*fd_fee_ng/12</f>
        <v/>
      </c>
      <c r="AJ56" s="32">
        <f>AJ20*fd_fee_ng/12</f>
        <v/>
      </c>
      <c r="AK56" s="32">
        <f>AK20*fd_fee_ng/12</f>
        <v/>
      </c>
      <c r="AL56" s="32">
        <f>AL20*fd_fee_ng/12</f>
        <v/>
      </c>
      <c r="AM56" s="32">
        <f>AM20*fd_fee_ng/12</f>
        <v/>
      </c>
      <c r="AN56" s="32">
        <f>AN20*fd_fee_ng/12</f>
        <v/>
      </c>
      <c r="AO56" s="32">
        <f>AO20*fd_fee_ng/12</f>
        <v/>
      </c>
      <c r="AP56" s="32">
        <f>AP20*fd_fee_ng/12</f>
        <v/>
      </c>
      <c r="AQ56" s="32">
        <f>AQ20*fd_fee_ng/12</f>
        <v/>
      </c>
      <c r="AR56" s="32">
        <f>AR20*fd_fee_ng/12</f>
        <v/>
      </c>
      <c r="AS56" s="32">
        <f>AS20*fd_fee_ng/12</f>
        <v/>
      </c>
      <c r="AT56" s="32">
        <f>AT20*fd_fee_ng/12</f>
        <v/>
      </c>
      <c r="AU56" s="32">
        <f>AU20*fd_fee_ng/12</f>
        <v/>
      </c>
      <c r="AV56" s="32">
        <f>AV20*fd_fee_ng/12</f>
        <v/>
      </c>
      <c r="AW56" s="32">
        <f>AW20*fd_fee_ng/12</f>
        <v/>
      </c>
      <c r="AX56" s="32">
        <f>AX20*fd_fee_ng/12</f>
        <v/>
      </c>
      <c r="AY56" s="32">
        <f>AY20*fd_fee_ng/12</f>
        <v/>
      </c>
      <c r="AZ56" s="32">
        <f>AZ20*fd_fee_ng/12</f>
        <v/>
      </c>
      <c r="BA56" s="32">
        <f>BA20*fd_fee_ng/12</f>
        <v/>
      </c>
      <c r="BB56" s="32">
        <f>BB20*fd_fee_ng/12</f>
        <v/>
      </c>
      <c r="BC56" s="32">
        <f>BC20*fd_fee_ng/12</f>
        <v/>
      </c>
      <c r="BD56" s="32">
        <f>BD20*fd_fee_ng/12</f>
        <v/>
      </c>
      <c r="BE56" s="32">
        <f>BE20*fd_fee_ng/12</f>
        <v/>
      </c>
      <c r="BF56" s="32">
        <f>BF20*fd_fee_ng/12</f>
        <v/>
      </c>
      <c r="BG56" s="32">
        <f>BG20*fd_fee_ng/12</f>
        <v/>
      </c>
      <c r="BH56" s="32">
        <f>BH20*fd_fee_ng/12</f>
        <v/>
      </c>
      <c r="BI56" s="32">
        <f>BI20*fd_fee_ng/12</f>
        <v/>
      </c>
      <c r="BJ56" s="32">
        <f>BJ20*fd_fee_ng/12</f>
        <v/>
      </c>
      <c r="BK56" s="32">
        <f>BK20*fd_fee_ng/12</f>
        <v/>
      </c>
    </row>
    <row r="57">
      <c r="A57" s="25" t="inlineStr">
        <is>
          <t>Margin on digital gold bought (lever)</t>
        </is>
      </c>
      <c r="B57" s="28" t="inlineStr">
        <is>
          <t>₹</t>
        </is>
      </c>
      <c r="C57" s="30" t="n">
        <v>0</v>
      </c>
      <c r="D57" s="32">
        <f>D9*gold_on_ng*gold_share_ng*gold_margin_ng</f>
        <v/>
      </c>
      <c r="E57" s="32">
        <f>E9*gold_on_ng*gold_share_ng*gold_margin_ng</f>
        <v/>
      </c>
      <c r="F57" s="32">
        <f>F9*gold_on_ng*gold_share_ng*gold_margin_ng</f>
        <v/>
      </c>
      <c r="G57" s="32">
        <f>G9*gold_on_ng*gold_share_ng*gold_margin_ng</f>
        <v/>
      </c>
      <c r="H57" s="32">
        <f>H9*gold_on_ng*gold_share_ng*gold_margin_ng</f>
        <v/>
      </c>
      <c r="I57" s="32">
        <f>I9*gold_on_ng*gold_share_ng*gold_margin_ng</f>
        <v/>
      </c>
      <c r="J57" s="32">
        <f>J9*gold_on_ng*gold_share_ng*gold_margin_ng</f>
        <v/>
      </c>
      <c r="K57" s="32">
        <f>K9*gold_on_ng*gold_share_ng*gold_margin_ng</f>
        <v/>
      </c>
      <c r="L57" s="32">
        <f>L9*gold_on_ng*gold_share_ng*gold_margin_ng</f>
        <v/>
      </c>
      <c r="M57" s="32">
        <f>M9*gold_on_ng*gold_share_ng*gold_margin_ng</f>
        <v/>
      </c>
      <c r="N57" s="32">
        <f>N9*gold_on_ng*gold_share_ng*gold_margin_ng</f>
        <v/>
      </c>
      <c r="O57" s="32">
        <f>O9*gold_on_ng*gold_share_ng*gold_margin_ng</f>
        <v/>
      </c>
      <c r="P57" s="32">
        <f>P9*gold_on_ng*gold_share_ng*gold_margin_ng</f>
        <v/>
      </c>
      <c r="Q57" s="32">
        <f>Q9*gold_on_ng*gold_share_ng*gold_margin_ng</f>
        <v/>
      </c>
      <c r="R57" s="32">
        <f>R9*gold_on_ng*gold_share_ng*gold_margin_ng</f>
        <v/>
      </c>
      <c r="S57" s="32">
        <f>S9*gold_on_ng*gold_share_ng*gold_margin_ng</f>
        <v/>
      </c>
      <c r="T57" s="32">
        <f>T9*gold_on_ng*gold_share_ng*gold_margin_ng</f>
        <v/>
      </c>
      <c r="U57" s="32">
        <f>U9*gold_on_ng*gold_share_ng*gold_margin_ng</f>
        <v/>
      </c>
      <c r="V57" s="32">
        <f>V9*gold_on_ng*gold_share_ng*gold_margin_ng</f>
        <v/>
      </c>
      <c r="W57" s="32">
        <f>W9*gold_on_ng*gold_share_ng*gold_margin_ng</f>
        <v/>
      </c>
      <c r="X57" s="32">
        <f>X9*gold_on_ng*gold_share_ng*gold_margin_ng</f>
        <v/>
      </c>
      <c r="Y57" s="32">
        <f>Y9*gold_on_ng*gold_share_ng*gold_margin_ng</f>
        <v/>
      </c>
      <c r="Z57" s="32">
        <f>Z9*gold_on_ng*gold_share_ng*gold_margin_ng</f>
        <v/>
      </c>
      <c r="AA57" s="32">
        <f>AA9*gold_on_ng*gold_share_ng*gold_margin_ng</f>
        <v/>
      </c>
      <c r="AB57" s="32">
        <f>AB9*gold_on_ng*gold_share_ng*gold_margin_ng</f>
        <v/>
      </c>
      <c r="AC57" s="32">
        <f>AC9*gold_on_ng*gold_share_ng*gold_margin_ng</f>
        <v/>
      </c>
      <c r="AD57" s="32">
        <f>AD9*gold_on_ng*gold_share_ng*gold_margin_ng</f>
        <v/>
      </c>
      <c r="AE57" s="32">
        <f>AE9*gold_on_ng*gold_share_ng*gold_margin_ng</f>
        <v/>
      </c>
      <c r="AF57" s="32">
        <f>AF9*gold_on_ng*gold_share_ng*gold_margin_ng</f>
        <v/>
      </c>
      <c r="AG57" s="32">
        <f>AG9*gold_on_ng*gold_share_ng*gold_margin_ng</f>
        <v/>
      </c>
      <c r="AH57" s="32">
        <f>AH9*gold_on_ng*gold_share_ng*gold_margin_ng</f>
        <v/>
      </c>
      <c r="AI57" s="32">
        <f>AI9*gold_on_ng*gold_share_ng*gold_margin_ng</f>
        <v/>
      </c>
      <c r="AJ57" s="32">
        <f>AJ9*gold_on_ng*gold_share_ng*gold_margin_ng</f>
        <v/>
      </c>
      <c r="AK57" s="32">
        <f>AK9*gold_on_ng*gold_share_ng*gold_margin_ng</f>
        <v/>
      </c>
      <c r="AL57" s="32">
        <f>AL9*gold_on_ng*gold_share_ng*gold_margin_ng</f>
        <v/>
      </c>
      <c r="AM57" s="32">
        <f>AM9*gold_on_ng*gold_share_ng*gold_margin_ng</f>
        <v/>
      </c>
      <c r="AN57" s="32">
        <f>AN9*gold_on_ng*gold_share_ng*gold_margin_ng</f>
        <v/>
      </c>
      <c r="AO57" s="32">
        <f>AO9*gold_on_ng*gold_share_ng*gold_margin_ng</f>
        <v/>
      </c>
      <c r="AP57" s="32">
        <f>AP9*gold_on_ng*gold_share_ng*gold_margin_ng</f>
        <v/>
      </c>
      <c r="AQ57" s="32">
        <f>AQ9*gold_on_ng*gold_share_ng*gold_margin_ng</f>
        <v/>
      </c>
      <c r="AR57" s="32">
        <f>AR9*gold_on_ng*gold_share_ng*gold_margin_ng</f>
        <v/>
      </c>
      <c r="AS57" s="32">
        <f>AS9*gold_on_ng*gold_share_ng*gold_margin_ng</f>
        <v/>
      </c>
      <c r="AT57" s="32">
        <f>AT9*gold_on_ng*gold_share_ng*gold_margin_ng</f>
        <v/>
      </c>
      <c r="AU57" s="32">
        <f>AU9*gold_on_ng*gold_share_ng*gold_margin_ng</f>
        <v/>
      </c>
      <c r="AV57" s="32">
        <f>AV9*gold_on_ng*gold_share_ng*gold_margin_ng</f>
        <v/>
      </c>
      <c r="AW57" s="32">
        <f>AW9*gold_on_ng*gold_share_ng*gold_margin_ng</f>
        <v/>
      </c>
      <c r="AX57" s="32">
        <f>AX9*gold_on_ng*gold_share_ng*gold_margin_ng</f>
        <v/>
      </c>
      <c r="AY57" s="32">
        <f>AY9*gold_on_ng*gold_share_ng*gold_margin_ng</f>
        <v/>
      </c>
      <c r="AZ57" s="32">
        <f>AZ9*gold_on_ng*gold_share_ng*gold_margin_ng</f>
        <v/>
      </c>
      <c r="BA57" s="32">
        <f>BA9*gold_on_ng*gold_share_ng*gold_margin_ng</f>
        <v/>
      </c>
      <c r="BB57" s="32">
        <f>BB9*gold_on_ng*gold_share_ng*gold_margin_ng</f>
        <v/>
      </c>
      <c r="BC57" s="32">
        <f>BC9*gold_on_ng*gold_share_ng*gold_margin_ng</f>
        <v/>
      </c>
      <c r="BD57" s="32">
        <f>BD9*gold_on_ng*gold_share_ng*gold_margin_ng</f>
        <v/>
      </c>
      <c r="BE57" s="32">
        <f>BE9*gold_on_ng*gold_share_ng*gold_margin_ng</f>
        <v/>
      </c>
      <c r="BF57" s="32">
        <f>BF9*gold_on_ng*gold_share_ng*gold_margin_ng</f>
        <v/>
      </c>
      <c r="BG57" s="32">
        <f>BG9*gold_on_ng*gold_share_ng*gold_margin_ng</f>
        <v/>
      </c>
      <c r="BH57" s="32">
        <f>BH9*gold_on_ng*gold_share_ng*gold_margin_ng</f>
        <v/>
      </c>
      <c r="BI57" s="32">
        <f>BI9*gold_on_ng*gold_share_ng*gold_margin_ng</f>
        <v/>
      </c>
      <c r="BJ57" s="32">
        <f>BJ9*gold_on_ng*gold_share_ng*gold_margin_ng</f>
        <v/>
      </c>
      <c r="BK57" s="32">
        <f>BK9*gold_on_ng*gold_share_ng*gold_margin_ng</f>
        <v/>
      </c>
    </row>
    <row r="58">
      <c r="A58" s="25" t="inlineStr">
        <is>
          <t>Loans: sourcing fee, or net interest if own NBFC</t>
        </is>
      </c>
      <c r="B58" s="28" t="inlineStr">
        <is>
          <t>₹</t>
        </is>
      </c>
      <c r="C58" s="30" t="n">
        <v>0</v>
      </c>
      <c r="D58" s="32">
        <f>IF(nbfc_on_ng=1,D36*(nbfc_int_r_ng*(1-ladder_dpd90_ng)+nbfc_proc_fee_ng-nbfc_cof_r_ng),D34*secured_fee_ng+D35*(lsp_fee_ng+dlg_on_ng*dlg_fee_uplift_ng))</f>
        <v/>
      </c>
      <c r="E58" s="32">
        <f>IF(nbfc_on_ng=1,E36*(nbfc_int_r_ng*(1-ladder_dpd90_ng)+nbfc_proc_fee_ng-nbfc_cof_r_ng),E34*secured_fee_ng+E35*(lsp_fee_ng+dlg_on_ng*dlg_fee_uplift_ng))</f>
        <v/>
      </c>
      <c r="F58" s="32">
        <f>IF(nbfc_on_ng=1,F36*(nbfc_int_r_ng*(1-ladder_dpd90_ng)+nbfc_proc_fee_ng-nbfc_cof_r_ng),F34*secured_fee_ng+F35*(lsp_fee_ng+dlg_on_ng*dlg_fee_uplift_ng))</f>
        <v/>
      </c>
      <c r="G58" s="32">
        <f>IF(nbfc_on_ng=1,G36*(nbfc_int_r_ng*(1-ladder_dpd90_ng)+nbfc_proc_fee_ng-nbfc_cof_r_ng),G34*secured_fee_ng+G35*(lsp_fee_ng+dlg_on_ng*dlg_fee_uplift_ng))</f>
        <v/>
      </c>
      <c r="H58" s="32">
        <f>IF(nbfc_on_ng=1,H36*(nbfc_int_r_ng*(1-ladder_dpd90_ng)+nbfc_proc_fee_ng-nbfc_cof_r_ng),H34*secured_fee_ng+H35*(lsp_fee_ng+dlg_on_ng*dlg_fee_uplift_ng))</f>
        <v/>
      </c>
      <c r="I58" s="32">
        <f>IF(nbfc_on_ng=1,I36*(nbfc_int_r_ng*(1-ladder_dpd90_ng)+nbfc_proc_fee_ng-nbfc_cof_r_ng),I34*secured_fee_ng+I35*(lsp_fee_ng+dlg_on_ng*dlg_fee_uplift_ng))</f>
        <v/>
      </c>
      <c r="J58" s="32">
        <f>IF(nbfc_on_ng=1,J36*(nbfc_int_r_ng*(1-ladder_dpd90_ng)+nbfc_proc_fee_ng-nbfc_cof_r_ng),J34*secured_fee_ng+J35*(lsp_fee_ng+dlg_on_ng*dlg_fee_uplift_ng))</f>
        <v/>
      </c>
      <c r="K58" s="32">
        <f>IF(nbfc_on_ng=1,K36*(nbfc_int_r_ng*(1-ladder_dpd90_ng)+nbfc_proc_fee_ng-nbfc_cof_r_ng),K34*secured_fee_ng+K35*(lsp_fee_ng+dlg_on_ng*dlg_fee_uplift_ng))</f>
        <v/>
      </c>
      <c r="L58" s="32">
        <f>IF(nbfc_on_ng=1,L36*(nbfc_int_r_ng*(1-ladder_dpd90_ng)+nbfc_proc_fee_ng-nbfc_cof_r_ng),L34*secured_fee_ng+L35*(lsp_fee_ng+dlg_on_ng*dlg_fee_uplift_ng))</f>
        <v/>
      </c>
      <c r="M58" s="32">
        <f>IF(nbfc_on_ng=1,M36*(nbfc_int_r_ng*(1-ladder_dpd90_ng)+nbfc_proc_fee_ng-nbfc_cof_r_ng),M34*secured_fee_ng+M35*(lsp_fee_ng+dlg_on_ng*dlg_fee_uplift_ng))</f>
        <v/>
      </c>
      <c r="N58" s="32">
        <f>IF(nbfc_on_ng=1,N36*(nbfc_int_r_ng*(1-ladder_dpd90_ng)+nbfc_proc_fee_ng-nbfc_cof_r_ng),N34*secured_fee_ng+N35*(lsp_fee_ng+dlg_on_ng*dlg_fee_uplift_ng))</f>
        <v/>
      </c>
      <c r="O58" s="32">
        <f>IF(nbfc_on_ng=1,O36*(nbfc_int_r_ng*(1-ladder_dpd90_ng)+nbfc_proc_fee_ng-nbfc_cof_r_ng),O34*secured_fee_ng+O35*(lsp_fee_ng+dlg_on_ng*dlg_fee_uplift_ng))</f>
        <v/>
      </c>
      <c r="P58" s="32">
        <f>IF(nbfc_on_ng=1,P36*(nbfc_int_r_ng*(1-ladder_dpd90_ng)+nbfc_proc_fee_ng-nbfc_cof_r_ng),P34*secured_fee_ng+P35*(lsp_fee_ng+dlg_on_ng*dlg_fee_uplift_ng))</f>
        <v/>
      </c>
      <c r="Q58" s="32">
        <f>IF(nbfc_on_ng=1,Q36*(nbfc_int_r_ng*(1-ladder_dpd90_ng)+nbfc_proc_fee_ng-nbfc_cof_r_ng),Q34*secured_fee_ng+Q35*(lsp_fee_ng+dlg_on_ng*dlg_fee_uplift_ng))</f>
        <v/>
      </c>
      <c r="R58" s="32">
        <f>IF(nbfc_on_ng=1,R36*(nbfc_int_r_ng*(1-ladder_dpd90_ng)+nbfc_proc_fee_ng-nbfc_cof_r_ng),R34*secured_fee_ng+R35*(lsp_fee_ng+dlg_on_ng*dlg_fee_uplift_ng))</f>
        <v/>
      </c>
      <c r="S58" s="32">
        <f>IF(nbfc_on_ng=1,S36*(nbfc_int_r_ng*(1-ladder_dpd90_ng)+nbfc_proc_fee_ng-nbfc_cof_r_ng),S34*secured_fee_ng+S35*(lsp_fee_ng+dlg_on_ng*dlg_fee_uplift_ng))</f>
        <v/>
      </c>
      <c r="T58" s="32">
        <f>IF(nbfc_on_ng=1,T36*(nbfc_int_r_ng*(1-ladder_dpd90_ng)+nbfc_proc_fee_ng-nbfc_cof_r_ng),T34*secured_fee_ng+T35*(lsp_fee_ng+dlg_on_ng*dlg_fee_uplift_ng))</f>
        <v/>
      </c>
      <c r="U58" s="32">
        <f>IF(nbfc_on_ng=1,U36*(nbfc_int_r_ng*(1-ladder_dpd90_ng)+nbfc_proc_fee_ng-nbfc_cof_r_ng),U34*secured_fee_ng+U35*(lsp_fee_ng+dlg_on_ng*dlg_fee_uplift_ng))</f>
        <v/>
      </c>
      <c r="V58" s="32">
        <f>IF(nbfc_on_ng=1,V36*(nbfc_int_r_ng*(1-ladder_dpd90_ng)+nbfc_proc_fee_ng-nbfc_cof_r_ng),V34*secured_fee_ng+V35*(lsp_fee_ng+dlg_on_ng*dlg_fee_uplift_ng))</f>
        <v/>
      </c>
      <c r="W58" s="32">
        <f>IF(nbfc_on_ng=1,W36*(nbfc_int_r_ng*(1-ladder_dpd90_ng)+nbfc_proc_fee_ng-nbfc_cof_r_ng),W34*secured_fee_ng+W35*(lsp_fee_ng+dlg_on_ng*dlg_fee_uplift_ng))</f>
        <v/>
      </c>
      <c r="X58" s="32">
        <f>IF(nbfc_on_ng=1,X36*(nbfc_int_r_ng*(1-ladder_dpd90_ng)+nbfc_proc_fee_ng-nbfc_cof_r_ng),X34*secured_fee_ng+X35*(lsp_fee_ng+dlg_on_ng*dlg_fee_uplift_ng))</f>
        <v/>
      </c>
      <c r="Y58" s="32">
        <f>IF(nbfc_on_ng=1,Y36*(nbfc_int_r_ng*(1-ladder_dpd90_ng)+nbfc_proc_fee_ng-nbfc_cof_r_ng),Y34*secured_fee_ng+Y35*(lsp_fee_ng+dlg_on_ng*dlg_fee_uplift_ng))</f>
        <v/>
      </c>
      <c r="Z58" s="32">
        <f>IF(nbfc_on_ng=1,Z36*(nbfc_int_r_ng*(1-ladder_dpd90_ng)+nbfc_proc_fee_ng-nbfc_cof_r_ng),Z34*secured_fee_ng+Z35*(lsp_fee_ng+dlg_on_ng*dlg_fee_uplift_ng))</f>
        <v/>
      </c>
      <c r="AA58" s="32">
        <f>IF(nbfc_on_ng=1,AA36*(nbfc_int_r_ng*(1-ladder_dpd90_ng)+nbfc_proc_fee_ng-nbfc_cof_r_ng),AA34*secured_fee_ng+AA35*(lsp_fee_ng+dlg_on_ng*dlg_fee_uplift_ng))</f>
        <v/>
      </c>
      <c r="AB58" s="32">
        <f>IF(nbfc_on_ng=1,AB36*(nbfc_int_r_ng*(1-ladder_dpd90_ng)+nbfc_proc_fee_ng-nbfc_cof_r_ng),AB34*secured_fee_ng+AB35*(lsp_fee_ng+dlg_on_ng*dlg_fee_uplift_ng))</f>
        <v/>
      </c>
      <c r="AC58" s="32">
        <f>IF(nbfc_on_ng=1,AC36*(nbfc_int_r_ng*(1-ladder_dpd90_ng)+nbfc_proc_fee_ng-nbfc_cof_r_ng),AC34*secured_fee_ng+AC35*(lsp_fee_ng+dlg_on_ng*dlg_fee_uplift_ng))</f>
        <v/>
      </c>
      <c r="AD58" s="32">
        <f>IF(nbfc_on_ng=1,AD36*(nbfc_int_r_ng*(1-ladder_dpd90_ng)+nbfc_proc_fee_ng-nbfc_cof_r_ng),AD34*secured_fee_ng+AD35*(lsp_fee_ng+dlg_on_ng*dlg_fee_uplift_ng))</f>
        <v/>
      </c>
      <c r="AE58" s="32">
        <f>IF(nbfc_on_ng=1,AE36*(nbfc_int_r_ng*(1-ladder_dpd90_ng)+nbfc_proc_fee_ng-nbfc_cof_r_ng),AE34*secured_fee_ng+AE35*(lsp_fee_ng+dlg_on_ng*dlg_fee_uplift_ng))</f>
        <v/>
      </c>
      <c r="AF58" s="32">
        <f>IF(nbfc_on_ng=1,AF36*(nbfc_int_r_ng*(1-ladder_dpd90_ng)+nbfc_proc_fee_ng-nbfc_cof_r_ng),AF34*secured_fee_ng+AF35*(lsp_fee_ng+dlg_on_ng*dlg_fee_uplift_ng))</f>
        <v/>
      </c>
      <c r="AG58" s="32">
        <f>IF(nbfc_on_ng=1,AG36*(nbfc_int_r_ng*(1-ladder_dpd90_ng)+nbfc_proc_fee_ng-nbfc_cof_r_ng),AG34*secured_fee_ng+AG35*(lsp_fee_ng+dlg_on_ng*dlg_fee_uplift_ng))</f>
        <v/>
      </c>
      <c r="AH58" s="32">
        <f>IF(nbfc_on_ng=1,AH36*(nbfc_int_r_ng*(1-ladder_dpd90_ng)+nbfc_proc_fee_ng-nbfc_cof_r_ng),AH34*secured_fee_ng+AH35*(lsp_fee_ng+dlg_on_ng*dlg_fee_uplift_ng))</f>
        <v/>
      </c>
      <c r="AI58" s="32">
        <f>IF(nbfc_on_ng=1,AI36*(nbfc_int_r_ng*(1-ladder_dpd90_ng)+nbfc_proc_fee_ng-nbfc_cof_r_ng),AI34*secured_fee_ng+AI35*(lsp_fee_ng+dlg_on_ng*dlg_fee_uplift_ng))</f>
        <v/>
      </c>
      <c r="AJ58" s="32">
        <f>IF(nbfc_on_ng=1,AJ36*(nbfc_int_r_ng*(1-ladder_dpd90_ng)+nbfc_proc_fee_ng-nbfc_cof_r_ng),AJ34*secured_fee_ng+AJ35*(lsp_fee_ng+dlg_on_ng*dlg_fee_uplift_ng))</f>
        <v/>
      </c>
      <c r="AK58" s="32">
        <f>IF(nbfc_on_ng=1,AK36*(nbfc_int_r_ng*(1-ladder_dpd90_ng)+nbfc_proc_fee_ng-nbfc_cof_r_ng),AK34*secured_fee_ng+AK35*(lsp_fee_ng+dlg_on_ng*dlg_fee_uplift_ng))</f>
        <v/>
      </c>
      <c r="AL58" s="32">
        <f>IF(nbfc_on_ng=1,AL36*(nbfc_int_r_ng*(1-ladder_dpd90_ng)+nbfc_proc_fee_ng-nbfc_cof_r_ng),AL34*secured_fee_ng+AL35*(lsp_fee_ng+dlg_on_ng*dlg_fee_uplift_ng))</f>
        <v/>
      </c>
      <c r="AM58" s="32">
        <f>IF(nbfc_on_ng=1,AM36*(nbfc_int_r_ng*(1-ladder_dpd90_ng)+nbfc_proc_fee_ng-nbfc_cof_r_ng),AM34*secured_fee_ng+AM35*(lsp_fee_ng+dlg_on_ng*dlg_fee_uplift_ng))</f>
        <v/>
      </c>
      <c r="AN58" s="32">
        <f>IF(nbfc_on_ng=1,AN36*(nbfc_int_r_ng*(1-ladder_dpd90_ng)+nbfc_proc_fee_ng-nbfc_cof_r_ng),AN34*secured_fee_ng+AN35*(lsp_fee_ng+dlg_on_ng*dlg_fee_uplift_ng))</f>
        <v/>
      </c>
      <c r="AO58" s="32">
        <f>IF(nbfc_on_ng=1,AO36*(nbfc_int_r_ng*(1-ladder_dpd90_ng)+nbfc_proc_fee_ng-nbfc_cof_r_ng),AO34*secured_fee_ng+AO35*(lsp_fee_ng+dlg_on_ng*dlg_fee_uplift_ng))</f>
        <v/>
      </c>
      <c r="AP58" s="32">
        <f>IF(nbfc_on_ng=1,AP36*(nbfc_int_r_ng*(1-ladder_dpd90_ng)+nbfc_proc_fee_ng-nbfc_cof_r_ng),AP34*secured_fee_ng+AP35*(lsp_fee_ng+dlg_on_ng*dlg_fee_uplift_ng))</f>
        <v/>
      </c>
      <c r="AQ58" s="32">
        <f>IF(nbfc_on_ng=1,AQ36*(nbfc_int_r_ng*(1-ladder_dpd90_ng)+nbfc_proc_fee_ng-nbfc_cof_r_ng),AQ34*secured_fee_ng+AQ35*(lsp_fee_ng+dlg_on_ng*dlg_fee_uplift_ng))</f>
        <v/>
      </c>
      <c r="AR58" s="32">
        <f>IF(nbfc_on_ng=1,AR36*(nbfc_int_r_ng*(1-ladder_dpd90_ng)+nbfc_proc_fee_ng-nbfc_cof_r_ng),AR34*secured_fee_ng+AR35*(lsp_fee_ng+dlg_on_ng*dlg_fee_uplift_ng))</f>
        <v/>
      </c>
      <c r="AS58" s="32">
        <f>IF(nbfc_on_ng=1,AS36*(nbfc_int_r_ng*(1-ladder_dpd90_ng)+nbfc_proc_fee_ng-nbfc_cof_r_ng),AS34*secured_fee_ng+AS35*(lsp_fee_ng+dlg_on_ng*dlg_fee_uplift_ng))</f>
        <v/>
      </c>
      <c r="AT58" s="32">
        <f>IF(nbfc_on_ng=1,AT36*(nbfc_int_r_ng*(1-ladder_dpd90_ng)+nbfc_proc_fee_ng-nbfc_cof_r_ng),AT34*secured_fee_ng+AT35*(lsp_fee_ng+dlg_on_ng*dlg_fee_uplift_ng))</f>
        <v/>
      </c>
      <c r="AU58" s="32">
        <f>IF(nbfc_on_ng=1,AU36*(nbfc_int_r_ng*(1-ladder_dpd90_ng)+nbfc_proc_fee_ng-nbfc_cof_r_ng),AU34*secured_fee_ng+AU35*(lsp_fee_ng+dlg_on_ng*dlg_fee_uplift_ng))</f>
        <v/>
      </c>
      <c r="AV58" s="32">
        <f>IF(nbfc_on_ng=1,AV36*(nbfc_int_r_ng*(1-ladder_dpd90_ng)+nbfc_proc_fee_ng-nbfc_cof_r_ng),AV34*secured_fee_ng+AV35*(lsp_fee_ng+dlg_on_ng*dlg_fee_uplift_ng))</f>
        <v/>
      </c>
      <c r="AW58" s="32">
        <f>IF(nbfc_on_ng=1,AW36*(nbfc_int_r_ng*(1-ladder_dpd90_ng)+nbfc_proc_fee_ng-nbfc_cof_r_ng),AW34*secured_fee_ng+AW35*(lsp_fee_ng+dlg_on_ng*dlg_fee_uplift_ng))</f>
        <v/>
      </c>
      <c r="AX58" s="32">
        <f>IF(nbfc_on_ng=1,AX36*(nbfc_int_r_ng*(1-ladder_dpd90_ng)+nbfc_proc_fee_ng-nbfc_cof_r_ng),AX34*secured_fee_ng+AX35*(lsp_fee_ng+dlg_on_ng*dlg_fee_uplift_ng))</f>
        <v/>
      </c>
      <c r="AY58" s="32">
        <f>IF(nbfc_on_ng=1,AY36*(nbfc_int_r_ng*(1-ladder_dpd90_ng)+nbfc_proc_fee_ng-nbfc_cof_r_ng),AY34*secured_fee_ng+AY35*(lsp_fee_ng+dlg_on_ng*dlg_fee_uplift_ng))</f>
        <v/>
      </c>
      <c r="AZ58" s="32">
        <f>IF(nbfc_on_ng=1,AZ36*(nbfc_int_r_ng*(1-ladder_dpd90_ng)+nbfc_proc_fee_ng-nbfc_cof_r_ng),AZ34*secured_fee_ng+AZ35*(lsp_fee_ng+dlg_on_ng*dlg_fee_uplift_ng))</f>
        <v/>
      </c>
      <c r="BA58" s="32">
        <f>IF(nbfc_on_ng=1,BA36*(nbfc_int_r_ng*(1-ladder_dpd90_ng)+nbfc_proc_fee_ng-nbfc_cof_r_ng),BA34*secured_fee_ng+BA35*(lsp_fee_ng+dlg_on_ng*dlg_fee_uplift_ng))</f>
        <v/>
      </c>
      <c r="BB58" s="32">
        <f>IF(nbfc_on_ng=1,BB36*(nbfc_int_r_ng*(1-ladder_dpd90_ng)+nbfc_proc_fee_ng-nbfc_cof_r_ng),BB34*secured_fee_ng+BB35*(lsp_fee_ng+dlg_on_ng*dlg_fee_uplift_ng))</f>
        <v/>
      </c>
      <c r="BC58" s="32">
        <f>IF(nbfc_on_ng=1,BC36*(nbfc_int_r_ng*(1-ladder_dpd90_ng)+nbfc_proc_fee_ng-nbfc_cof_r_ng),BC34*secured_fee_ng+BC35*(lsp_fee_ng+dlg_on_ng*dlg_fee_uplift_ng))</f>
        <v/>
      </c>
      <c r="BD58" s="32">
        <f>IF(nbfc_on_ng=1,BD36*(nbfc_int_r_ng*(1-ladder_dpd90_ng)+nbfc_proc_fee_ng-nbfc_cof_r_ng),BD34*secured_fee_ng+BD35*(lsp_fee_ng+dlg_on_ng*dlg_fee_uplift_ng))</f>
        <v/>
      </c>
      <c r="BE58" s="32">
        <f>IF(nbfc_on_ng=1,BE36*(nbfc_int_r_ng*(1-ladder_dpd90_ng)+nbfc_proc_fee_ng-nbfc_cof_r_ng),BE34*secured_fee_ng+BE35*(lsp_fee_ng+dlg_on_ng*dlg_fee_uplift_ng))</f>
        <v/>
      </c>
      <c r="BF58" s="32">
        <f>IF(nbfc_on_ng=1,BF36*(nbfc_int_r_ng*(1-ladder_dpd90_ng)+nbfc_proc_fee_ng-nbfc_cof_r_ng),BF34*secured_fee_ng+BF35*(lsp_fee_ng+dlg_on_ng*dlg_fee_uplift_ng))</f>
        <v/>
      </c>
      <c r="BG58" s="32">
        <f>IF(nbfc_on_ng=1,BG36*(nbfc_int_r_ng*(1-ladder_dpd90_ng)+nbfc_proc_fee_ng-nbfc_cof_r_ng),BG34*secured_fee_ng+BG35*(lsp_fee_ng+dlg_on_ng*dlg_fee_uplift_ng))</f>
        <v/>
      </c>
      <c r="BH58" s="32">
        <f>IF(nbfc_on_ng=1,BH36*(nbfc_int_r_ng*(1-ladder_dpd90_ng)+nbfc_proc_fee_ng-nbfc_cof_r_ng),BH34*secured_fee_ng+BH35*(lsp_fee_ng+dlg_on_ng*dlg_fee_uplift_ng))</f>
        <v/>
      </c>
      <c r="BI58" s="32">
        <f>IF(nbfc_on_ng=1,BI36*(nbfc_int_r_ng*(1-ladder_dpd90_ng)+nbfc_proc_fee_ng-nbfc_cof_r_ng),BI34*secured_fee_ng+BI35*(lsp_fee_ng+dlg_on_ng*dlg_fee_uplift_ng))</f>
        <v/>
      </c>
      <c r="BJ58" s="32">
        <f>IF(nbfc_on_ng=1,BJ36*(nbfc_int_r_ng*(1-ladder_dpd90_ng)+nbfc_proc_fee_ng-nbfc_cof_r_ng),BJ34*secured_fee_ng+BJ35*(lsp_fee_ng+dlg_on_ng*dlg_fee_uplift_ng))</f>
        <v/>
      </c>
      <c r="BK58" s="32">
        <f>IF(nbfc_on_ng=1,BK36*(nbfc_int_r_ng*(1-ladder_dpd90_ng)+nbfc_proc_fee_ng-nbfc_cof_r_ng),BK34*secured_fee_ng+BK35*(lsp_fee_ng+dlg_on_ng*dlg_fee_uplift_ng))</f>
        <v/>
      </c>
    </row>
    <row r="59">
      <c r="A59" s="25" t="inlineStr">
        <is>
          <t>Card fees and interchange share</t>
        </is>
      </c>
      <c r="B59" s="28" t="inlineStr">
        <is>
          <t>₹</t>
        </is>
      </c>
      <c r="C59" s="30" t="n">
        <v>0</v>
      </c>
      <c r="D59" s="32">
        <f>D42*card_fee_ng+D43*card_spend_ng*card_ic_share_ng+D45*unsec_fee_ng</f>
        <v/>
      </c>
      <c r="E59" s="32">
        <f>E42*card_fee_ng+E43*card_spend_ng*card_ic_share_ng+E45*unsec_fee_ng</f>
        <v/>
      </c>
      <c r="F59" s="32">
        <f>F42*card_fee_ng+F43*card_spend_ng*card_ic_share_ng+F45*unsec_fee_ng</f>
        <v/>
      </c>
      <c r="G59" s="32">
        <f>G42*card_fee_ng+G43*card_spend_ng*card_ic_share_ng+G45*unsec_fee_ng</f>
        <v/>
      </c>
      <c r="H59" s="32">
        <f>H42*card_fee_ng+H43*card_spend_ng*card_ic_share_ng+H45*unsec_fee_ng</f>
        <v/>
      </c>
      <c r="I59" s="32">
        <f>I42*card_fee_ng+I43*card_spend_ng*card_ic_share_ng+I45*unsec_fee_ng</f>
        <v/>
      </c>
      <c r="J59" s="32">
        <f>J42*card_fee_ng+J43*card_spend_ng*card_ic_share_ng+J45*unsec_fee_ng</f>
        <v/>
      </c>
      <c r="K59" s="32">
        <f>K42*card_fee_ng+K43*card_spend_ng*card_ic_share_ng+K45*unsec_fee_ng</f>
        <v/>
      </c>
      <c r="L59" s="32">
        <f>L42*card_fee_ng+L43*card_spend_ng*card_ic_share_ng+L45*unsec_fee_ng</f>
        <v/>
      </c>
      <c r="M59" s="32">
        <f>M42*card_fee_ng+M43*card_spend_ng*card_ic_share_ng+M45*unsec_fee_ng</f>
        <v/>
      </c>
      <c r="N59" s="32">
        <f>N42*card_fee_ng+N43*card_spend_ng*card_ic_share_ng+N45*unsec_fee_ng</f>
        <v/>
      </c>
      <c r="O59" s="32">
        <f>O42*card_fee_ng+O43*card_spend_ng*card_ic_share_ng+O45*unsec_fee_ng</f>
        <v/>
      </c>
      <c r="P59" s="32">
        <f>P42*card_fee_ng+P43*card_spend_ng*card_ic_share_ng+P45*unsec_fee_ng</f>
        <v/>
      </c>
      <c r="Q59" s="32">
        <f>Q42*card_fee_ng+Q43*card_spend_ng*card_ic_share_ng+Q45*unsec_fee_ng</f>
        <v/>
      </c>
      <c r="R59" s="32">
        <f>R42*card_fee_ng+R43*card_spend_ng*card_ic_share_ng+R45*unsec_fee_ng</f>
        <v/>
      </c>
      <c r="S59" s="32">
        <f>S42*card_fee_ng+S43*card_spend_ng*card_ic_share_ng+S45*unsec_fee_ng</f>
        <v/>
      </c>
      <c r="T59" s="32">
        <f>T42*card_fee_ng+T43*card_spend_ng*card_ic_share_ng+T45*unsec_fee_ng</f>
        <v/>
      </c>
      <c r="U59" s="32">
        <f>U42*card_fee_ng+U43*card_spend_ng*card_ic_share_ng+U45*unsec_fee_ng</f>
        <v/>
      </c>
      <c r="V59" s="32">
        <f>V42*card_fee_ng+V43*card_spend_ng*card_ic_share_ng+V45*unsec_fee_ng</f>
        <v/>
      </c>
      <c r="W59" s="32">
        <f>W42*card_fee_ng+W43*card_spend_ng*card_ic_share_ng+W45*unsec_fee_ng</f>
        <v/>
      </c>
      <c r="X59" s="32">
        <f>X42*card_fee_ng+X43*card_spend_ng*card_ic_share_ng+X45*unsec_fee_ng</f>
        <v/>
      </c>
      <c r="Y59" s="32">
        <f>Y42*card_fee_ng+Y43*card_spend_ng*card_ic_share_ng+Y45*unsec_fee_ng</f>
        <v/>
      </c>
      <c r="Z59" s="32">
        <f>Z42*card_fee_ng+Z43*card_spend_ng*card_ic_share_ng+Z45*unsec_fee_ng</f>
        <v/>
      </c>
      <c r="AA59" s="32">
        <f>AA42*card_fee_ng+AA43*card_spend_ng*card_ic_share_ng+AA45*unsec_fee_ng</f>
        <v/>
      </c>
      <c r="AB59" s="32">
        <f>AB42*card_fee_ng+AB43*card_spend_ng*card_ic_share_ng+AB45*unsec_fee_ng</f>
        <v/>
      </c>
      <c r="AC59" s="32">
        <f>AC42*card_fee_ng+AC43*card_spend_ng*card_ic_share_ng+AC45*unsec_fee_ng</f>
        <v/>
      </c>
      <c r="AD59" s="32">
        <f>AD42*card_fee_ng+AD43*card_spend_ng*card_ic_share_ng+AD45*unsec_fee_ng</f>
        <v/>
      </c>
      <c r="AE59" s="32">
        <f>AE42*card_fee_ng+AE43*card_spend_ng*card_ic_share_ng+AE45*unsec_fee_ng</f>
        <v/>
      </c>
      <c r="AF59" s="32">
        <f>AF42*card_fee_ng+AF43*card_spend_ng*card_ic_share_ng+AF45*unsec_fee_ng</f>
        <v/>
      </c>
      <c r="AG59" s="32">
        <f>AG42*card_fee_ng+AG43*card_spend_ng*card_ic_share_ng+AG45*unsec_fee_ng</f>
        <v/>
      </c>
      <c r="AH59" s="32">
        <f>AH42*card_fee_ng+AH43*card_spend_ng*card_ic_share_ng+AH45*unsec_fee_ng</f>
        <v/>
      </c>
      <c r="AI59" s="32">
        <f>AI42*card_fee_ng+AI43*card_spend_ng*card_ic_share_ng+AI45*unsec_fee_ng</f>
        <v/>
      </c>
      <c r="AJ59" s="32">
        <f>AJ42*card_fee_ng+AJ43*card_spend_ng*card_ic_share_ng+AJ45*unsec_fee_ng</f>
        <v/>
      </c>
      <c r="AK59" s="32">
        <f>AK42*card_fee_ng+AK43*card_spend_ng*card_ic_share_ng+AK45*unsec_fee_ng</f>
        <v/>
      </c>
      <c r="AL59" s="32">
        <f>AL42*card_fee_ng+AL43*card_spend_ng*card_ic_share_ng+AL45*unsec_fee_ng</f>
        <v/>
      </c>
      <c r="AM59" s="32">
        <f>AM42*card_fee_ng+AM43*card_spend_ng*card_ic_share_ng+AM45*unsec_fee_ng</f>
        <v/>
      </c>
      <c r="AN59" s="32">
        <f>AN42*card_fee_ng+AN43*card_spend_ng*card_ic_share_ng+AN45*unsec_fee_ng</f>
        <v/>
      </c>
      <c r="AO59" s="32">
        <f>AO42*card_fee_ng+AO43*card_spend_ng*card_ic_share_ng+AO45*unsec_fee_ng</f>
        <v/>
      </c>
      <c r="AP59" s="32">
        <f>AP42*card_fee_ng+AP43*card_spend_ng*card_ic_share_ng+AP45*unsec_fee_ng</f>
        <v/>
      </c>
      <c r="AQ59" s="32">
        <f>AQ42*card_fee_ng+AQ43*card_spend_ng*card_ic_share_ng+AQ45*unsec_fee_ng</f>
        <v/>
      </c>
      <c r="AR59" s="32">
        <f>AR42*card_fee_ng+AR43*card_spend_ng*card_ic_share_ng+AR45*unsec_fee_ng</f>
        <v/>
      </c>
      <c r="AS59" s="32">
        <f>AS42*card_fee_ng+AS43*card_spend_ng*card_ic_share_ng+AS45*unsec_fee_ng</f>
        <v/>
      </c>
      <c r="AT59" s="32">
        <f>AT42*card_fee_ng+AT43*card_spend_ng*card_ic_share_ng+AT45*unsec_fee_ng</f>
        <v/>
      </c>
      <c r="AU59" s="32">
        <f>AU42*card_fee_ng+AU43*card_spend_ng*card_ic_share_ng+AU45*unsec_fee_ng</f>
        <v/>
      </c>
      <c r="AV59" s="32">
        <f>AV42*card_fee_ng+AV43*card_spend_ng*card_ic_share_ng+AV45*unsec_fee_ng</f>
        <v/>
      </c>
      <c r="AW59" s="32">
        <f>AW42*card_fee_ng+AW43*card_spend_ng*card_ic_share_ng+AW45*unsec_fee_ng</f>
        <v/>
      </c>
      <c r="AX59" s="32">
        <f>AX42*card_fee_ng+AX43*card_spend_ng*card_ic_share_ng+AX45*unsec_fee_ng</f>
        <v/>
      </c>
      <c r="AY59" s="32">
        <f>AY42*card_fee_ng+AY43*card_spend_ng*card_ic_share_ng+AY45*unsec_fee_ng</f>
        <v/>
      </c>
      <c r="AZ59" s="32">
        <f>AZ42*card_fee_ng+AZ43*card_spend_ng*card_ic_share_ng+AZ45*unsec_fee_ng</f>
        <v/>
      </c>
      <c r="BA59" s="32">
        <f>BA42*card_fee_ng+BA43*card_spend_ng*card_ic_share_ng+BA45*unsec_fee_ng</f>
        <v/>
      </c>
      <c r="BB59" s="32">
        <f>BB42*card_fee_ng+BB43*card_spend_ng*card_ic_share_ng+BB45*unsec_fee_ng</f>
        <v/>
      </c>
      <c r="BC59" s="32">
        <f>BC42*card_fee_ng+BC43*card_spend_ng*card_ic_share_ng+BC45*unsec_fee_ng</f>
        <v/>
      </c>
      <c r="BD59" s="32">
        <f>BD42*card_fee_ng+BD43*card_spend_ng*card_ic_share_ng+BD45*unsec_fee_ng</f>
        <v/>
      </c>
      <c r="BE59" s="32">
        <f>BE42*card_fee_ng+BE43*card_spend_ng*card_ic_share_ng+BE45*unsec_fee_ng</f>
        <v/>
      </c>
      <c r="BF59" s="32">
        <f>BF42*card_fee_ng+BF43*card_spend_ng*card_ic_share_ng+BF45*unsec_fee_ng</f>
        <v/>
      </c>
      <c r="BG59" s="32">
        <f>BG42*card_fee_ng+BG43*card_spend_ng*card_ic_share_ng+BG45*unsec_fee_ng</f>
        <v/>
      </c>
      <c r="BH59" s="32">
        <f>BH42*card_fee_ng+BH43*card_spend_ng*card_ic_share_ng+BH45*unsec_fee_ng</f>
        <v/>
      </c>
      <c r="BI59" s="32">
        <f>BI42*card_fee_ng+BI43*card_spend_ng*card_ic_share_ng+BI45*unsec_fee_ng</f>
        <v/>
      </c>
      <c r="BJ59" s="32">
        <f>BJ42*card_fee_ng+BJ43*card_spend_ng*card_ic_share_ng+BJ45*unsec_fee_ng</f>
        <v/>
      </c>
      <c r="BK59" s="32">
        <f>BK42*card_fee_ng+BK43*card_spend_ng*card_ic_share_ng+BK45*unsec_fee_ng</f>
        <v/>
      </c>
    </row>
    <row r="60">
      <c r="A60" s="25" t="inlineStr">
        <is>
          <t>SIP trail commission</t>
        </is>
      </c>
      <c r="B60" s="28" t="inlineStr">
        <is>
          <t>₹</t>
        </is>
      </c>
      <c r="C60" s="30" t="n">
        <v>0</v>
      </c>
      <c r="D60" s="32">
        <f>D49*trail_equity_ng/12</f>
        <v/>
      </c>
      <c r="E60" s="32">
        <f>E49*trail_equity_ng/12</f>
        <v/>
      </c>
      <c r="F60" s="32">
        <f>F49*trail_equity_ng/12</f>
        <v/>
      </c>
      <c r="G60" s="32">
        <f>G49*trail_equity_ng/12</f>
        <v/>
      </c>
      <c r="H60" s="32">
        <f>H49*trail_equity_ng/12</f>
        <v/>
      </c>
      <c r="I60" s="32">
        <f>I49*trail_equity_ng/12</f>
        <v/>
      </c>
      <c r="J60" s="32">
        <f>J49*trail_equity_ng/12</f>
        <v/>
      </c>
      <c r="K60" s="32">
        <f>K49*trail_equity_ng/12</f>
        <v/>
      </c>
      <c r="L60" s="32">
        <f>L49*trail_equity_ng/12</f>
        <v/>
      </c>
      <c r="M60" s="32">
        <f>M49*trail_equity_ng/12</f>
        <v/>
      </c>
      <c r="N60" s="32">
        <f>N49*trail_equity_ng/12</f>
        <v/>
      </c>
      <c r="O60" s="32">
        <f>O49*trail_equity_ng/12</f>
        <v/>
      </c>
      <c r="P60" s="32">
        <f>P49*trail_equity_ng/12</f>
        <v/>
      </c>
      <c r="Q60" s="32">
        <f>Q49*trail_equity_ng/12</f>
        <v/>
      </c>
      <c r="R60" s="32">
        <f>R49*trail_equity_ng/12</f>
        <v/>
      </c>
      <c r="S60" s="32">
        <f>S49*trail_equity_ng/12</f>
        <v/>
      </c>
      <c r="T60" s="32">
        <f>T49*trail_equity_ng/12</f>
        <v/>
      </c>
      <c r="U60" s="32">
        <f>U49*trail_equity_ng/12</f>
        <v/>
      </c>
      <c r="V60" s="32">
        <f>V49*trail_equity_ng/12</f>
        <v/>
      </c>
      <c r="W60" s="32">
        <f>W49*trail_equity_ng/12</f>
        <v/>
      </c>
      <c r="X60" s="32">
        <f>X49*trail_equity_ng/12</f>
        <v/>
      </c>
      <c r="Y60" s="32">
        <f>Y49*trail_equity_ng/12</f>
        <v/>
      </c>
      <c r="Z60" s="32">
        <f>Z49*trail_equity_ng/12</f>
        <v/>
      </c>
      <c r="AA60" s="32">
        <f>AA49*trail_equity_ng/12</f>
        <v/>
      </c>
      <c r="AB60" s="32">
        <f>AB49*trail_equity_ng/12</f>
        <v/>
      </c>
      <c r="AC60" s="32">
        <f>AC49*trail_equity_ng/12</f>
        <v/>
      </c>
      <c r="AD60" s="32">
        <f>AD49*trail_equity_ng/12</f>
        <v/>
      </c>
      <c r="AE60" s="32">
        <f>AE49*trail_equity_ng/12</f>
        <v/>
      </c>
      <c r="AF60" s="32">
        <f>AF49*trail_equity_ng/12</f>
        <v/>
      </c>
      <c r="AG60" s="32">
        <f>AG49*trail_equity_ng/12</f>
        <v/>
      </c>
      <c r="AH60" s="32">
        <f>AH49*trail_equity_ng/12</f>
        <v/>
      </c>
      <c r="AI60" s="32">
        <f>AI49*trail_equity_ng/12</f>
        <v/>
      </c>
      <c r="AJ60" s="32">
        <f>AJ49*trail_equity_ng/12</f>
        <v/>
      </c>
      <c r="AK60" s="32">
        <f>AK49*trail_equity_ng/12</f>
        <v/>
      </c>
      <c r="AL60" s="32">
        <f>AL49*trail_equity_ng/12</f>
        <v/>
      </c>
      <c r="AM60" s="32">
        <f>AM49*trail_equity_ng/12</f>
        <v/>
      </c>
      <c r="AN60" s="32">
        <f>AN49*trail_equity_ng/12</f>
        <v/>
      </c>
      <c r="AO60" s="32">
        <f>AO49*trail_equity_ng/12</f>
        <v/>
      </c>
      <c r="AP60" s="32">
        <f>AP49*trail_equity_ng/12</f>
        <v/>
      </c>
      <c r="AQ60" s="32">
        <f>AQ49*trail_equity_ng/12</f>
        <v/>
      </c>
      <c r="AR60" s="32">
        <f>AR49*trail_equity_ng/12</f>
        <v/>
      </c>
      <c r="AS60" s="32">
        <f>AS49*trail_equity_ng/12</f>
        <v/>
      </c>
      <c r="AT60" s="32">
        <f>AT49*trail_equity_ng/12</f>
        <v/>
      </c>
      <c r="AU60" s="32">
        <f>AU49*trail_equity_ng/12</f>
        <v/>
      </c>
      <c r="AV60" s="32">
        <f>AV49*trail_equity_ng/12</f>
        <v/>
      </c>
      <c r="AW60" s="32">
        <f>AW49*trail_equity_ng/12</f>
        <v/>
      </c>
      <c r="AX60" s="32">
        <f>AX49*trail_equity_ng/12</f>
        <v/>
      </c>
      <c r="AY60" s="32">
        <f>AY49*trail_equity_ng/12</f>
        <v/>
      </c>
      <c r="AZ60" s="32">
        <f>AZ49*trail_equity_ng/12</f>
        <v/>
      </c>
      <c r="BA60" s="32">
        <f>BA49*trail_equity_ng/12</f>
        <v/>
      </c>
      <c r="BB60" s="32">
        <f>BB49*trail_equity_ng/12</f>
        <v/>
      </c>
      <c r="BC60" s="32">
        <f>BC49*trail_equity_ng/12</f>
        <v/>
      </c>
      <c r="BD60" s="32">
        <f>BD49*trail_equity_ng/12</f>
        <v/>
      </c>
      <c r="BE60" s="32">
        <f>BE49*trail_equity_ng/12</f>
        <v/>
      </c>
      <c r="BF60" s="32">
        <f>BF49*trail_equity_ng/12</f>
        <v/>
      </c>
      <c r="BG60" s="32">
        <f>BG49*trail_equity_ng/12</f>
        <v/>
      </c>
      <c r="BH60" s="32">
        <f>BH49*trail_equity_ng/12</f>
        <v/>
      </c>
      <c r="BI60" s="32">
        <f>BI49*trail_equity_ng/12</f>
        <v/>
      </c>
      <c r="BJ60" s="32">
        <f>BJ49*trail_equity_ng/12</f>
        <v/>
      </c>
      <c r="BK60" s="32">
        <f>BK49*trail_equity_ng/12</f>
        <v/>
      </c>
    </row>
    <row r="61">
      <c r="A61" s="25" t="inlineStr">
        <is>
          <t>First-time investor incentive</t>
        </is>
      </c>
      <c r="B61" s="28" t="inlineStr">
        <is>
          <t>₹</t>
        </is>
      </c>
      <c r="C61" s="30" t="n">
        <v>0</v>
      </c>
      <c r="D61" s="32">
        <f>D48*first_time_share_ng*mf_incentive_ng</f>
        <v/>
      </c>
      <c r="E61" s="32">
        <f>E48*first_time_share_ng*mf_incentive_ng</f>
        <v/>
      </c>
      <c r="F61" s="32">
        <f>F48*first_time_share_ng*mf_incentive_ng</f>
        <v/>
      </c>
      <c r="G61" s="32">
        <f>G48*first_time_share_ng*mf_incentive_ng</f>
        <v/>
      </c>
      <c r="H61" s="32">
        <f>H48*first_time_share_ng*mf_incentive_ng</f>
        <v/>
      </c>
      <c r="I61" s="32">
        <f>I48*first_time_share_ng*mf_incentive_ng</f>
        <v/>
      </c>
      <c r="J61" s="32">
        <f>J48*first_time_share_ng*mf_incentive_ng</f>
        <v/>
      </c>
      <c r="K61" s="32">
        <f>K48*first_time_share_ng*mf_incentive_ng</f>
        <v/>
      </c>
      <c r="L61" s="32">
        <f>L48*first_time_share_ng*mf_incentive_ng</f>
        <v/>
      </c>
      <c r="M61" s="32">
        <f>M48*first_time_share_ng*mf_incentive_ng</f>
        <v/>
      </c>
      <c r="N61" s="32">
        <f>N48*first_time_share_ng*mf_incentive_ng</f>
        <v/>
      </c>
      <c r="O61" s="32">
        <f>O48*first_time_share_ng*mf_incentive_ng</f>
        <v/>
      </c>
      <c r="P61" s="32">
        <f>P48*first_time_share_ng*mf_incentive_ng</f>
        <v/>
      </c>
      <c r="Q61" s="32">
        <f>Q48*first_time_share_ng*mf_incentive_ng</f>
        <v/>
      </c>
      <c r="R61" s="32">
        <f>R48*first_time_share_ng*mf_incentive_ng</f>
        <v/>
      </c>
      <c r="S61" s="32">
        <f>S48*first_time_share_ng*mf_incentive_ng</f>
        <v/>
      </c>
      <c r="T61" s="32">
        <f>T48*first_time_share_ng*mf_incentive_ng</f>
        <v/>
      </c>
      <c r="U61" s="32">
        <f>U48*first_time_share_ng*mf_incentive_ng</f>
        <v/>
      </c>
      <c r="V61" s="32">
        <f>V48*first_time_share_ng*mf_incentive_ng</f>
        <v/>
      </c>
      <c r="W61" s="32">
        <f>W48*first_time_share_ng*mf_incentive_ng</f>
        <v/>
      </c>
      <c r="X61" s="32">
        <f>X48*first_time_share_ng*mf_incentive_ng</f>
        <v/>
      </c>
      <c r="Y61" s="32">
        <f>Y48*first_time_share_ng*mf_incentive_ng</f>
        <v/>
      </c>
      <c r="Z61" s="32">
        <f>Z48*first_time_share_ng*mf_incentive_ng</f>
        <v/>
      </c>
      <c r="AA61" s="32">
        <f>AA48*first_time_share_ng*mf_incentive_ng</f>
        <v/>
      </c>
      <c r="AB61" s="32">
        <f>AB48*first_time_share_ng*mf_incentive_ng</f>
        <v/>
      </c>
      <c r="AC61" s="32">
        <f>AC48*first_time_share_ng*mf_incentive_ng</f>
        <v/>
      </c>
      <c r="AD61" s="32">
        <f>AD48*first_time_share_ng*mf_incentive_ng</f>
        <v/>
      </c>
      <c r="AE61" s="32">
        <f>AE48*first_time_share_ng*mf_incentive_ng</f>
        <v/>
      </c>
      <c r="AF61" s="32">
        <f>AF48*first_time_share_ng*mf_incentive_ng</f>
        <v/>
      </c>
      <c r="AG61" s="32">
        <f>AG48*first_time_share_ng*mf_incentive_ng</f>
        <v/>
      </c>
      <c r="AH61" s="32">
        <f>AH48*first_time_share_ng*mf_incentive_ng</f>
        <v/>
      </c>
      <c r="AI61" s="32">
        <f>AI48*first_time_share_ng*mf_incentive_ng</f>
        <v/>
      </c>
      <c r="AJ61" s="32">
        <f>AJ48*first_time_share_ng*mf_incentive_ng</f>
        <v/>
      </c>
      <c r="AK61" s="32">
        <f>AK48*first_time_share_ng*mf_incentive_ng</f>
        <v/>
      </c>
      <c r="AL61" s="32">
        <f>AL48*first_time_share_ng*mf_incentive_ng</f>
        <v/>
      </c>
      <c r="AM61" s="32">
        <f>AM48*first_time_share_ng*mf_incentive_ng</f>
        <v/>
      </c>
      <c r="AN61" s="32">
        <f>AN48*first_time_share_ng*mf_incentive_ng</f>
        <v/>
      </c>
      <c r="AO61" s="32">
        <f>AO48*first_time_share_ng*mf_incentive_ng</f>
        <v/>
      </c>
      <c r="AP61" s="32">
        <f>AP48*first_time_share_ng*mf_incentive_ng</f>
        <v/>
      </c>
      <c r="AQ61" s="32">
        <f>AQ48*first_time_share_ng*mf_incentive_ng</f>
        <v/>
      </c>
      <c r="AR61" s="32">
        <f>AR48*first_time_share_ng*mf_incentive_ng</f>
        <v/>
      </c>
      <c r="AS61" s="32">
        <f>AS48*first_time_share_ng*mf_incentive_ng</f>
        <v/>
      </c>
      <c r="AT61" s="32">
        <f>AT48*first_time_share_ng*mf_incentive_ng</f>
        <v/>
      </c>
      <c r="AU61" s="32">
        <f>AU48*first_time_share_ng*mf_incentive_ng</f>
        <v/>
      </c>
      <c r="AV61" s="32">
        <f>AV48*first_time_share_ng*mf_incentive_ng</f>
        <v/>
      </c>
      <c r="AW61" s="32">
        <f>AW48*first_time_share_ng*mf_incentive_ng</f>
        <v/>
      </c>
      <c r="AX61" s="32">
        <f>AX48*first_time_share_ng*mf_incentive_ng</f>
        <v/>
      </c>
      <c r="AY61" s="32">
        <f>AY48*first_time_share_ng*mf_incentive_ng</f>
        <v/>
      </c>
      <c r="AZ61" s="32">
        <f>AZ48*first_time_share_ng*mf_incentive_ng</f>
        <v/>
      </c>
      <c r="BA61" s="32">
        <f>BA48*first_time_share_ng*mf_incentive_ng</f>
        <v/>
      </c>
      <c r="BB61" s="32">
        <f>BB48*first_time_share_ng*mf_incentive_ng</f>
        <v/>
      </c>
      <c r="BC61" s="32">
        <f>BC48*first_time_share_ng*mf_incentive_ng</f>
        <v/>
      </c>
      <c r="BD61" s="32">
        <f>BD48*first_time_share_ng*mf_incentive_ng</f>
        <v/>
      </c>
      <c r="BE61" s="32">
        <f>BE48*first_time_share_ng*mf_incentive_ng</f>
        <v/>
      </c>
      <c r="BF61" s="32">
        <f>BF48*first_time_share_ng*mf_incentive_ng</f>
        <v/>
      </c>
      <c r="BG61" s="32">
        <f>BG48*first_time_share_ng*mf_incentive_ng</f>
        <v/>
      </c>
      <c r="BH61" s="32">
        <f>BH48*first_time_share_ng*mf_incentive_ng</f>
        <v/>
      </c>
      <c r="BI61" s="32">
        <f>BI48*first_time_share_ng*mf_incentive_ng</f>
        <v/>
      </c>
      <c r="BJ61" s="32">
        <f>BJ48*first_time_share_ng*mf_incentive_ng</f>
        <v/>
      </c>
      <c r="BK61" s="32">
        <f>BK48*first_time_share_ng*mf_incentive_ng</f>
        <v/>
      </c>
    </row>
    <row r="62">
      <c r="A62" s="25" t="inlineStr">
        <is>
          <t>Insurance commission</t>
        </is>
      </c>
      <c r="B62" s="28" t="inlineStr">
        <is>
          <t>₹</t>
        </is>
      </c>
      <c r="C62" s="30" t="n">
        <v>0</v>
      </c>
      <c r="D62" s="32">
        <f>(D52*ins_comm_first_ng+D53*ins_comm_renew_ng)*ins_premium_ng</f>
        <v/>
      </c>
      <c r="E62" s="32">
        <f>(E52*ins_comm_first_ng+E53*ins_comm_renew_ng)*ins_premium_ng</f>
        <v/>
      </c>
      <c r="F62" s="32">
        <f>(F52*ins_comm_first_ng+F53*ins_comm_renew_ng)*ins_premium_ng</f>
        <v/>
      </c>
      <c r="G62" s="32">
        <f>(G52*ins_comm_first_ng+G53*ins_comm_renew_ng)*ins_premium_ng</f>
        <v/>
      </c>
      <c r="H62" s="32">
        <f>(H52*ins_comm_first_ng+H53*ins_comm_renew_ng)*ins_premium_ng</f>
        <v/>
      </c>
      <c r="I62" s="32">
        <f>(I52*ins_comm_first_ng+I53*ins_comm_renew_ng)*ins_premium_ng</f>
        <v/>
      </c>
      <c r="J62" s="32">
        <f>(J52*ins_comm_first_ng+J53*ins_comm_renew_ng)*ins_premium_ng</f>
        <v/>
      </c>
      <c r="K62" s="32">
        <f>(K52*ins_comm_first_ng+K53*ins_comm_renew_ng)*ins_premium_ng</f>
        <v/>
      </c>
      <c r="L62" s="32">
        <f>(L52*ins_comm_first_ng+L53*ins_comm_renew_ng)*ins_premium_ng</f>
        <v/>
      </c>
      <c r="M62" s="32">
        <f>(M52*ins_comm_first_ng+M53*ins_comm_renew_ng)*ins_premium_ng</f>
        <v/>
      </c>
      <c r="N62" s="32">
        <f>(N52*ins_comm_first_ng+N53*ins_comm_renew_ng)*ins_premium_ng</f>
        <v/>
      </c>
      <c r="O62" s="32">
        <f>(O52*ins_comm_first_ng+O53*ins_comm_renew_ng)*ins_premium_ng</f>
        <v/>
      </c>
      <c r="P62" s="32">
        <f>(P52*ins_comm_first_ng+P53*ins_comm_renew_ng)*ins_premium_ng</f>
        <v/>
      </c>
      <c r="Q62" s="32">
        <f>(Q52*ins_comm_first_ng+Q53*ins_comm_renew_ng)*ins_premium_ng</f>
        <v/>
      </c>
      <c r="R62" s="32">
        <f>(R52*ins_comm_first_ng+R53*ins_comm_renew_ng)*ins_premium_ng</f>
        <v/>
      </c>
      <c r="S62" s="32">
        <f>(S52*ins_comm_first_ng+S53*ins_comm_renew_ng)*ins_premium_ng</f>
        <v/>
      </c>
      <c r="T62" s="32">
        <f>(T52*ins_comm_first_ng+T53*ins_comm_renew_ng)*ins_premium_ng</f>
        <v/>
      </c>
      <c r="U62" s="32">
        <f>(U52*ins_comm_first_ng+U53*ins_comm_renew_ng)*ins_premium_ng</f>
        <v/>
      </c>
      <c r="V62" s="32">
        <f>(V52*ins_comm_first_ng+V53*ins_comm_renew_ng)*ins_premium_ng</f>
        <v/>
      </c>
      <c r="W62" s="32">
        <f>(W52*ins_comm_first_ng+W53*ins_comm_renew_ng)*ins_premium_ng</f>
        <v/>
      </c>
      <c r="X62" s="32">
        <f>(X52*ins_comm_first_ng+X53*ins_comm_renew_ng)*ins_premium_ng</f>
        <v/>
      </c>
      <c r="Y62" s="32">
        <f>(Y52*ins_comm_first_ng+Y53*ins_comm_renew_ng)*ins_premium_ng</f>
        <v/>
      </c>
      <c r="Z62" s="32">
        <f>(Z52*ins_comm_first_ng+Z53*ins_comm_renew_ng)*ins_premium_ng</f>
        <v/>
      </c>
      <c r="AA62" s="32">
        <f>(AA52*ins_comm_first_ng+AA53*ins_comm_renew_ng)*ins_premium_ng</f>
        <v/>
      </c>
      <c r="AB62" s="32">
        <f>(AB52*ins_comm_first_ng+AB53*ins_comm_renew_ng)*ins_premium_ng</f>
        <v/>
      </c>
      <c r="AC62" s="32">
        <f>(AC52*ins_comm_first_ng+AC53*ins_comm_renew_ng)*ins_premium_ng</f>
        <v/>
      </c>
      <c r="AD62" s="32">
        <f>(AD52*ins_comm_first_ng+AD53*ins_comm_renew_ng)*ins_premium_ng</f>
        <v/>
      </c>
      <c r="AE62" s="32">
        <f>(AE52*ins_comm_first_ng+AE53*ins_comm_renew_ng)*ins_premium_ng</f>
        <v/>
      </c>
      <c r="AF62" s="32">
        <f>(AF52*ins_comm_first_ng+AF53*ins_comm_renew_ng)*ins_premium_ng</f>
        <v/>
      </c>
      <c r="AG62" s="32">
        <f>(AG52*ins_comm_first_ng+AG53*ins_comm_renew_ng)*ins_premium_ng</f>
        <v/>
      </c>
      <c r="AH62" s="32">
        <f>(AH52*ins_comm_first_ng+AH53*ins_comm_renew_ng)*ins_premium_ng</f>
        <v/>
      </c>
      <c r="AI62" s="32">
        <f>(AI52*ins_comm_first_ng+AI53*ins_comm_renew_ng)*ins_premium_ng</f>
        <v/>
      </c>
      <c r="AJ62" s="32">
        <f>(AJ52*ins_comm_first_ng+AJ53*ins_comm_renew_ng)*ins_premium_ng</f>
        <v/>
      </c>
      <c r="AK62" s="32">
        <f>(AK52*ins_comm_first_ng+AK53*ins_comm_renew_ng)*ins_premium_ng</f>
        <v/>
      </c>
      <c r="AL62" s="32">
        <f>(AL52*ins_comm_first_ng+AL53*ins_comm_renew_ng)*ins_premium_ng</f>
        <v/>
      </c>
      <c r="AM62" s="32">
        <f>(AM52*ins_comm_first_ng+AM53*ins_comm_renew_ng)*ins_premium_ng</f>
        <v/>
      </c>
      <c r="AN62" s="32">
        <f>(AN52*ins_comm_first_ng+AN53*ins_comm_renew_ng)*ins_premium_ng</f>
        <v/>
      </c>
      <c r="AO62" s="32">
        <f>(AO52*ins_comm_first_ng+AO53*ins_comm_renew_ng)*ins_premium_ng</f>
        <v/>
      </c>
      <c r="AP62" s="32">
        <f>(AP52*ins_comm_first_ng+AP53*ins_comm_renew_ng)*ins_premium_ng</f>
        <v/>
      </c>
      <c r="AQ62" s="32">
        <f>(AQ52*ins_comm_first_ng+AQ53*ins_comm_renew_ng)*ins_premium_ng</f>
        <v/>
      </c>
      <c r="AR62" s="32">
        <f>(AR52*ins_comm_first_ng+AR53*ins_comm_renew_ng)*ins_premium_ng</f>
        <v/>
      </c>
      <c r="AS62" s="32">
        <f>(AS52*ins_comm_first_ng+AS53*ins_comm_renew_ng)*ins_premium_ng</f>
        <v/>
      </c>
      <c r="AT62" s="32">
        <f>(AT52*ins_comm_first_ng+AT53*ins_comm_renew_ng)*ins_premium_ng</f>
        <v/>
      </c>
      <c r="AU62" s="32">
        <f>(AU52*ins_comm_first_ng+AU53*ins_comm_renew_ng)*ins_premium_ng</f>
        <v/>
      </c>
      <c r="AV62" s="32">
        <f>(AV52*ins_comm_first_ng+AV53*ins_comm_renew_ng)*ins_premium_ng</f>
        <v/>
      </c>
      <c r="AW62" s="32">
        <f>(AW52*ins_comm_first_ng+AW53*ins_comm_renew_ng)*ins_premium_ng</f>
        <v/>
      </c>
      <c r="AX62" s="32">
        <f>(AX52*ins_comm_first_ng+AX53*ins_comm_renew_ng)*ins_premium_ng</f>
        <v/>
      </c>
      <c r="AY62" s="32">
        <f>(AY52*ins_comm_first_ng+AY53*ins_comm_renew_ng)*ins_premium_ng</f>
        <v/>
      </c>
      <c r="AZ62" s="32">
        <f>(AZ52*ins_comm_first_ng+AZ53*ins_comm_renew_ng)*ins_premium_ng</f>
        <v/>
      </c>
      <c r="BA62" s="32">
        <f>(BA52*ins_comm_first_ng+BA53*ins_comm_renew_ng)*ins_premium_ng</f>
        <v/>
      </c>
      <c r="BB62" s="32">
        <f>(BB52*ins_comm_first_ng+BB53*ins_comm_renew_ng)*ins_premium_ng</f>
        <v/>
      </c>
      <c r="BC62" s="32">
        <f>(BC52*ins_comm_first_ng+BC53*ins_comm_renew_ng)*ins_premium_ng</f>
        <v/>
      </c>
      <c r="BD62" s="32">
        <f>(BD52*ins_comm_first_ng+BD53*ins_comm_renew_ng)*ins_premium_ng</f>
        <v/>
      </c>
      <c r="BE62" s="32">
        <f>(BE52*ins_comm_first_ng+BE53*ins_comm_renew_ng)*ins_premium_ng</f>
        <v/>
      </c>
      <c r="BF62" s="32">
        <f>(BF52*ins_comm_first_ng+BF53*ins_comm_renew_ng)*ins_premium_ng</f>
        <v/>
      </c>
      <c r="BG62" s="32">
        <f>(BG52*ins_comm_first_ng+BG53*ins_comm_renew_ng)*ins_premium_ng</f>
        <v/>
      </c>
      <c r="BH62" s="32">
        <f>(BH52*ins_comm_first_ng+BH53*ins_comm_renew_ng)*ins_premium_ng</f>
        <v/>
      </c>
      <c r="BI62" s="32">
        <f>(BI52*ins_comm_first_ng+BI53*ins_comm_renew_ng)*ins_premium_ng</f>
        <v/>
      </c>
      <c r="BJ62" s="32">
        <f>(BJ52*ins_comm_first_ng+BJ53*ins_comm_renew_ng)*ins_premium_ng</f>
        <v/>
      </c>
      <c r="BK62" s="32">
        <f>(BK52*ins_comm_first_ng+BK53*ins_comm_renew_ng)*ins_premium_ng</f>
        <v/>
      </c>
    </row>
    <row r="63">
      <c r="A63" s="2" t="inlineStr">
        <is>
          <t>Total revenue</t>
        </is>
      </c>
      <c r="B63" s="28" t="inlineStr">
        <is>
          <t>₹</t>
        </is>
      </c>
      <c r="C63" s="30" t="n">
        <v>0</v>
      </c>
      <c r="D63" s="27">
        <f>D55+D56+D57+D58+D59+D60+D61+D62</f>
        <v/>
      </c>
      <c r="E63" s="27">
        <f>E55+E56+E57+E58+E59+E60+E61+E62</f>
        <v/>
      </c>
      <c r="F63" s="27">
        <f>F55+F56+F57+F58+F59+F60+F61+F62</f>
        <v/>
      </c>
      <c r="G63" s="27">
        <f>G55+G56+G57+G58+G59+G60+G61+G62</f>
        <v/>
      </c>
      <c r="H63" s="27">
        <f>H55+H56+H57+H58+H59+H60+H61+H62</f>
        <v/>
      </c>
      <c r="I63" s="27">
        <f>I55+I56+I57+I58+I59+I60+I61+I62</f>
        <v/>
      </c>
      <c r="J63" s="27">
        <f>J55+J56+J57+J58+J59+J60+J61+J62</f>
        <v/>
      </c>
      <c r="K63" s="27">
        <f>K55+K56+K57+K58+K59+K60+K61+K62</f>
        <v/>
      </c>
      <c r="L63" s="27">
        <f>L55+L56+L57+L58+L59+L60+L61+L62</f>
        <v/>
      </c>
      <c r="M63" s="27">
        <f>M55+M56+M57+M58+M59+M60+M61+M62</f>
        <v/>
      </c>
      <c r="N63" s="27">
        <f>N55+N56+N57+N58+N59+N60+N61+N62</f>
        <v/>
      </c>
      <c r="O63" s="27">
        <f>O55+O56+O57+O58+O59+O60+O61+O62</f>
        <v/>
      </c>
      <c r="P63" s="27">
        <f>P55+P56+P57+P58+P59+P60+P61+P62</f>
        <v/>
      </c>
      <c r="Q63" s="27">
        <f>Q55+Q56+Q57+Q58+Q59+Q60+Q61+Q62</f>
        <v/>
      </c>
      <c r="R63" s="27">
        <f>R55+R56+R57+R58+R59+R60+R61+R62</f>
        <v/>
      </c>
      <c r="S63" s="27">
        <f>S55+S56+S57+S58+S59+S60+S61+S62</f>
        <v/>
      </c>
      <c r="T63" s="27">
        <f>T55+T56+T57+T58+T59+T60+T61+T62</f>
        <v/>
      </c>
      <c r="U63" s="27">
        <f>U55+U56+U57+U58+U59+U60+U61+U62</f>
        <v/>
      </c>
      <c r="V63" s="27">
        <f>V55+V56+V57+V58+V59+V60+V61+V62</f>
        <v/>
      </c>
      <c r="W63" s="27">
        <f>W55+W56+W57+W58+W59+W60+W61+W62</f>
        <v/>
      </c>
      <c r="X63" s="27">
        <f>X55+X56+X57+X58+X59+X60+X61+X62</f>
        <v/>
      </c>
      <c r="Y63" s="27">
        <f>Y55+Y56+Y57+Y58+Y59+Y60+Y61+Y62</f>
        <v/>
      </c>
      <c r="Z63" s="27">
        <f>Z55+Z56+Z57+Z58+Z59+Z60+Z61+Z62</f>
        <v/>
      </c>
      <c r="AA63" s="27">
        <f>AA55+AA56+AA57+AA58+AA59+AA60+AA61+AA62</f>
        <v/>
      </c>
      <c r="AB63" s="27">
        <f>AB55+AB56+AB57+AB58+AB59+AB60+AB61+AB62</f>
        <v/>
      </c>
      <c r="AC63" s="27">
        <f>AC55+AC56+AC57+AC58+AC59+AC60+AC61+AC62</f>
        <v/>
      </c>
      <c r="AD63" s="27">
        <f>AD55+AD56+AD57+AD58+AD59+AD60+AD61+AD62</f>
        <v/>
      </c>
      <c r="AE63" s="27">
        <f>AE55+AE56+AE57+AE58+AE59+AE60+AE61+AE62</f>
        <v/>
      </c>
      <c r="AF63" s="27">
        <f>AF55+AF56+AF57+AF58+AF59+AF60+AF61+AF62</f>
        <v/>
      </c>
      <c r="AG63" s="27">
        <f>AG55+AG56+AG57+AG58+AG59+AG60+AG61+AG62</f>
        <v/>
      </c>
      <c r="AH63" s="27">
        <f>AH55+AH56+AH57+AH58+AH59+AH60+AH61+AH62</f>
        <v/>
      </c>
      <c r="AI63" s="27">
        <f>AI55+AI56+AI57+AI58+AI59+AI60+AI61+AI62</f>
        <v/>
      </c>
      <c r="AJ63" s="27">
        <f>AJ55+AJ56+AJ57+AJ58+AJ59+AJ60+AJ61+AJ62</f>
        <v/>
      </c>
      <c r="AK63" s="27">
        <f>AK55+AK56+AK57+AK58+AK59+AK60+AK61+AK62</f>
        <v/>
      </c>
      <c r="AL63" s="27">
        <f>AL55+AL56+AL57+AL58+AL59+AL60+AL61+AL62</f>
        <v/>
      </c>
      <c r="AM63" s="27">
        <f>AM55+AM56+AM57+AM58+AM59+AM60+AM61+AM62</f>
        <v/>
      </c>
      <c r="AN63" s="27">
        <f>AN55+AN56+AN57+AN58+AN59+AN60+AN61+AN62</f>
        <v/>
      </c>
      <c r="AO63" s="27">
        <f>AO55+AO56+AO57+AO58+AO59+AO60+AO61+AO62</f>
        <v/>
      </c>
      <c r="AP63" s="27">
        <f>AP55+AP56+AP57+AP58+AP59+AP60+AP61+AP62</f>
        <v/>
      </c>
      <c r="AQ63" s="27">
        <f>AQ55+AQ56+AQ57+AQ58+AQ59+AQ60+AQ61+AQ62</f>
        <v/>
      </c>
      <c r="AR63" s="27">
        <f>AR55+AR56+AR57+AR58+AR59+AR60+AR61+AR62</f>
        <v/>
      </c>
      <c r="AS63" s="27">
        <f>AS55+AS56+AS57+AS58+AS59+AS60+AS61+AS62</f>
        <v/>
      </c>
      <c r="AT63" s="27">
        <f>AT55+AT56+AT57+AT58+AT59+AT60+AT61+AT62</f>
        <v/>
      </c>
      <c r="AU63" s="27">
        <f>AU55+AU56+AU57+AU58+AU59+AU60+AU61+AU62</f>
        <v/>
      </c>
      <c r="AV63" s="27">
        <f>AV55+AV56+AV57+AV58+AV59+AV60+AV61+AV62</f>
        <v/>
      </c>
      <c r="AW63" s="27">
        <f>AW55+AW56+AW57+AW58+AW59+AW60+AW61+AW62</f>
        <v/>
      </c>
      <c r="AX63" s="27">
        <f>AX55+AX56+AX57+AX58+AX59+AX60+AX61+AX62</f>
        <v/>
      </c>
      <c r="AY63" s="27">
        <f>AY55+AY56+AY57+AY58+AY59+AY60+AY61+AY62</f>
        <v/>
      </c>
      <c r="AZ63" s="27">
        <f>AZ55+AZ56+AZ57+AZ58+AZ59+AZ60+AZ61+AZ62</f>
        <v/>
      </c>
      <c r="BA63" s="27">
        <f>BA55+BA56+BA57+BA58+BA59+BA60+BA61+BA62</f>
        <v/>
      </c>
      <c r="BB63" s="27">
        <f>BB55+BB56+BB57+BB58+BB59+BB60+BB61+BB62</f>
        <v/>
      </c>
      <c r="BC63" s="27">
        <f>BC55+BC56+BC57+BC58+BC59+BC60+BC61+BC62</f>
        <v/>
      </c>
      <c r="BD63" s="27">
        <f>BD55+BD56+BD57+BD58+BD59+BD60+BD61+BD62</f>
        <v/>
      </c>
      <c r="BE63" s="27">
        <f>BE55+BE56+BE57+BE58+BE59+BE60+BE61+BE62</f>
        <v/>
      </c>
      <c r="BF63" s="27">
        <f>BF55+BF56+BF57+BF58+BF59+BF60+BF61+BF62</f>
        <v/>
      </c>
      <c r="BG63" s="27">
        <f>BG55+BG56+BG57+BG58+BG59+BG60+BG61+BG62</f>
        <v/>
      </c>
      <c r="BH63" s="27">
        <f>BH55+BH56+BH57+BH58+BH59+BH60+BH61+BH62</f>
        <v/>
      </c>
      <c r="BI63" s="27">
        <f>BI55+BI56+BI57+BI58+BI59+BI60+BI61+BI62</f>
        <v/>
      </c>
      <c r="BJ63" s="27">
        <f>BJ55+BJ56+BJ57+BJ58+BJ59+BJ60+BJ61+BJ62</f>
        <v/>
      </c>
      <c r="BK63" s="27">
        <f>BK55+BK56+BK57+BK58+BK59+BK60+BK61+BK62</f>
        <v/>
      </c>
    </row>
    <row r="64">
      <c r="A64" s="6" t="inlineStr">
        <is>
          <t>Variable cost</t>
        </is>
      </c>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c r="AA64" s="7" t="n"/>
      <c r="AB64" s="7" t="n"/>
      <c r="AC64" s="7" t="n"/>
      <c r="AD64" s="7" t="n"/>
      <c r="AE64" s="7" t="n"/>
      <c r="AF64" s="7" t="n"/>
      <c r="AG64" s="7" t="n"/>
      <c r="AH64" s="7" t="n"/>
      <c r="AI64" s="7" t="n"/>
      <c r="AJ64" s="7" t="n"/>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7" t="n"/>
    </row>
    <row r="65">
      <c r="A65" s="25" t="inlineStr">
        <is>
          <t>Loans: our cost (+ losses we bear under a guarantee or own NBFC)</t>
        </is>
      </c>
      <c r="B65" s="28" t="inlineStr">
        <is>
          <t>₹</t>
        </is>
      </c>
      <c r="C65" s="30" t="n">
        <v>0</v>
      </c>
      <c r="D65" s="32">
        <f>IF(nbfc_on_ng=1,D35*loan_lost_ng+D31*(loan_ops_cost_ng+service_cost_ng),D31*loan_ops_cost_ng+dlg_on_ng*(MIN(loan_lost_ng,dlg_cap_ng)*D35+(D26+D27+D29)*service_cost_ng))</f>
        <v/>
      </c>
      <c r="E65" s="32">
        <f>IF(nbfc_on_ng=1,E35*loan_lost_ng+E31*(loan_ops_cost_ng+service_cost_ng),E31*loan_ops_cost_ng+dlg_on_ng*(MIN(loan_lost_ng,dlg_cap_ng)*E35+(E26+E27+E29)*service_cost_ng))</f>
        <v/>
      </c>
      <c r="F65" s="32">
        <f>IF(nbfc_on_ng=1,F35*loan_lost_ng+F31*(loan_ops_cost_ng+service_cost_ng),F31*loan_ops_cost_ng+dlg_on_ng*(MIN(loan_lost_ng,dlg_cap_ng)*F35+(F26+F27+F29)*service_cost_ng))</f>
        <v/>
      </c>
      <c r="G65" s="32">
        <f>IF(nbfc_on_ng=1,G35*loan_lost_ng+G31*(loan_ops_cost_ng+service_cost_ng),G31*loan_ops_cost_ng+dlg_on_ng*(MIN(loan_lost_ng,dlg_cap_ng)*G35+(G26+G27+G29)*service_cost_ng))</f>
        <v/>
      </c>
      <c r="H65" s="32">
        <f>IF(nbfc_on_ng=1,H35*loan_lost_ng+H31*(loan_ops_cost_ng+service_cost_ng),H31*loan_ops_cost_ng+dlg_on_ng*(MIN(loan_lost_ng,dlg_cap_ng)*H35+(H26+H27+H29)*service_cost_ng))</f>
        <v/>
      </c>
      <c r="I65" s="32">
        <f>IF(nbfc_on_ng=1,I35*loan_lost_ng+I31*(loan_ops_cost_ng+service_cost_ng),I31*loan_ops_cost_ng+dlg_on_ng*(MIN(loan_lost_ng,dlg_cap_ng)*I35+(I26+I27+I29)*service_cost_ng))</f>
        <v/>
      </c>
      <c r="J65" s="32">
        <f>IF(nbfc_on_ng=1,J35*loan_lost_ng+J31*(loan_ops_cost_ng+service_cost_ng),J31*loan_ops_cost_ng+dlg_on_ng*(MIN(loan_lost_ng,dlg_cap_ng)*J35+(J26+J27+J29)*service_cost_ng))</f>
        <v/>
      </c>
      <c r="K65" s="32">
        <f>IF(nbfc_on_ng=1,K35*loan_lost_ng+K31*(loan_ops_cost_ng+service_cost_ng),K31*loan_ops_cost_ng+dlg_on_ng*(MIN(loan_lost_ng,dlg_cap_ng)*K35+(K26+K27+K29)*service_cost_ng))</f>
        <v/>
      </c>
      <c r="L65" s="32">
        <f>IF(nbfc_on_ng=1,L35*loan_lost_ng+L31*(loan_ops_cost_ng+service_cost_ng),L31*loan_ops_cost_ng+dlg_on_ng*(MIN(loan_lost_ng,dlg_cap_ng)*L35+(L26+L27+L29)*service_cost_ng))</f>
        <v/>
      </c>
      <c r="M65" s="32">
        <f>IF(nbfc_on_ng=1,M35*loan_lost_ng+M31*(loan_ops_cost_ng+service_cost_ng),M31*loan_ops_cost_ng+dlg_on_ng*(MIN(loan_lost_ng,dlg_cap_ng)*M35+(M26+M27+M29)*service_cost_ng))</f>
        <v/>
      </c>
      <c r="N65" s="32">
        <f>IF(nbfc_on_ng=1,N35*loan_lost_ng+N31*(loan_ops_cost_ng+service_cost_ng),N31*loan_ops_cost_ng+dlg_on_ng*(MIN(loan_lost_ng,dlg_cap_ng)*N35+(N26+N27+N29)*service_cost_ng))</f>
        <v/>
      </c>
      <c r="O65" s="32">
        <f>IF(nbfc_on_ng=1,O35*loan_lost_ng+O31*(loan_ops_cost_ng+service_cost_ng),O31*loan_ops_cost_ng+dlg_on_ng*(MIN(loan_lost_ng,dlg_cap_ng)*O35+(O26+O27+O29)*service_cost_ng))</f>
        <v/>
      </c>
      <c r="P65" s="32">
        <f>IF(nbfc_on_ng=1,P35*loan_lost_ng+P31*(loan_ops_cost_ng+service_cost_ng),P31*loan_ops_cost_ng+dlg_on_ng*(MIN(loan_lost_ng,dlg_cap_ng)*P35+(P26+P27+P29)*service_cost_ng))</f>
        <v/>
      </c>
      <c r="Q65" s="32">
        <f>IF(nbfc_on_ng=1,Q35*loan_lost_ng+Q31*(loan_ops_cost_ng+service_cost_ng),Q31*loan_ops_cost_ng+dlg_on_ng*(MIN(loan_lost_ng,dlg_cap_ng)*Q35+(Q26+Q27+Q29)*service_cost_ng))</f>
        <v/>
      </c>
      <c r="R65" s="32">
        <f>IF(nbfc_on_ng=1,R35*loan_lost_ng+R31*(loan_ops_cost_ng+service_cost_ng),R31*loan_ops_cost_ng+dlg_on_ng*(MIN(loan_lost_ng,dlg_cap_ng)*R35+(R26+R27+R29)*service_cost_ng))</f>
        <v/>
      </c>
      <c r="S65" s="32">
        <f>IF(nbfc_on_ng=1,S35*loan_lost_ng+S31*(loan_ops_cost_ng+service_cost_ng),S31*loan_ops_cost_ng+dlg_on_ng*(MIN(loan_lost_ng,dlg_cap_ng)*S35+(S26+S27+S29)*service_cost_ng))</f>
        <v/>
      </c>
      <c r="T65" s="32">
        <f>IF(nbfc_on_ng=1,T35*loan_lost_ng+T31*(loan_ops_cost_ng+service_cost_ng),T31*loan_ops_cost_ng+dlg_on_ng*(MIN(loan_lost_ng,dlg_cap_ng)*T35+(T26+T27+T29)*service_cost_ng))</f>
        <v/>
      </c>
      <c r="U65" s="32">
        <f>IF(nbfc_on_ng=1,U35*loan_lost_ng+U31*(loan_ops_cost_ng+service_cost_ng),U31*loan_ops_cost_ng+dlg_on_ng*(MIN(loan_lost_ng,dlg_cap_ng)*U35+(U26+U27+U29)*service_cost_ng))</f>
        <v/>
      </c>
      <c r="V65" s="32">
        <f>IF(nbfc_on_ng=1,V35*loan_lost_ng+V31*(loan_ops_cost_ng+service_cost_ng),V31*loan_ops_cost_ng+dlg_on_ng*(MIN(loan_lost_ng,dlg_cap_ng)*V35+(V26+V27+V29)*service_cost_ng))</f>
        <v/>
      </c>
      <c r="W65" s="32">
        <f>IF(nbfc_on_ng=1,W35*loan_lost_ng+W31*(loan_ops_cost_ng+service_cost_ng),W31*loan_ops_cost_ng+dlg_on_ng*(MIN(loan_lost_ng,dlg_cap_ng)*W35+(W26+W27+W29)*service_cost_ng))</f>
        <v/>
      </c>
      <c r="X65" s="32">
        <f>IF(nbfc_on_ng=1,X35*loan_lost_ng+X31*(loan_ops_cost_ng+service_cost_ng),X31*loan_ops_cost_ng+dlg_on_ng*(MIN(loan_lost_ng,dlg_cap_ng)*X35+(X26+X27+X29)*service_cost_ng))</f>
        <v/>
      </c>
      <c r="Y65" s="32">
        <f>IF(nbfc_on_ng=1,Y35*loan_lost_ng+Y31*(loan_ops_cost_ng+service_cost_ng),Y31*loan_ops_cost_ng+dlg_on_ng*(MIN(loan_lost_ng,dlg_cap_ng)*Y35+(Y26+Y27+Y29)*service_cost_ng))</f>
        <v/>
      </c>
      <c r="Z65" s="32">
        <f>IF(nbfc_on_ng=1,Z35*loan_lost_ng+Z31*(loan_ops_cost_ng+service_cost_ng),Z31*loan_ops_cost_ng+dlg_on_ng*(MIN(loan_lost_ng,dlg_cap_ng)*Z35+(Z26+Z27+Z29)*service_cost_ng))</f>
        <v/>
      </c>
      <c r="AA65" s="32">
        <f>IF(nbfc_on_ng=1,AA35*loan_lost_ng+AA31*(loan_ops_cost_ng+service_cost_ng),AA31*loan_ops_cost_ng+dlg_on_ng*(MIN(loan_lost_ng,dlg_cap_ng)*AA35+(AA26+AA27+AA29)*service_cost_ng))</f>
        <v/>
      </c>
      <c r="AB65" s="32">
        <f>IF(nbfc_on_ng=1,AB35*loan_lost_ng+AB31*(loan_ops_cost_ng+service_cost_ng),AB31*loan_ops_cost_ng+dlg_on_ng*(MIN(loan_lost_ng,dlg_cap_ng)*AB35+(AB26+AB27+AB29)*service_cost_ng))</f>
        <v/>
      </c>
      <c r="AC65" s="32">
        <f>IF(nbfc_on_ng=1,AC35*loan_lost_ng+AC31*(loan_ops_cost_ng+service_cost_ng),AC31*loan_ops_cost_ng+dlg_on_ng*(MIN(loan_lost_ng,dlg_cap_ng)*AC35+(AC26+AC27+AC29)*service_cost_ng))</f>
        <v/>
      </c>
      <c r="AD65" s="32">
        <f>IF(nbfc_on_ng=1,AD35*loan_lost_ng+AD31*(loan_ops_cost_ng+service_cost_ng),AD31*loan_ops_cost_ng+dlg_on_ng*(MIN(loan_lost_ng,dlg_cap_ng)*AD35+(AD26+AD27+AD29)*service_cost_ng))</f>
        <v/>
      </c>
      <c r="AE65" s="32">
        <f>IF(nbfc_on_ng=1,AE35*loan_lost_ng+AE31*(loan_ops_cost_ng+service_cost_ng),AE31*loan_ops_cost_ng+dlg_on_ng*(MIN(loan_lost_ng,dlg_cap_ng)*AE35+(AE26+AE27+AE29)*service_cost_ng))</f>
        <v/>
      </c>
      <c r="AF65" s="32">
        <f>IF(nbfc_on_ng=1,AF35*loan_lost_ng+AF31*(loan_ops_cost_ng+service_cost_ng),AF31*loan_ops_cost_ng+dlg_on_ng*(MIN(loan_lost_ng,dlg_cap_ng)*AF35+(AF26+AF27+AF29)*service_cost_ng))</f>
        <v/>
      </c>
      <c r="AG65" s="32">
        <f>IF(nbfc_on_ng=1,AG35*loan_lost_ng+AG31*(loan_ops_cost_ng+service_cost_ng),AG31*loan_ops_cost_ng+dlg_on_ng*(MIN(loan_lost_ng,dlg_cap_ng)*AG35+(AG26+AG27+AG29)*service_cost_ng))</f>
        <v/>
      </c>
      <c r="AH65" s="32">
        <f>IF(nbfc_on_ng=1,AH35*loan_lost_ng+AH31*(loan_ops_cost_ng+service_cost_ng),AH31*loan_ops_cost_ng+dlg_on_ng*(MIN(loan_lost_ng,dlg_cap_ng)*AH35+(AH26+AH27+AH29)*service_cost_ng))</f>
        <v/>
      </c>
      <c r="AI65" s="32">
        <f>IF(nbfc_on_ng=1,AI35*loan_lost_ng+AI31*(loan_ops_cost_ng+service_cost_ng),AI31*loan_ops_cost_ng+dlg_on_ng*(MIN(loan_lost_ng,dlg_cap_ng)*AI35+(AI26+AI27+AI29)*service_cost_ng))</f>
        <v/>
      </c>
      <c r="AJ65" s="32">
        <f>IF(nbfc_on_ng=1,AJ35*loan_lost_ng+AJ31*(loan_ops_cost_ng+service_cost_ng),AJ31*loan_ops_cost_ng+dlg_on_ng*(MIN(loan_lost_ng,dlg_cap_ng)*AJ35+(AJ26+AJ27+AJ29)*service_cost_ng))</f>
        <v/>
      </c>
      <c r="AK65" s="32">
        <f>IF(nbfc_on_ng=1,AK35*loan_lost_ng+AK31*(loan_ops_cost_ng+service_cost_ng),AK31*loan_ops_cost_ng+dlg_on_ng*(MIN(loan_lost_ng,dlg_cap_ng)*AK35+(AK26+AK27+AK29)*service_cost_ng))</f>
        <v/>
      </c>
      <c r="AL65" s="32">
        <f>IF(nbfc_on_ng=1,AL35*loan_lost_ng+AL31*(loan_ops_cost_ng+service_cost_ng),AL31*loan_ops_cost_ng+dlg_on_ng*(MIN(loan_lost_ng,dlg_cap_ng)*AL35+(AL26+AL27+AL29)*service_cost_ng))</f>
        <v/>
      </c>
      <c r="AM65" s="32">
        <f>IF(nbfc_on_ng=1,AM35*loan_lost_ng+AM31*(loan_ops_cost_ng+service_cost_ng),AM31*loan_ops_cost_ng+dlg_on_ng*(MIN(loan_lost_ng,dlg_cap_ng)*AM35+(AM26+AM27+AM29)*service_cost_ng))</f>
        <v/>
      </c>
      <c r="AN65" s="32">
        <f>IF(nbfc_on_ng=1,AN35*loan_lost_ng+AN31*(loan_ops_cost_ng+service_cost_ng),AN31*loan_ops_cost_ng+dlg_on_ng*(MIN(loan_lost_ng,dlg_cap_ng)*AN35+(AN26+AN27+AN29)*service_cost_ng))</f>
        <v/>
      </c>
      <c r="AO65" s="32">
        <f>IF(nbfc_on_ng=1,AO35*loan_lost_ng+AO31*(loan_ops_cost_ng+service_cost_ng),AO31*loan_ops_cost_ng+dlg_on_ng*(MIN(loan_lost_ng,dlg_cap_ng)*AO35+(AO26+AO27+AO29)*service_cost_ng))</f>
        <v/>
      </c>
      <c r="AP65" s="32">
        <f>IF(nbfc_on_ng=1,AP35*loan_lost_ng+AP31*(loan_ops_cost_ng+service_cost_ng),AP31*loan_ops_cost_ng+dlg_on_ng*(MIN(loan_lost_ng,dlg_cap_ng)*AP35+(AP26+AP27+AP29)*service_cost_ng))</f>
        <v/>
      </c>
      <c r="AQ65" s="32">
        <f>IF(nbfc_on_ng=1,AQ35*loan_lost_ng+AQ31*(loan_ops_cost_ng+service_cost_ng),AQ31*loan_ops_cost_ng+dlg_on_ng*(MIN(loan_lost_ng,dlg_cap_ng)*AQ35+(AQ26+AQ27+AQ29)*service_cost_ng))</f>
        <v/>
      </c>
      <c r="AR65" s="32">
        <f>IF(nbfc_on_ng=1,AR35*loan_lost_ng+AR31*(loan_ops_cost_ng+service_cost_ng),AR31*loan_ops_cost_ng+dlg_on_ng*(MIN(loan_lost_ng,dlg_cap_ng)*AR35+(AR26+AR27+AR29)*service_cost_ng))</f>
        <v/>
      </c>
      <c r="AS65" s="32">
        <f>IF(nbfc_on_ng=1,AS35*loan_lost_ng+AS31*(loan_ops_cost_ng+service_cost_ng),AS31*loan_ops_cost_ng+dlg_on_ng*(MIN(loan_lost_ng,dlg_cap_ng)*AS35+(AS26+AS27+AS29)*service_cost_ng))</f>
        <v/>
      </c>
      <c r="AT65" s="32">
        <f>IF(nbfc_on_ng=1,AT35*loan_lost_ng+AT31*(loan_ops_cost_ng+service_cost_ng),AT31*loan_ops_cost_ng+dlg_on_ng*(MIN(loan_lost_ng,dlg_cap_ng)*AT35+(AT26+AT27+AT29)*service_cost_ng))</f>
        <v/>
      </c>
      <c r="AU65" s="32">
        <f>IF(nbfc_on_ng=1,AU35*loan_lost_ng+AU31*(loan_ops_cost_ng+service_cost_ng),AU31*loan_ops_cost_ng+dlg_on_ng*(MIN(loan_lost_ng,dlg_cap_ng)*AU35+(AU26+AU27+AU29)*service_cost_ng))</f>
        <v/>
      </c>
      <c r="AV65" s="32">
        <f>IF(nbfc_on_ng=1,AV35*loan_lost_ng+AV31*(loan_ops_cost_ng+service_cost_ng),AV31*loan_ops_cost_ng+dlg_on_ng*(MIN(loan_lost_ng,dlg_cap_ng)*AV35+(AV26+AV27+AV29)*service_cost_ng))</f>
        <v/>
      </c>
      <c r="AW65" s="32">
        <f>IF(nbfc_on_ng=1,AW35*loan_lost_ng+AW31*(loan_ops_cost_ng+service_cost_ng),AW31*loan_ops_cost_ng+dlg_on_ng*(MIN(loan_lost_ng,dlg_cap_ng)*AW35+(AW26+AW27+AW29)*service_cost_ng))</f>
        <v/>
      </c>
      <c r="AX65" s="32">
        <f>IF(nbfc_on_ng=1,AX35*loan_lost_ng+AX31*(loan_ops_cost_ng+service_cost_ng),AX31*loan_ops_cost_ng+dlg_on_ng*(MIN(loan_lost_ng,dlg_cap_ng)*AX35+(AX26+AX27+AX29)*service_cost_ng))</f>
        <v/>
      </c>
      <c r="AY65" s="32">
        <f>IF(nbfc_on_ng=1,AY35*loan_lost_ng+AY31*(loan_ops_cost_ng+service_cost_ng),AY31*loan_ops_cost_ng+dlg_on_ng*(MIN(loan_lost_ng,dlg_cap_ng)*AY35+(AY26+AY27+AY29)*service_cost_ng))</f>
        <v/>
      </c>
      <c r="AZ65" s="32">
        <f>IF(nbfc_on_ng=1,AZ35*loan_lost_ng+AZ31*(loan_ops_cost_ng+service_cost_ng),AZ31*loan_ops_cost_ng+dlg_on_ng*(MIN(loan_lost_ng,dlg_cap_ng)*AZ35+(AZ26+AZ27+AZ29)*service_cost_ng))</f>
        <v/>
      </c>
      <c r="BA65" s="32">
        <f>IF(nbfc_on_ng=1,BA35*loan_lost_ng+BA31*(loan_ops_cost_ng+service_cost_ng),BA31*loan_ops_cost_ng+dlg_on_ng*(MIN(loan_lost_ng,dlg_cap_ng)*BA35+(BA26+BA27+BA29)*service_cost_ng))</f>
        <v/>
      </c>
      <c r="BB65" s="32">
        <f>IF(nbfc_on_ng=1,BB35*loan_lost_ng+BB31*(loan_ops_cost_ng+service_cost_ng),BB31*loan_ops_cost_ng+dlg_on_ng*(MIN(loan_lost_ng,dlg_cap_ng)*BB35+(BB26+BB27+BB29)*service_cost_ng))</f>
        <v/>
      </c>
      <c r="BC65" s="32">
        <f>IF(nbfc_on_ng=1,BC35*loan_lost_ng+BC31*(loan_ops_cost_ng+service_cost_ng),BC31*loan_ops_cost_ng+dlg_on_ng*(MIN(loan_lost_ng,dlg_cap_ng)*BC35+(BC26+BC27+BC29)*service_cost_ng))</f>
        <v/>
      </c>
      <c r="BD65" s="32">
        <f>IF(nbfc_on_ng=1,BD35*loan_lost_ng+BD31*(loan_ops_cost_ng+service_cost_ng),BD31*loan_ops_cost_ng+dlg_on_ng*(MIN(loan_lost_ng,dlg_cap_ng)*BD35+(BD26+BD27+BD29)*service_cost_ng))</f>
        <v/>
      </c>
      <c r="BE65" s="32">
        <f>IF(nbfc_on_ng=1,BE35*loan_lost_ng+BE31*(loan_ops_cost_ng+service_cost_ng),BE31*loan_ops_cost_ng+dlg_on_ng*(MIN(loan_lost_ng,dlg_cap_ng)*BE35+(BE26+BE27+BE29)*service_cost_ng))</f>
        <v/>
      </c>
      <c r="BF65" s="32">
        <f>IF(nbfc_on_ng=1,BF35*loan_lost_ng+BF31*(loan_ops_cost_ng+service_cost_ng),BF31*loan_ops_cost_ng+dlg_on_ng*(MIN(loan_lost_ng,dlg_cap_ng)*BF35+(BF26+BF27+BF29)*service_cost_ng))</f>
        <v/>
      </c>
      <c r="BG65" s="32">
        <f>IF(nbfc_on_ng=1,BG35*loan_lost_ng+BG31*(loan_ops_cost_ng+service_cost_ng),BG31*loan_ops_cost_ng+dlg_on_ng*(MIN(loan_lost_ng,dlg_cap_ng)*BG35+(BG26+BG27+BG29)*service_cost_ng))</f>
        <v/>
      </c>
      <c r="BH65" s="32">
        <f>IF(nbfc_on_ng=1,BH35*loan_lost_ng+BH31*(loan_ops_cost_ng+service_cost_ng),BH31*loan_ops_cost_ng+dlg_on_ng*(MIN(loan_lost_ng,dlg_cap_ng)*BH35+(BH26+BH27+BH29)*service_cost_ng))</f>
        <v/>
      </c>
      <c r="BI65" s="32">
        <f>IF(nbfc_on_ng=1,BI35*loan_lost_ng+BI31*(loan_ops_cost_ng+service_cost_ng),BI31*loan_ops_cost_ng+dlg_on_ng*(MIN(loan_lost_ng,dlg_cap_ng)*BI35+(BI26+BI27+BI29)*service_cost_ng))</f>
        <v/>
      </c>
      <c r="BJ65" s="32">
        <f>IF(nbfc_on_ng=1,BJ35*loan_lost_ng+BJ31*(loan_ops_cost_ng+service_cost_ng),BJ31*loan_ops_cost_ng+dlg_on_ng*(MIN(loan_lost_ng,dlg_cap_ng)*BJ35+(BJ26+BJ27+BJ29)*service_cost_ng))</f>
        <v/>
      </c>
      <c r="BK65" s="32">
        <f>IF(nbfc_on_ng=1,BK35*loan_lost_ng+BK31*(loan_ops_cost_ng+service_cost_ng),BK31*loan_ops_cost_ng+dlg_on_ng*(MIN(loan_lost_ng,dlg_cap_ng)*BK35+(BK26+BK27+BK29)*service_cost_ng))</f>
        <v/>
      </c>
    </row>
    <row r="66">
      <c r="A66" s="25" t="inlineStr">
        <is>
          <t>Cards: our cost</t>
        </is>
      </c>
      <c r="B66" s="28" t="inlineStr">
        <is>
          <t>₹</t>
        </is>
      </c>
      <c r="C66" s="30" t="n">
        <v>0</v>
      </c>
      <c r="D66" s="32">
        <f>(D42+D45)*card_ops_cost_ng</f>
        <v/>
      </c>
      <c r="E66" s="32">
        <f>(E42+E45)*card_ops_cost_ng</f>
        <v/>
      </c>
      <c r="F66" s="32">
        <f>(F42+F45)*card_ops_cost_ng</f>
        <v/>
      </c>
      <c r="G66" s="32">
        <f>(G42+G45)*card_ops_cost_ng</f>
        <v/>
      </c>
      <c r="H66" s="32">
        <f>(H42+H45)*card_ops_cost_ng</f>
        <v/>
      </c>
      <c r="I66" s="32">
        <f>(I42+I45)*card_ops_cost_ng</f>
        <v/>
      </c>
      <c r="J66" s="32">
        <f>(J42+J45)*card_ops_cost_ng</f>
        <v/>
      </c>
      <c r="K66" s="32">
        <f>(K42+K45)*card_ops_cost_ng</f>
        <v/>
      </c>
      <c r="L66" s="32">
        <f>(L42+L45)*card_ops_cost_ng</f>
        <v/>
      </c>
      <c r="M66" s="32">
        <f>(M42+M45)*card_ops_cost_ng</f>
        <v/>
      </c>
      <c r="N66" s="32">
        <f>(N42+N45)*card_ops_cost_ng</f>
        <v/>
      </c>
      <c r="O66" s="32">
        <f>(O42+O45)*card_ops_cost_ng</f>
        <v/>
      </c>
      <c r="P66" s="32">
        <f>(P42+P45)*card_ops_cost_ng</f>
        <v/>
      </c>
      <c r="Q66" s="32">
        <f>(Q42+Q45)*card_ops_cost_ng</f>
        <v/>
      </c>
      <c r="R66" s="32">
        <f>(R42+R45)*card_ops_cost_ng</f>
        <v/>
      </c>
      <c r="S66" s="32">
        <f>(S42+S45)*card_ops_cost_ng</f>
        <v/>
      </c>
      <c r="T66" s="32">
        <f>(T42+T45)*card_ops_cost_ng</f>
        <v/>
      </c>
      <c r="U66" s="32">
        <f>(U42+U45)*card_ops_cost_ng</f>
        <v/>
      </c>
      <c r="V66" s="32">
        <f>(V42+V45)*card_ops_cost_ng</f>
        <v/>
      </c>
      <c r="W66" s="32">
        <f>(W42+W45)*card_ops_cost_ng</f>
        <v/>
      </c>
      <c r="X66" s="32">
        <f>(X42+X45)*card_ops_cost_ng</f>
        <v/>
      </c>
      <c r="Y66" s="32">
        <f>(Y42+Y45)*card_ops_cost_ng</f>
        <v/>
      </c>
      <c r="Z66" s="32">
        <f>(Z42+Z45)*card_ops_cost_ng</f>
        <v/>
      </c>
      <c r="AA66" s="32">
        <f>(AA42+AA45)*card_ops_cost_ng</f>
        <v/>
      </c>
      <c r="AB66" s="32">
        <f>(AB42+AB45)*card_ops_cost_ng</f>
        <v/>
      </c>
      <c r="AC66" s="32">
        <f>(AC42+AC45)*card_ops_cost_ng</f>
        <v/>
      </c>
      <c r="AD66" s="32">
        <f>(AD42+AD45)*card_ops_cost_ng</f>
        <v/>
      </c>
      <c r="AE66" s="32">
        <f>(AE42+AE45)*card_ops_cost_ng</f>
        <v/>
      </c>
      <c r="AF66" s="32">
        <f>(AF42+AF45)*card_ops_cost_ng</f>
        <v/>
      </c>
      <c r="AG66" s="32">
        <f>(AG42+AG45)*card_ops_cost_ng</f>
        <v/>
      </c>
      <c r="AH66" s="32">
        <f>(AH42+AH45)*card_ops_cost_ng</f>
        <v/>
      </c>
      <c r="AI66" s="32">
        <f>(AI42+AI45)*card_ops_cost_ng</f>
        <v/>
      </c>
      <c r="AJ66" s="32">
        <f>(AJ42+AJ45)*card_ops_cost_ng</f>
        <v/>
      </c>
      <c r="AK66" s="32">
        <f>(AK42+AK45)*card_ops_cost_ng</f>
        <v/>
      </c>
      <c r="AL66" s="32">
        <f>(AL42+AL45)*card_ops_cost_ng</f>
        <v/>
      </c>
      <c r="AM66" s="32">
        <f>(AM42+AM45)*card_ops_cost_ng</f>
        <v/>
      </c>
      <c r="AN66" s="32">
        <f>(AN42+AN45)*card_ops_cost_ng</f>
        <v/>
      </c>
      <c r="AO66" s="32">
        <f>(AO42+AO45)*card_ops_cost_ng</f>
        <v/>
      </c>
      <c r="AP66" s="32">
        <f>(AP42+AP45)*card_ops_cost_ng</f>
        <v/>
      </c>
      <c r="AQ66" s="32">
        <f>(AQ42+AQ45)*card_ops_cost_ng</f>
        <v/>
      </c>
      <c r="AR66" s="32">
        <f>(AR42+AR45)*card_ops_cost_ng</f>
        <v/>
      </c>
      <c r="AS66" s="32">
        <f>(AS42+AS45)*card_ops_cost_ng</f>
        <v/>
      </c>
      <c r="AT66" s="32">
        <f>(AT42+AT45)*card_ops_cost_ng</f>
        <v/>
      </c>
      <c r="AU66" s="32">
        <f>(AU42+AU45)*card_ops_cost_ng</f>
        <v/>
      </c>
      <c r="AV66" s="32">
        <f>(AV42+AV45)*card_ops_cost_ng</f>
        <v/>
      </c>
      <c r="AW66" s="32">
        <f>(AW42+AW45)*card_ops_cost_ng</f>
        <v/>
      </c>
      <c r="AX66" s="32">
        <f>(AX42+AX45)*card_ops_cost_ng</f>
        <v/>
      </c>
      <c r="AY66" s="32">
        <f>(AY42+AY45)*card_ops_cost_ng</f>
        <v/>
      </c>
      <c r="AZ66" s="32">
        <f>(AZ42+AZ45)*card_ops_cost_ng</f>
        <v/>
      </c>
      <c r="BA66" s="32">
        <f>(BA42+BA45)*card_ops_cost_ng</f>
        <v/>
      </c>
      <c r="BB66" s="32">
        <f>(BB42+BB45)*card_ops_cost_ng</f>
        <v/>
      </c>
      <c r="BC66" s="32">
        <f>(BC42+BC45)*card_ops_cost_ng</f>
        <v/>
      </c>
      <c r="BD66" s="32">
        <f>(BD42+BD45)*card_ops_cost_ng</f>
        <v/>
      </c>
      <c r="BE66" s="32">
        <f>(BE42+BE45)*card_ops_cost_ng</f>
        <v/>
      </c>
      <c r="BF66" s="32">
        <f>(BF42+BF45)*card_ops_cost_ng</f>
        <v/>
      </c>
      <c r="BG66" s="32">
        <f>(BG42+BG45)*card_ops_cost_ng</f>
        <v/>
      </c>
      <c r="BH66" s="32">
        <f>(BH42+BH45)*card_ops_cost_ng</f>
        <v/>
      </c>
      <c r="BI66" s="32">
        <f>(BI42+BI45)*card_ops_cost_ng</f>
        <v/>
      </c>
      <c r="BJ66" s="32">
        <f>(BJ42+BJ45)*card_ops_cost_ng</f>
        <v/>
      </c>
      <c r="BK66" s="32">
        <f>(BK42+BK45)*card_ops_cost_ng</f>
        <v/>
      </c>
    </row>
    <row r="67">
      <c r="A67" s="25" t="inlineStr">
        <is>
          <t>Insurance: our cost</t>
        </is>
      </c>
      <c r="B67" s="28" t="inlineStr">
        <is>
          <t>₹</t>
        </is>
      </c>
      <c r="C67" s="30" t="n">
        <v>0</v>
      </c>
      <c r="D67" s="32">
        <f>D52*ins_ops_cost_ng</f>
        <v/>
      </c>
      <c r="E67" s="32">
        <f>E52*ins_ops_cost_ng</f>
        <v/>
      </c>
      <c r="F67" s="32">
        <f>F52*ins_ops_cost_ng</f>
        <v/>
      </c>
      <c r="G67" s="32">
        <f>G52*ins_ops_cost_ng</f>
        <v/>
      </c>
      <c r="H67" s="32">
        <f>H52*ins_ops_cost_ng</f>
        <v/>
      </c>
      <c r="I67" s="32">
        <f>I52*ins_ops_cost_ng</f>
        <v/>
      </c>
      <c r="J67" s="32">
        <f>J52*ins_ops_cost_ng</f>
        <v/>
      </c>
      <c r="K67" s="32">
        <f>K52*ins_ops_cost_ng</f>
        <v/>
      </c>
      <c r="L67" s="32">
        <f>L52*ins_ops_cost_ng</f>
        <v/>
      </c>
      <c r="M67" s="32">
        <f>M52*ins_ops_cost_ng</f>
        <v/>
      </c>
      <c r="N67" s="32">
        <f>N52*ins_ops_cost_ng</f>
        <v/>
      </c>
      <c r="O67" s="32">
        <f>O52*ins_ops_cost_ng</f>
        <v/>
      </c>
      <c r="P67" s="32">
        <f>P52*ins_ops_cost_ng</f>
        <v/>
      </c>
      <c r="Q67" s="32">
        <f>Q52*ins_ops_cost_ng</f>
        <v/>
      </c>
      <c r="R67" s="32">
        <f>R52*ins_ops_cost_ng</f>
        <v/>
      </c>
      <c r="S67" s="32">
        <f>S52*ins_ops_cost_ng</f>
        <v/>
      </c>
      <c r="T67" s="32">
        <f>T52*ins_ops_cost_ng</f>
        <v/>
      </c>
      <c r="U67" s="32">
        <f>U52*ins_ops_cost_ng</f>
        <v/>
      </c>
      <c r="V67" s="32">
        <f>V52*ins_ops_cost_ng</f>
        <v/>
      </c>
      <c r="W67" s="32">
        <f>W52*ins_ops_cost_ng</f>
        <v/>
      </c>
      <c r="X67" s="32">
        <f>X52*ins_ops_cost_ng</f>
        <v/>
      </c>
      <c r="Y67" s="32">
        <f>Y52*ins_ops_cost_ng</f>
        <v/>
      </c>
      <c r="Z67" s="32">
        <f>Z52*ins_ops_cost_ng</f>
        <v/>
      </c>
      <c r="AA67" s="32">
        <f>AA52*ins_ops_cost_ng</f>
        <v/>
      </c>
      <c r="AB67" s="32">
        <f>AB52*ins_ops_cost_ng</f>
        <v/>
      </c>
      <c r="AC67" s="32">
        <f>AC52*ins_ops_cost_ng</f>
        <v/>
      </c>
      <c r="AD67" s="32">
        <f>AD52*ins_ops_cost_ng</f>
        <v/>
      </c>
      <c r="AE67" s="32">
        <f>AE52*ins_ops_cost_ng</f>
        <v/>
      </c>
      <c r="AF67" s="32">
        <f>AF52*ins_ops_cost_ng</f>
        <v/>
      </c>
      <c r="AG67" s="32">
        <f>AG52*ins_ops_cost_ng</f>
        <v/>
      </c>
      <c r="AH67" s="32">
        <f>AH52*ins_ops_cost_ng</f>
        <v/>
      </c>
      <c r="AI67" s="32">
        <f>AI52*ins_ops_cost_ng</f>
        <v/>
      </c>
      <c r="AJ67" s="32">
        <f>AJ52*ins_ops_cost_ng</f>
        <v/>
      </c>
      <c r="AK67" s="32">
        <f>AK52*ins_ops_cost_ng</f>
        <v/>
      </c>
      <c r="AL67" s="32">
        <f>AL52*ins_ops_cost_ng</f>
        <v/>
      </c>
      <c r="AM67" s="32">
        <f>AM52*ins_ops_cost_ng</f>
        <v/>
      </c>
      <c r="AN67" s="32">
        <f>AN52*ins_ops_cost_ng</f>
        <v/>
      </c>
      <c r="AO67" s="32">
        <f>AO52*ins_ops_cost_ng</f>
        <v/>
      </c>
      <c r="AP67" s="32">
        <f>AP52*ins_ops_cost_ng</f>
        <v/>
      </c>
      <c r="AQ67" s="32">
        <f>AQ52*ins_ops_cost_ng</f>
        <v/>
      </c>
      <c r="AR67" s="32">
        <f>AR52*ins_ops_cost_ng</f>
        <v/>
      </c>
      <c r="AS67" s="32">
        <f>AS52*ins_ops_cost_ng</f>
        <v/>
      </c>
      <c r="AT67" s="32">
        <f>AT52*ins_ops_cost_ng</f>
        <v/>
      </c>
      <c r="AU67" s="32">
        <f>AU52*ins_ops_cost_ng</f>
        <v/>
      </c>
      <c r="AV67" s="32">
        <f>AV52*ins_ops_cost_ng</f>
        <v/>
      </c>
      <c r="AW67" s="32">
        <f>AW52*ins_ops_cost_ng</f>
        <v/>
      </c>
      <c r="AX67" s="32">
        <f>AX52*ins_ops_cost_ng</f>
        <v/>
      </c>
      <c r="AY67" s="32">
        <f>AY52*ins_ops_cost_ng</f>
        <v/>
      </c>
      <c r="AZ67" s="32">
        <f>AZ52*ins_ops_cost_ng</f>
        <v/>
      </c>
      <c r="BA67" s="32">
        <f>BA52*ins_ops_cost_ng</f>
        <v/>
      </c>
      <c r="BB67" s="32">
        <f>BB52*ins_ops_cost_ng</f>
        <v/>
      </c>
      <c r="BC67" s="32">
        <f>BC52*ins_ops_cost_ng</f>
        <v/>
      </c>
      <c r="BD67" s="32">
        <f>BD52*ins_ops_cost_ng</f>
        <v/>
      </c>
      <c r="BE67" s="32">
        <f>BE52*ins_ops_cost_ng</f>
        <v/>
      </c>
      <c r="BF67" s="32">
        <f>BF52*ins_ops_cost_ng</f>
        <v/>
      </c>
      <c r="BG67" s="32">
        <f>BG52*ins_ops_cost_ng</f>
        <v/>
      </c>
      <c r="BH67" s="32">
        <f>BH52*ins_ops_cost_ng</f>
        <v/>
      </c>
      <c r="BI67" s="32">
        <f>BI52*ins_ops_cost_ng</f>
        <v/>
      </c>
      <c r="BJ67" s="32">
        <f>BJ52*ins_ops_cost_ng</f>
        <v/>
      </c>
      <c r="BK67" s="32">
        <f>BK52*ins_ops_cost_ng</f>
        <v/>
      </c>
    </row>
    <row r="68">
      <c r="A68" s="25" t="inlineStr">
        <is>
          <t>Debits, pre-debit notices and failed debits</t>
        </is>
      </c>
      <c r="B68" s="28" t="inlineStr">
        <is>
          <t>₹</t>
        </is>
      </c>
      <c r="C68" s="30" t="n">
        <v>0</v>
      </c>
      <c r="D68" s="32">
        <f>D7*(debits_success_ng*cost_debit_ng+debits_scheduled_ng*cost_notice_ng+MAX(0,debits_scheduled_ng-debits_success_ng)*cost_failed_ng)</f>
        <v/>
      </c>
      <c r="E68" s="32">
        <f>E7*(debits_success_ng*cost_debit_ng+debits_scheduled_ng*cost_notice_ng+MAX(0,debits_scheduled_ng-debits_success_ng)*cost_failed_ng)</f>
        <v/>
      </c>
      <c r="F68" s="32">
        <f>F7*(debits_success_ng*cost_debit_ng+debits_scheduled_ng*cost_notice_ng+MAX(0,debits_scheduled_ng-debits_success_ng)*cost_failed_ng)</f>
        <v/>
      </c>
      <c r="G68" s="32">
        <f>G7*(debits_success_ng*cost_debit_ng+debits_scheduled_ng*cost_notice_ng+MAX(0,debits_scheduled_ng-debits_success_ng)*cost_failed_ng)</f>
        <v/>
      </c>
      <c r="H68" s="32">
        <f>H7*(debits_success_ng*cost_debit_ng+debits_scheduled_ng*cost_notice_ng+MAX(0,debits_scheduled_ng-debits_success_ng)*cost_failed_ng)</f>
        <v/>
      </c>
      <c r="I68" s="32">
        <f>I7*(debits_success_ng*cost_debit_ng+debits_scheduled_ng*cost_notice_ng+MAX(0,debits_scheduled_ng-debits_success_ng)*cost_failed_ng)</f>
        <v/>
      </c>
      <c r="J68" s="32">
        <f>J7*(debits_success_ng*cost_debit_ng+debits_scheduled_ng*cost_notice_ng+MAX(0,debits_scheduled_ng-debits_success_ng)*cost_failed_ng)</f>
        <v/>
      </c>
      <c r="K68" s="32">
        <f>K7*(debits_success_ng*cost_debit_ng+debits_scheduled_ng*cost_notice_ng+MAX(0,debits_scheduled_ng-debits_success_ng)*cost_failed_ng)</f>
        <v/>
      </c>
      <c r="L68" s="32">
        <f>L7*(debits_success_ng*cost_debit_ng+debits_scheduled_ng*cost_notice_ng+MAX(0,debits_scheduled_ng-debits_success_ng)*cost_failed_ng)</f>
        <v/>
      </c>
      <c r="M68" s="32">
        <f>M7*(debits_success_ng*cost_debit_ng+debits_scheduled_ng*cost_notice_ng+MAX(0,debits_scheduled_ng-debits_success_ng)*cost_failed_ng)</f>
        <v/>
      </c>
      <c r="N68" s="32">
        <f>N7*(debits_success_ng*cost_debit_ng+debits_scheduled_ng*cost_notice_ng+MAX(0,debits_scheduled_ng-debits_success_ng)*cost_failed_ng)</f>
        <v/>
      </c>
      <c r="O68" s="32">
        <f>O7*(debits_success_ng*cost_debit_ng+debits_scheduled_ng*cost_notice_ng+MAX(0,debits_scheduled_ng-debits_success_ng)*cost_failed_ng)</f>
        <v/>
      </c>
      <c r="P68" s="32">
        <f>P7*(debits_success_ng*cost_debit_ng+debits_scheduled_ng*cost_notice_ng+MAX(0,debits_scheduled_ng-debits_success_ng)*cost_failed_ng)</f>
        <v/>
      </c>
      <c r="Q68" s="32">
        <f>Q7*(debits_success_ng*cost_debit_ng+debits_scheduled_ng*cost_notice_ng+MAX(0,debits_scheduled_ng-debits_success_ng)*cost_failed_ng)</f>
        <v/>
      </c>
      <c r="R68" s="32">
        <f>R7*(debits_success_ng*cost_debit_ng+debits_scheduled_ng*cost_notice_ng+MAX(0,debits_scheduled_ng-debits_success_ng)*cost_failed_ng)</f>
        <v/>
      </c>
      <c r="S68" s="32">
        <f>S7*(debits_success_ng*cost_debit_ng+debits_scheduled_ng*cost_notice_ng+MAX(0,debits_scheduled_ng-debits_success_ng)*cost_failed_ng)</f>
        <v/>
      </c>
      <c r="T68" s="32">
        <f>T7*(debits_success_ng*cost_debit_ng+debits_scheduled_ng*cost_notice_ng+MAX(0,debits_scheduled_ng-debits_success_ng)*cost_failed_ng)</f>
        <v/>
      </c>
      <c r="U68" s="32">
        <f>U7*(debits_success_ng*cost_debit_ng+debits_scheduled_ng*cost_notice_ng+MAX(0,debits_scheduled_ng-debits_success_ng)*cost_failed_ng)</f>
        <v/>
      </c>
      <c r="V68" s="32">
        <f>V7*(debits_success_ng*cost_debit_ng+debits_scheduled_ng*cost_notice_ng+MAX(0,debits_scheduled_ng-debits_success_ng)*cost_failed_ng)</f>
        <v/>
      </c>
      <c r="W68" s="32">
        <f>W7*(debits_success_ng*cost_debit_ng+debits_scheduled_ng*cost_notice_ng+MAX(0,debits_scheduled_ng-debits_success_ng)*cost_failed_ng)</f>
        <v/>
      </c>
      <c r="X68" s="32">
        <f>X7*(debits_success_ng*cost_debit_ng+debits_scheduled_ng*cost_notice_ng+MAX(0,debits_scheduled_ng-debits_success_ng)*cost_failed_ng)</f>
        <v/>
      </c>
      <c r="Y68" s="32">
        <f>Y7*(debits_success_ng*cost_debit_ng+debits_scheduled_ng*cost_notice_ng+MAX(0,debits_scheduled_ng-debits_success_ng)*cost_failed_ng)</f>
        <v/>
      </c>
      <c r="Z68" s="32">
        <f>Z7*(debits_success_ng*cost_debit_ng+debits_scheduled_ng*cost_notice_ng+MAX(0,debits_scheduled_ng-debits_success_ng)*cost_failed_ng)</f>
        <v/>
      </c>
      <c r="AA68" s="32">
        <f>AA7*(debits_success_ng*cost_debit_ng+debits_scheduled_ng*cost_notice_ng+MAX(0,debits_scheduled_ng-debits_success_ng)*cost_failed_ng)</f>
        <v/>
      </c>
      <c r="AB68" s="32">
        <f>AB7*(debits_success_ng*cost_debit_ng+debits_scheduled_ng*cost_notice_ng+MAX(0,debits_scheduled_ng-debits_success_ng)*cost_failed_ng)</f>
        <v/>
      </c>
      <c r="AC68" s="32">
        <f>AC7*(debits_success_ng*cost_debit_ng+debits_scheduled_ng*cost_notice_ng+MAX(0,debits_scheduled_ng-debits_success_ng)*cost_failed_ng)</f>
        <v/>
      </c>
      <c r="AD68" s="32">
        <f>AD7*(debits_success_ng*cost_debit_ng+debits_scheduled_ng*cost_notice_ng+MAX(0,debits_scheduled_ng-debits_success_ng)*cost_failed_ng)</f>
        <v/>
      </c>
      <c r="AE68" s="32">
        <f>AE7*(debits_success_ng*cost_debit_ng+debits_scheduled_ng*cost_notice_ng+MAX(0,debits_scheduled_ng-debits_success_ng)*cost_failed_ng)</f>
        <v/>
      </c>
      <c r="AF68" s="32">
        <f>AF7*(debits_success_ng*cost_debit_ng+debits_scheduled_ng*cost_notice_ng+MAX(0,debits_scheduled_ng-debits_success_ng)*cost_failed_ng)</f>
        <v/>
      </c>
      <c r="AG68" s="32">
        <f>AG7*(debits_success_ng*cost_debit_ng+debits_scheduled_ng*cost_notice_ng+MAX(0,debits_scheduled_ng-debits_success_ng)*cost_failed_ng)</f>
        <v/>
      </c>
      <c r="AH68" s="32">
        <f>AH7*(debits_success_ng*cost_debit_ng+debits_scheduled_ng*cost_notice_ng+MAX(0,debits_scheduled_ng-debits_success_ng)*cost_failed_ng)</f>
        <v/>
      </c>
      <c r="AI68" s="32">
        <f>AI7*(debits_success_ng*cost_debit_ng+debits_scheduled_ng*cost_notice_ng+MAX(0,debits_scheduled_ng-debits_success_ng)*cost_failed_ng)</f>
        <v/>
      </c>
      <c r="AJ68" s="32">
        <f>AJ7*(debits_success_ng*cost_debit_ng+debits_scheduled_ng*cost_notice_ng+MAX(0,debits_scheduled_ng-debits_success_ng)*cost_failed_ng)</f>
        <v/>
      </c>
      <c r="AK68" s="32">
        <f>AK7*(debits_success_ng*cost_debit_ng+debits_scheduled_ng*cost_notice_ng+MAX(0,debits_scheduled_ng-debits_success_ng)*cost_failed_ng)</f>
        <v/>
      </c>
      <c r="AL68" s="32">
        <f>AL7*(debits_success_ng*cost_debit_ng+debits_scheduled_ng*cost_notice_ng+MAX(0,debits_scheduled_ng-debits_success_ng)*cost_failed_ng)</f>
        <v/>
      </c>
      <c r="AM68" s="32">
        <f>AM7*(debits_success_ng*cost_debit_ng+debits_scheduled_ng*cost_notice_ng+MAX(0,debits_scheduled_ng-debits_success_ng)*cost_failed_ng)</f>
        <v/>
      </c>
      <c r="AN68" s="32">
        <f>AN7*(debits_success_ng*cost_debit_ng+debits_scheduled_ng*cost_notice_ng+MAX(0,debits_scheduled_ng-debits_success_ng)*cost_failed_ng)</f>
        <v/>
      </c>
      <c r="AO68" s="32">
        <f>AO7*(debits_success_ng*cost_debit_ng+debits_scheduled_ng*cost_notice_ng+MAX(0,debits_scheduled_ng-debits_success_ng)*cost_failed_ng)</f>
        <v/>
      </c>
      <c r="AP68" s="32">
        <f>AP7*(debits_success_ng*cost_debit_ng+debits_scheduled_ng*cost_notice_ng+MAX(0,debits_scheduled_ng-debits_success_ng)*cost_failed_ng)</f>
        <v/>
      </c>
      <c r="AQ68" s="32">
        <f>AQ7*(debits_success_ng*cost_debit_ng+debits_scheduled_ng*cost_notice_ng+MAX(0,debits_scheduled_ng-debits_success_ng)*cost_failed_ng)</f>
        <v/>
      </c>
      <c r="AR68" s="32">
        <f>AR7*(debits_success_ng*cost_debit_ng+debits_scheduled_ng*cost_notice_ng+MAX(0,debits_scheduled_ng-debits_success_ng)*cost_failed_ng)</f>
        <v/>
      </c>
      <c r="AS68" s="32">
        <f>AS7*(debits_success_ng*cost_debit_ng+debits_scheduled_ng*cost_notice_ng+MAX(0,debits_scheduled_ng-debits_success_ng)*cost_failed_ng)</f>
        <v/>
      </c>
      <c r="AT68" s="32">
        <f>AT7*(debits_success_ng*cost_debit_ng+debits_scheduled_ng*cost_notice_ng+MAX(0,debits_scheduled_ng-debits_success_ng)*cost_failed_ng)</f>
        <v/>
      </c>
      <c r="AU68" s="32">
        <f>AU7*(debits_success_ng*cost_debit_ng+debits_scheduled_ng*cost_notice_ng+MAX(0,debits_scheduled_ng-debits_success_ng)*cost_failed_ng)</f>
        <v/>
      </c>
      <c r="AV68" s="32">
        <f>AV7*(debits_success_ng*cost_debit_ng+debits_scheduled_ng*cost_notice_ng+MAX(0,debits_scheduled_ng-debits_success_ng)*cost_failed_ng)</f>
        <v/>
      </c>
      <c r="AW68" s="32">
        <f>AW7*(debits_success_ng*cost_debit_ng+debits_scheduled_ng*cost_notice_ng+MAX(0,debits_scheduled_ng-debits_success_ng)*cost_failed_ng)</f>
        <v/>
      </c>
      <c r="AX68" s="32">
        <f>AX7*(debits_success_ng*cost_debit_ng+debits_scheduled_ng*cost_notice_ng+MAX(0,debits_scheduled_ng-debits_success_ng)*cost_failed_ng)</f>
        <v/>
      </c>
      <c r="AY68" s="32">
        <f>AY7*(debits_success_ng*cost_debit_ng+debits_scheduled_ng*cost_notice_ng+MAX(0,debits_scheduled_ng-debits_success_ng)*cost_failed_ng)</f>
        <v/>
      </c>
      <c r="AZ68" s="32">
        <f>AZ7*(debits_success_ng*cost_debit_ng+debits_scheduled_ng*cost_notice_ng+MAX(0,debits_scheduled_ng-debits_success_ng)*cost_failed_ng)</f>
        <v/>
      </c>
      <c r="BA68" s="32">
        <f>BA7*(debits_success_ng*cost_debit_ng+debits_scheduled_ng*cost_notice_ng+MAX(0,debits_scheduled_ng-debits_success_ng)*cost_failed_ng)</f>
        <v/>
      </c>
      <c r="BB68" s="32">
        <f>BB7*(debits_success_ng*cost_debit_ng+debits_scheduled_ng*cost_notice_ng+MAX(0,debits_scheduled_ng-debits_success_ng)*cost_failed_ng)</f>
        <v/>
      </c>
      <c r="BC68" s="32">
        <f>BC7*(debits_success_ng*cost_debit_ng+debits_scheduled_ng*cost_notice_ng+MAX(0,debits_scheduled_ng-debits_success_ng)*cost_failed_ng)</f>
        <v/>
      </c>
      <c r="BD68" s="32">
        <f>BD7*(debits_success_ng*cost_debit_ng+debits_scheduled_ng*cost_notice_ng+MAX(0,debits_scheduled_ng-debits_success_ng)*cost_failed_ng)</f>
        <v/>
      </c>
      <c r="BE68" s="32">
        <f>BE7*(debits_success_ng*cost_debit_ng+debits_scheduled_ng*cost_notice_ng+MAX(0,debits_scheduled_ng-debits_success_ng)*cost_failed_ng)</f>
        <v/>
      </c>
      <c r="BF68" s="32">
        <f>BF7*(debits_success_ng*cost_debit_ng+debits_scheduled_ng*cost_notice_ng+MAX(0,debits_scheduled_ng-debits_success_ng)*cost_failed_ng)</f>
        <v/>
      </c>
      <c r="BG68" s="32">
        <f>BG7*(debits_success_ng*cost_debit_ng+debits_scheduled_ng*cost_notice_ng+MAX(0,debits_scheduled_ng-debits_success_ng)*cost_failed_ng)</f>
        <v/>
      </c>
      <c r="BH68" s="32">
        <f>BH7*(debits_success_ng*cost_debit_ng+debits_scheduled_ng*cost_notice_ng+MAX(0,debits_scheduled_ng-debits_success_ng)*cost_failed_ng)</f>
        <v/>
      </c>
      <c r="BI68" s="32">
        <f>BI7*(debits_success_ng*cost_debit_ng+debits_scheduled_ng*cost_notice_ng+MAX(0,debits_scheduled_ng-debits_success_ng)*cost_failed_ng)</f>
        <v/>
      </c>
      <c r="BJ68" s="32">
        <f>BJ7*(debits_success_ng*cost_debit_ng+debits_scheduled_ng*cost_notice_ng+MAX(0,debits_scheduled_ng-debits_success_ng)*cost_failed_ng)</f>
        <v/>
      </c>
      <c r="BK68" s="32">
        <f>BK7*(debits_success_ng*cost_debit_ng+debits_scheduled_ng*cost_notice_ng+MAX(0,debits_scheduled_ng-debits_success_ng)*cost_failed_ng)</f>
        <v/>
      </c>
    </row>
    <row r="69">
      <c r="A69" s="25" t="inlineStr">
        <is>
          <t>Support, tech and streak rewards</t>
        </is>
      </c>
      <c r="B69" s="28" t="inlineStr">
        <is>
          <t>₹</t>
        </is>
      </c>
      <c r="C69" s="30" t="n">
        <v>0</v>
      </c>
      <c r="D69" s="32">
        <f>D7*(cost_support_ng+cost_tech_ng+cost_rewards_ng)</f>
        <v/>
      </c>
      <c r="E69" s="32">
        <f>E7*(cost_support_ng+cost_tech_ng+cost_rewards_ng)</f>
        <v/>
      </c>
      <c r="F69" s="32">
        <f>F7*(cost_support_ng+cost_tech_ng+cost_rewards_ng)</f>
        <v/>
      </c>
      <c r="G69" s="32">
        <f>G7*(cost_support_ng+cost_tech_ng+cost_rewards_ng)</f>
        <v/>
      </c>
      <c r="H69" s="32">
        <f>H7*(cost_support_ng+cost_tech_ng+cost_rewards_ng)</f>
        <v/>
      </c>
      <c r="I69" s="32">
        <f>I7*(cost_support_ng+cost_tech_ng+cost_rewards_ng)</f>
        <v/>
      </c>
      <c r="J69" s="32">
        <f>J7*(cost_support_ng+cost_tech_ng+cost_rewards_ng)</f>
        <v/>
      </c>
      <c r="K69" s="32">
        <f>K7*(cost_support_ng+cost_tech_ng+cost_rewards_ng)</f>
        <v/>
      </c>
      <c r="L69" s="32">
        <f>L7*(cost_support_ng+cost_tech_ng+cost_rewards_ng)</f>
        <v/>
      </c>
      <c r="M69" s="32">
        <f>M7*(cost_support_ng+cost_tech_ng+cost_rewards_ng)</f>
        <v/>
      </c>
      <c r="N69" s="32">
        <f>N7*(cost_support_ng+cost_tech_ng+cost_rewards_ng)</f>
        <v/>
      </c>
      <c r="O69" s="32">
        <f>O7*(cost_support_ng+cost_tech_ng+cost_rewards_ng)</f>
        <v/>
      </c>
      <c r="P69" s="32">
        <f>P7*(cost_support_ng+cost_tech_ng+cost_rewards_ng)</f>
        <v/>
      </c>
      <c r="Q69" s="32">
        <f>Q7*(cost_support_ng+cost_tech_ng+cost_rewards_ng)</f>
        <v/>
      </c>
      <c r="R69" s="32">
        <f>R7*(cost_support_ng+cost_tech_ng+cost_rewards_ng)</f>
        <v/>
      </c>
      <c r="S69" s="32">
        <f>S7*(cost_support_ng+cost_tech_ng+cost_rewards_ng)</f>
        <v/>
      </c>
      <c r="T69" s="32">
        <f>T7*(cost_support_ng+cost_tech_ng+cost_rewards_ng)</f>
        <v/>
      </c>
      <c r="U69" s="32">
        <f>U7*(cost_support_ng+cost_tech_ng+cost_rewards_ng)</f>
        <v/>
      </c>
      <c r="V69" s="32">
        <f>V7*(cost_support_ng+cost_tech_ng+cost_rewards_ng)</f>
        <v/>
      </c>
      <c r="W69" s="32">
        <f>W7*(cost_support_ng+cost_tech_ng+cost_rewards_ng)</f>
        <v/>
      </c>
      <c r="X69" s="32">
        <f>X7*(cost_support_ng+cost_tech_ng+cost_rewards_ng)</f>
        <v/>
      </c>
      <c r="Y69" s="32">
        <f>Y7*(cost_support_ng+cost_tech_ng+cost_rewards_ng)</f>
        <v/>
      </c>
      <c r="Z69" s="32">
        <f>Z7*(cost_support_ng+cost_tech_ng+cost_rewards_ng)</f>
        <v/>
      </c>
      <c r="AA69" s="32">
        <f>AA7*(cost_support_ng+cost_tech_ng+cost_rewards_ng)</f>
        <v/>
      </c>
      <c r="AB69" s="32">
        <f>AB7*(cost_support_ng+cost_tech_ng+cost_rewards_ng)</f>
        <v/>
      </c>
      <c r="AC69" s="32">
        <f>AC7*(cost_support_ng+cost_tech_ng+cost_rewards_ng)</f>
        <v/>
      </c>
      <c r="AD69" s="32">
        <f>AD7*(cost_support_ng+cost_tech_ng+cost_rewards_ng)</f>
        <v/>
      </c>
      <c r="AE69" s="32">
        <f>AE7*(cost_support_ng+cost_tech_ng+cost_rewards_ng)</f>
        <v/>
      </c>
      <c r="AF69" s="32">
        <f>AF7*(cost_support_ng+cost_tech_ng+cost_rewards_ng)</f>
        <v/>
      </c>
      <c r="AG69" s="32">
        <f>AG7*(cost_support_ng+cost_tech_ng+cost_rewards_ng)</f>
        <v/>
      </c>
      <c r="AH69" s="32">
        <f>AH7*(cost_support_ng+cost_tech_ng+cost_rewards_ng)</f>
        <v/>
      </c>
      <c r="AI69" s="32">
        <f>AI7*(cost_support_ng+cost_tech_ng+cost_rewards_ng)</f>
        <v/>
      </c>
      <c r="AJ69" s="32">
        <f>AJ7*(cost_support_ng+cost_tech_ng+cost_rewards_ng)</f>
        <v/>
      </c>
      <c r="AK69" s="32">
        <f>AK7*(cost_support_ng+cost_tech_ng+cost_rewards_ng)</f>
        <v/>
      </c>
      <c r="AL69" s="32">
        <f>AL7*(cost_support_ng+cost_tech_ng+cost_rewards_ng)</f>
        <v/>
      </c>
      <c r="AM69" s="32">
        <f>AM7*(cost_support_ng+cost_tech_ng+cost_rewards_ng)</f>
        <v/>
      </c>
      <c r="AN69" s="32">
        <f>AN7*(cost_support_ng+cost_tech_ng+cost_rewards_ng)</f>
        <v/>
      </c>
      <c r="AO69" s="32">
        <f>AO7*(cost_support_ng+cost_tech_ng+cost_rewards_ng)</f>
        <v/>
      </c>
      <c r="AP69" s="32">
        <f>AP7*(cost_support_ng+cost_tech_ng+cost_rewards_ng)</f>
        <v/>
      </c>
      <c r="AQ69" s="32">
        <f>AQ7*(cost_support_ng+cost_tech_ng+cost_rewards_ng)</f>
        <v/>
      </c>
      <c r="AR69" s="32">
        <f>AR7*(cost_support_ng+cost_tech_ng+cost_rewards_ng)</f>
        <v/>
      </c>
      <c r="AS69" s="32">
        <f>AS7*(cost_support_ng+cost_tech_ng+cost_rewards_ng)</f>
        <v/>
      </c>
      <c r="AT69" s="32">
        <f>AT7*(cost_support_ng+cost_tech_ng+cost_rewards_ng)</f>
        <v/>
      </c>
      <c r="AU69" s="32">
        <f>AU7*(cost_support_ng+cost_tech_ng+cost_rewards_ng)</f>
        <v/>
      </c>
      <c r="AV69" s="32">
        <f>AV7*(cost_support_ng+cost_tech_ng+cost_rewards_ng)</f>
        <v/>
      </c>
      <c r="AW69" s="32">
        <f>AW7*(cost_support_ng+cost_tech_ng+cost_rewards_ng)</f>
        <v/>
      </c>
      <c r="AX69" s="32">
        <f>AX7*(cost_support_ng+cost_tech_ng+cost_rewards_ng)</f>
        <v/>
      </c>
      <c r="AY69" s="32">
        <f>AY7*(cost_support_ng+cost_tech_ng+cost_rewards_ng)</f>
        <v/>
      </c>
      <c r="AZ69" s="32">
        <f>AZ7*(cost_support_ng+cost_tech_ng+cost_rewards_ng)</f>
        <v/>
      </c>
      <c r="BA69" s="32">
        <f>BA7*(cost_support_ng+cost_tech_ng+cost_rewards_ng)</f>
        <v/>
      </c>
      <c r="BB69" s="32">
        <f>BB7*(cost_support_ng+cost_tech_ng+cost_rewards_ng)</f>
        <v/>
      </c>
      <c r="BC69" s="32">
        <f>BC7*(cost_support_ng+cost_tech_ng+cost_rewards_ng)</f>
        <v/>
      </c>
      <c r="BD69" s="32">
        <f>BD7*(cost_support_ng+cost_tech_ng+cost_rewards_ng)</f>
        <v/>
      </c>
      <c r="BE69" s="32">
        <f>BE7*(cost_support_ng+cost_tech_ng+cost_rewards_ng)</f>
        <v/>
      </c>
      <c r="BF69" s="32">
        <f>BF7*(cost_support_ng+cost_tech_ng+cost_rewards_ng)</f>
        <v/>
      </c>
      <c r="BG69" s="32">
        <f>BG7*(cost_support_ng+cost_tech_ng+cost_rewards_ng)</f>
        <v/>
      </c>
      <c r="BH69" s="32">
        <f>BH7*(cost_support_ng+cost_tech_ng+cost_rewards_ng)</f>
        <v/>
      </c>
      <c r="BI69" s="32">
        <f>BI7*(cost_support_ng+cost_tech_ng+cost_rewards_ng)</f>
        <v/>
      </c>
      <c r="BJ69" s="32">
        <f>BJ7*(cost_support_ng+cost_tech_ng+cost_rewards_ng)</f>
        <v/>
      </c>
      <c r="BK69" s="32">
        <f>BK7*(cost_support_ng+cost_tech_ng+cost_rewards_ng)</f>
        <v/>
      </c>
    </row>
    <row r="70">
      <c r="A70" s="25" t="inlineStr">
        <is>
          <t>Fraud</t>
        </is>
      </c>
      <c r="B70" s="28" t="inlineStr">
        <is>
          <t>₹</t>
        </is>
      </c>
      <c r="C70" s="30" t="n">
        <v>0</v>
      </c>
      <c r="D70" s="32">
        <f>D9*cost_fraud_ng</f>
        <v/>
      </c>
      <c r="E70" s="32">
        <f>E9*cost_fraud_ng</f>
        <v/>
      </c>
      <c r="F70" s="32">
        <f>F9*cost_fraud_ng</f>
        <v/>
      </c>
      <c r="G70" s="32">
        <f>G9*cost_fraud_ng</f>
        <v/>
      </c>
      <c r="H70" s="32">
        <f>H9*cost_fraud_ng</f>
        <v/>
      </c>
      <c r="I70" s="32">
        <f>I9*cost_fraud_ng</f>
        <v/>
      </c>
      <c r="J70" s="32">
        <f>J9*cost_fraud_ng</f>
        <v/>
      </c>
      <c r="K70" s="32">
        <f>K9*cost_fraud_ng</f>
        <v/>
      </c>
      <c r="L70" s="32">
        <f>L9*cost_fraud_ng</f>
        <v/>
      </c>
      <c r="M70" s="32">
        <f>M9*cost_fraud_ng</f>
        <v/>
      </c>
      <c r="N70" s="32">
        <f>N9*cost_fraud_ng</f>
        <v/>
      </c>
      <c r="O70" s="32">
        <f>O9*cost_fraud_ng</f>
        <v/>
      </c>
      <c r="P70" s="32">
        <f>P9*cost_fraud_ng</f>
        <v/>
      </c>
      <c r="Q70" s="32">
        <f>Q9*cost_fraud_ng</f>
        <v/>
      </c>
      <c r="R70" s="32">
        <f>R9*cost_fraud_ng</f>
        <v/>
      </c>
      <c r="S70" s="32">
        <f>S9*cost_fraud_ng</f>
        <v/>
      </c>
      <c r="T70" s="32">
        <f>T9*cost_fraud_ng</f>
        <v/>
      </c>
      <c r="U70" s="32">
        <f>U9*cost_fraud_ng</f>
        <v/>
      </c>
      <c r="V70" s="32">
        <f>V9*cost_fraud_ng</f>
        <v/>
      </c>
      <c r="W70" s="32">
        <f>W9*cost_fraud_ng</f>
        <v/>
      </c>
      <c r="X70" s="32">
        <f>X9*cost_fraud_ng</f>
        <v/>
      </c>
      <c r="Y70" s="32">
        <f>Y9*cost_fraud_ng</f>
        <v/>
      </c>
      <c r="Z70" s="32">
        <f>Z9*cost_fraud_ng</f>
        <v/>
      </c>
      <c r="AA70" s="32">
        <f>AA9*cost_fraud_ng</f>
        <v/>
      </c>
      <c r="AB70" s="32">
        <f>AB9*cost_fraud_ng</f>
        <v/>
      </c>
      <c r="AC70" s="32">
        <f>AC9*cost_fraud_ng</f>
        <v/>
      </c>
      <c r="AD70" s="32">
        <f>AD9*cost_fraud_ng</f>
        <v/>
      </c>
      <c r="AE70" s="32">
        <f>AE9*cost_fraud_ng</f>
        <v/>
      </c>
      <c r="AF70" s="32">
        <f>AF9*cost_fraud_ng</f>
        <v/>
      </c>
      <c r="AG70" s="32">
        <f>AG9*cost_fraud_ng</f>
        <v/>
      </c>
      <c r="AH70" s="32">
        <f>AH9*cost_fraud_ng</f>
        <v/>
      </c>
      <c r="AI70" s="32">
        <f>AI9*cost_fraud_ng</f>
        <v/>
      </c>
      <c r="AJ70" s="32">
        <f>AJ9*cost_fraud_ng</f>
        <v/>
      </c>
      <c r="AK70" s="32">
        <f>AK9*cost_fraud_ng</f>
        <v/>
      </c>
      <c r="AL70" s="32">
        <f>AL9*cost_fraud_ng</f>
        <v/>
      </c>
      <c r="AM70" s="32">
        <f>AM9*cost_fraud_ng</f>
        <v/>
      </c>
      <c r="AN70" s="32">
        <f>AN9*cost_fraud_ng</f>
        <v/>
      </c>
      <c r="AO70" s="32">
        <f>AO9*cost_fraud_ng</f>
        <v/>
      </c>
      <c r="AP70" s="32">
        <f>AP9*cost_fraud_ng</f>
        <v/>
      </c>
      <c r="AQ70" s="32">
        <f>AQ9*cost_fraud_ng</f>
        <v/>
      </c>
      <c r="AR70" s="32">
        <f>AR9*cost_fraud_ng</f>
        <v/>
      </c>
      <c r="AS70" s="32">
        <f>AS9*cost_fraud_ng</f>
        <v/>
      </c>
      <c r="AT70" s="32">
        <f>AT9*cost_fraud_ng</f>
        <v/>
      </c>
      <c r="AU70" s="32">
        <f>AU9*cost_fraud_ng</f>
        <v/>
      </c>
      <c r="AV70" s="32">
        <f>AV9*cost_fraud_ng</f>
        <v/>
      </c>
      <c r="AW70" s="32">
        <f>AW9*cost_fraud_ng</f>
        <v/>
      </c>
      <c r="AX70" s="32">
        <f>AX9*cost_fraud_ng</f>
        <v/>
      </c>
      <c r="AY70" s="32">
        <f>AY9*cost_fraud_ng</f>
        <v/>
      </c>
      <c r="AZ70" s="32">
        <f>AZ9*cost_fraud_ng</f>
        <v/>
      </c>
      <c r="BA70" s="32">
        <f>BA9*cost_fraud_ng</f>
        <v/>
      </c>
      <c r="BB70" s="32">
        <f>BB9*cost_fraud_ng</f>
        <v/>
      </c>
      <c r="BC70" s="32">
        <f>BC9*cost_fraud_ng</f>
        <v/>
      </c>
      <c r="BD70" s="32">
        <f>BD9*cost_fraud_ng</f>
        <v/>
      </c>
      <c r="BE70" s="32">
        <f>BE9*cost_fraud_ng</f>
        <v/>
      </c>
      <c r="BF70" s="32">
        <f>BF9*cost_fraud_ng</f>
        <v/>
      </c>
      <c r="BG70" s="32">
        <f>BG9*cost_fraud_ng</f>
        <v/>
      </c>
      <c r="BH70" s="32">
        <f>BH9*cost_fraud_ng</f>
        <v/>
      </c>
      <c r="BI70" s="32">
        <f>BI9*cost_fraud_ng</f>
        <v/>
      </c>
      <c r="BJ70" s="32">
        <f>BJ9*cost_fraud_ng</f>
        <v/>
      </c>
      <c r="BK70" s="32">
        <f>BK9*cost_fraud_ng</f>
        <v/>
      </c>
    </row>
    <row r="71">
      <c r="A71" s="2" t="inlineStr">
        <is>
          <t>Total variable cost</t>
        </is>
      </c>
      <c r="B71" s="28" t="inlineStr">
        <is>
          <t>₹</t>
        </is>
      </c>
      <c r="C71" s="30" t="n">
        <v>0</v>
      </c>
      <c r="D71" s="27">
        <f>D65+D66+D67+D68+D69+D70</f>
        <v/>
      </c>
      <c r="E71" s="27">
        <f>E65+E66+E67+E68+E69+E70</f>
        <v/>
      </c>
      <c r="F71" s="27">
        <f>F65+F66+F67+F68+F69+F70</f>
        <v/>
      </c>
      <c r="G71" s="27">
        <f>G65+G66+G67+G68+G69+G70</f>
        <v/>
      </c>
      <c r="H71" s="27">
        <f>H65+H66+H67+H68+H69+H70</f>
        <v/>
      </c>
      <c r="I71" s="27">
        <f>I65+I66+I67+I68+I69+I70</f>
        <v/>
      </c>
      <c r="J71" s="27">
        <f>J65+J66+J67+J68+J69+J70</f>
        <v/>
      </c>
      <c r="K71" s="27">
        <f>K65+K66+K67+K68+K69+K70</f>
        <v/>
      </c>
      <c r="L71" s="27">
        <f>L65+L66+L67+L68+L69+L70</f>
        <v/>
      </c>
      <c r="M71" s="27">
        <f>M65+M66+M67+M68+M69+M70</f>
        <v/>
      </c>
      <c r="N71" s="27">
        <f>N65+N66+N67+N68+N69+N70</f>
        <v/>
      </c>
      <c r="O71" s="27">
        <f>O65+O66+O67+O68+O69+O70</f>
        <v/>
      </c>
      <c r="P71" s="27">
        <f>P65+P66+P67+P68+P69+P70</f>
        <v/>
      </c>
      <c r="Q71" s="27">
        <f>Q65+Q66+Q67+Q68+Q69+Q70</f>
        <v/>
      </c>
      <c r="R71" s="27">
        <f>R65+R66+R67+R68+R69+R70</f>
        <v/>
      </c>
      <c r="S71" s="27">
        <f>S65+S66+S67+S68+S69+S70</f>
        <v/>
      </c>
      <c r="T71" s="27">
        <f>T65+T66+T67+T68+T69+T70</f>
        <v/>
      </c>
      <c r="U71" s="27">
        <f>U65+U66+U67+U68+U69+U70</f>
        <v/>
      </c>
      <c r="V71" s="27">
        <f>V65+V66+V67+V68+V69+V70</f>
        <v/>
      </c>
      <c r="W71" s="27">
        <f>W65+W66+W67+W68+W69+W70</f>
        <v/>
      </c>
      <c r="X71" s="27">
        <f>X65+X66+X67+X68+X69+X70</f>
        <v/>
      </c>
      <c r="Y71" s="27">
        <f>Y65+Y66+Y67+Y68+Y69+Y70</f>
        <v/>
      </c>
      <c r="Z71" s="27">
        <f>Z65+Z66+Z67+Z68+Z69+Z70</f>
        <v/>
      </c>
      <c r="AA71" s="27">
        <f>AA65+AA66+AA67+AA68+AA69+AA70</f>
        <v/>
      </c>
      <c r="AB71" s="27">
        <f>AB65+AB66+AB67+AB68+AB69+AB70</f>
        <v/>
      </c>
      <c r="AC71" s="27">
        <f>AC65+AC66+AC67+AC68+AC69+AC70</f>
        <v/>
      </c>
      <c r="AD71" s="27">
        <f>AD65+AD66+AD67+AD68+AD69+AD70</f>
        <v/>
      </c>
      <c r="AE71" s="27">
        <f>AE65+AE66+AE67+AE68+AE69+AE70</f>
        <v/>
      </c>
      <c r="AF71" s="27">
        <f>AF65+AF66+AF67+AF68+AF69+AF70</f>
        <v/>
      </c>
      <c r="AG71" s="27">
        <f>AG65+AG66+AG67+AG68+AG69+AG70</f>
        <v/>
      </c>
      <c r="AH71" s="27">
        <f>AH65+AH66+AH67+AH68+AH69+AH70</f>
        <v/>
      </c>
      <c r="AI71" s="27">
        <f>AI65+AI66+AI67+AI68+AI69+AI70</f>
        <v/>
      </c>
      <c r="AJ71" s="27">
        <f>AJ65+AJ66+AJ67+AJ68+AJ69+AJ70</f>
        <v/>
      </c>
      <c r="AK71" s="27">
        <f>AK65+AK66+AK67+AK68+AK69+AK70</f>
        <v/>
      </c>
      <c r="AL71" s="27">
        <f>AL65+AL66+AL67+AL68+AL69+AL70</f>
        <v/>
      </c>
      <c r="AM71" s="27">
        <f>AM65+AM66+AM67+AM68+AM69+AM70</f>
        <v/>
      </c>
      <c r="AN71" s="27">
        <f>AN65+AN66+AN67+AN68+AN69+AN70</f>
        <v/>
      </c>
      <c r="AO71" s="27">
        <f>AO65+AO66+AO67+AO68+AO69+AO70</f>
        <v/>
      </c>
      <c r="AP71" s="27">
        <f>AP65+AP66+AP67+AP68+AP69+AP70</f>
        <v/>
      </c>
      <c r="AQ71" s="27">
        <f>AQ65+AQ66+AQ67+AQ68+AQ69+AQ70</f>
        <v/>
      </c>
      <c r="AR71" s="27">
        <f>AR65+AR66+AR67+AR68+AR69+AR70</f>
        <v/>
      </c>
      <c r="AS71" s="27">
        <f>AS65+AS66+AS67+AS68+AS69+AS70</f>
        <v/>
      </c>
      <c r="AT71" s="27">
        <f>AT65+AT66+AT67+AT68+AT69+AT70</f>
        <v/>
      </c>
      <c r="AU71" s="27">
        <f>AU65+AU66+AU67+AU68+AU69+AU70</f>
        <v/>
      </c>
      <c r="AV71" s="27">
        <f>AV65+AV66+AV67+AV68+AV69+AV70</f>
        <v/>
      </c>
      <c r="AW71" s="27">
        <f>AW65+AW66+AW67+AW68+AW69+AW70</f>
        <v/>
      </c>
      <c r="AX71" s="27">
        <f>AX65+AX66+AX67+AX68+AX69+AX70</f>
        <v/>
      </c>
      <c r="AY71" s="27">
        <f>AY65+AY66+AY67+AY68+AY69+AY70</f>
        <v/>
      </c>
      <c r="AZ71" s="27">
        <f>AZ65+AZ66+AZ67+AZ68+AZ69+AZ70</f>
        <v/>
      </c>
      <c r="BA71" s="27">
        <f>BA65+BA66+BA67+BA68+BA69+BA70</f>
        <v/>
      </c>
      <c r="BB71" s="27">
        <f>BB65+BB66+BB67+BB68+BB69+BB70</f>
        <v/>
      </c>
      <c r="BC71" s="27">
        <f>BC65+BC66+BC67+BC68+BC69+BC70</f>
        <v/>
      </c>
      <c r="BD71" s="27">
        <f>BD65+BD66+BD67+BD68+BD69+BD70</f>
        <v/>
      </c>
      <c r="BE71" s="27">
        <f>BE65+BE66+BE67+BE68+BE69+BE70</f>
        <v/>
      </c>
      <c r="BF71" s="27">
        <f>BF65+BF66+BF67+BF68+BF69+BF70</f>
        <v/>
      </c>
      <c r="BG71" s="27">
        <f>BG65+BG66+BG67+BG68+BG69+BG70</f>
        <v/>
      </c>
      <c r="BH71" s="27">
        <f>BH65+BH66+BH67+BH68+BH69+BH70</f>
        <v/>
      </c>
      <c r="BI71" s="27">
        <f>BI65+BI66+BI67+BI68+BI69+BI70</f>
        <v/>
      </c>
      <c r="BJ71" s="27">
        <f>BJ65+BJ66+BJ67+BJ68+BJ69+BJ70</f>
        <v/>
      </c>
      <c r="BK71" s="27">
        <f>BK65+BK66+BK67+BK68+BK69+BK70</f>
        <v/>
      </c>
    </row>
    <row r="72">
      <c r="A72" s="6" t="inlineStr">
        <is>
          <t>Contribution</t>
        </is>
      </c>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7" t="n"/>
      <c r="AL72" s="7" t="n"/>
      <c r="AM72" s="7" t="n"/>
      <c r="AN72" s="7" t="n"/>
      <c r="AO72" s="7" t="n"/>
      <c r="AP72" s="7" t="n"/>
      <c r="AQ72" s="7" t="n"/>
      <c r="AR72" s="7" t="n"/>
      <c r="AS72" s="7" t="n"/>
      <c r="AT72" s="7" t="n"/>
      <c r="AU72" s="7" t="n"/>
      <c r="AV72" s="7" t="n"/>
      <c r="AW72" s="7" t="n"/>
      <c r="AX72" s="7" t="n"/>
      <c r="AY72" s="7" t="n"/>
      <c r="AZ72" s="7" t="n"/>
      <c r="BA72" s="7" t="n"/>
      <c r="BB72" s="7" t="n"/>
      <c r="BC72" s="7" t="n"/>
      <c r="BD72" s="7" t="n"/>
      <c r="BE72" s="7" t="n"/>
      <c r="BF72" s="7" t="n"/>
      <c r="BG72" s="7" t="n"/>
      <c r="BH72" s="7" t="n"/>
      <c r="BI72" s="7" t="n"/>
      <c r="BJ72" s="7" t="n"/>
      <c r="BK72" s="7" t="n"/>
    </row>
    <row r="73">
      <c r="A73" s="2" t="inlineStr">
        <is>
          <t>Contribution margin (revenue − variable cost)</t>
        </is>
      </c>
      <c r="B73" s="28" t="inlineStr">
        <is>
          <t>₹</t>
        </is>
      </c>
      <c r="C73" s="30" t="n">
        <v>0</v>
      </c>
      <c r="D73" s="27">
        <f>D63-D71</f>
        <v/>
      </c>
      <c r="E73" s="27">
        <f>E63-E71</f>
        <v/>
      </c>
      <c r="F73" s="27">
        <f>F63-F71</f>
        <v/>
      </c>
      <c r="G73" s="27">
        <f>G63-G71</f>
        <v/>
      </c>
      <c r="H73" s="27">
        <f>H63-H71</f>
        <v/>
      </c>
      <c r="I73" s="27">
        <f>I63-I71</f>
        <v/>
      </c>
      <c r="J73" s="27">
        <f>J63-J71</f>
        <v/>
      </c>
      <c r="K73" s="27">
        <f>K63-K71</f>
        <v/>
      </c>
      <c r="L73" s="27">
        <f>L63-L71</f>
        <v/>
      </c>
      <c r="M73" s="27">
        <f>M63-M71</f>
        <v/>
      </c>
      <c r="N73" s="27">
        <f>N63-N71</f>
        <v/>
      </c>
      <c r="O73" s="27">
        <f>O63-O71</f>
        <v/>
      </c>
      <c r="P73" s="27">
        <f>P63-P71</f>
        <v/>
      </c>
      <c r="Q73" s="27">
        <f>Q63-Q71</f>
        <v/>
      </c>
      <c r="R73" s="27">
        <f>R63-R71</f>
        <v/>
      </c>
      <c r="S73" s="27">
        <f>S63-S71</f>
        <v/>
      </c>
      <c r="T73" s="27">
        <f>T63-T71</f>
        <v/>
      </c>
      <c r="U73" s="27">
        <f>U63-U71</f>
        <v/>
      </c>
      <c r="V73" s="27">
        <f>V63-V71</f>
        <v/>
      </c>
      <c r="W73" s="27">
        <f>W63-W71</f>
        <v/>
      </c>
      <c r="X73" s="27">
        <f>X63-X71</f>
        <v/>
      </c>
      <c r="Y73" s="27">
        <f>Y63-Y71</f>
        <v/>
      </c>
      <c r="Z73" s="27">
        <f>Z63-Z71</f>
        <v/>
      </c>
      <c r="AA73" s="27">
        <f>AA63-AA71</f>
        <v/>
      </c>
      <c r="AB73" s="27">
        <f>AB63-AB71</f>
        <v/>
      </c>
      <c r="AC73" s="27">
        <f>AC63-AC71</f>
        <v/>
      </c>
      <c r="AD73" s="27">
        <f>AD63-AD71</f>
        <v/>
      </c>
      <c r="AE73" s="27">
        <f>AE63-AE71</f>
        <v/>
      </c>
      <c r="AF73" s="27">
        <f>AF63-AF71</f>
        <v/>
      </c>
      <c r="AG73" s="27">
        <f>AG63-AG71</f>
        <v/>
      </c>
      <c r="AH73" s="27">
        <f>AH63-AH71</f>
        <v/>
      </c>
      <c r="AI73" s="27">
        <f>AI63-AI71</f>
        <v/>
      </c>
      <c r="AJ73" s="27">
        <f>AJ63-AJ71</f>
        <v/>
      </c>
      <c r="AK73" s="27">
        <f>AK63-AK71</f>
        <v/>
      </c>
      <c r="AL73" s="27">
        <f>AL63-AL71</f>
        <v/>
      </c>
      <c r="AM73" s="27">
        <f>AM63-AM71</f>
        <v/>
      </c>
      <c r="AN73" s="27">
        <f>AN63-AN71</f>
        <v/>
      </c>
      <c r="AO73" s="27">
        <f>AO63-AO71</f>
        <v/>
      </c>
      <c r="AP73" s="27">
        <f>AP63-AP71</f>
        <v/>
      </c>
      <c r="AQ73" s="27">
        <f>AQ63-AQ71</f>
        <v/>
      </c>
      <c r="AR73" s="27">
        <f>AR63-AR71</f>
        <v/>
      </c>
      <c r="AS73" s="27">
        <f>AS63-AS71</f>
        <v/>
      </c>
      <c r="AT73" s="27">
        <f>AT63-AT71</f>
        <v/>
      </c>
      <c r="AU73" s="27">
        <f>AU63-AU71</f>
        <v/>
      </c>
      <c r="AV73" s="27">
        <f>AV63-AV71</f>
        <v/>
      </c>
      <c r="AW73" s="27">
        <f>AW63-AW71</f>
        <v/>
      </c>
      <c r="AX73" s="27">
        <f>AX63-AX71</f>
        <v/>
      </c>
      <c r="AY73" s="27">
        <f>AY63-AY71</f>
        <v/>
      </c>
      <c r="AZ73" s="27">
        <f>AZ63-AZ71</f>
        <v/>
      </c>
      <c r="BA73" s="27">
        <f>BA63-BA71</f>
        <v/>
      </c>
      <c r="BB73" s="27">
        <f>BB63-BB71</f>
        <v/>
      </c>
      <c r="BC73" s="27">
        <f>BC63-BC71</f>
        <v/>
      </c>
      <c r="BD73" s="27">
        <f>BD63-BD71</f>
        <v/>
      </c>
      <c r="BE73" s="27">
        <f>BE63-BE71</f>
        <v/>
      </c>
      <c r="BF73" s="27">
        <f>BF63-BF71</f>
        <v/>
      </c>
      <c r="BG73" s="27">
        <f>BG63-BG71</f>
        <v/>
      </c>
      <c r="BH73" s="27">
        <f>BH63-BH71</f>
        <v/>
      </c>
      <c r="BI73" s="27">
        <f>BI63-BI71</f>
        <v/>
      </c>
      <c r="BJ73" s="27">
        <f>BJ63-BJ71</f>
        <v/>
      </c>
      <c r="BK73" s="27">
        <f>BK63-BK71</f>
        <v/>
      </c>
    </row>
    <row r="74">
      <c r="A74" s="25" t="inlineStr">
        <is>
          <t>…per activated saver</t>
        </is>
      </c>
      <c r="B74" s="28" t="inlineStr">
        <is>
          <t>₹</t>
        </is>
      </c>
      <c r="C74" s="44" t="n">
        <v>0</v>
      </c>
      <c r="D74" s="45">
        <f>D73/seg_n_ng</f>
        <v/>
      </c>
      <c r="E74" s="45">
        <f>E73/seg_n_ng</f>
        <v/>
      </c>
      <c r="F74" s="45">
        <f>F73/seg_n_ng</f>
        <v/>
      </c>
      <c r="G74" s="45">
        <f>G73/seg_n_ng</f>
        <v/>
      </c>
      <c r="H74" s="45">
        <f>H73/seg_n_ng</f>
        <v/>
      </c>
      <c r="I74" s="45">
        <f>I73/seg_n_ng</f>
        <v/>
      </c>
      <c r="J74" s="45">
        <f>J73/seg_n_ng</f>
        <v/>
      </c>
      <c r="K74" s="45">
        <f>K73/seg_n_ng</f>
        <v/>
      </c>
      <c r="L74" s="45">
        <f>L73/seg_n_ng</f>
        <v/>
      </c>
      <c r="M74" s="45">
        <f>M73/seg_n_ng</f>
        <v/>
      </c>
      <c r="N74" s="45">
        <f>N73/seg_n_ng</f>
        <v/>
      </c>
      <c r="O74" s="45">
        <f>O73/seg_n_ng</f>
        <v/>
      </c>
      <c r="P74" s="45">
        <f>P73/seg_n_ng</f>
        <v/>
      </c>
      <c r="Q74" s="45">
        <f>Q73/seg_n_ng</f>
        <v/>
      </c>
      <c r="R74" s="45">
        <f>R73/seg_n_ng</f>
        <v/>
      </c>
      <c r="S74" s="45">
        <f>S73/seg_n_ng</f>
        <v/>
      </c>
      <c r="T74" s="45">
        <f>T73/seg_n_ng</f>
        <v/>
      </c>
      <c r="U74" s="45">
        <f>U73/seg_n_ng</f>
        <v/>
      </c>
      <c r="V74" s="45">
        <f>V73/seg_n_ng</f>
        <v/>
      </c>
      <c r="W74" s="45">
        <f>W73/seg_n_ng</f>
        <v/>
      </c>
      <c r="X74" s="45">
        <f>X73/seg_n_ng</f>
        <v/>
      </c>
      <c r="Y74" s="45">
        <f>Y73/seg_n_ng</f>
        <v/>
      </c>
      <c r="Z74" s="45">
        <f>Z73/seg_n_ng</f>
        <v/>
      </c>
      <c r="AA74" s="45">
        <f>AA73/seg_n_ng</f>
        <v/>
      </c>
      <c r="AB74" s="45">
        <f>AB73/seg_n_ng</f>
        <v/>
      </c>
      <c r="AC74" s="45">
        <f>AC73/seg_n_ng</f>
        <v/>
      </c>
      <c r="AD74" s="45">
        <f>AD73/seg_n_ng</f>
        <v/>
      </c>
      <c r="AE74" s="45">
        <f>AE73/seg_n_ng</f>
        <v/>
      </c>
      <c r="AF74" s="45">
        <f>AF73/seg_n_ng</f>
        <v/>
      </c>
      <c r="AG74" s="45">
        <f>AG73/seg_n_ng</f>
        <v/>
      </c>
      <c r="AH74" s="45">
        <f>AH73/seg_n_ng</f>
        <v/>
      </c>
      <c r="AI74" s="45">
        <f>AI73/seg_n_ng</f>
        <v/>
      </c>
      <c r="AJ74" s="45">
        <f>AJ73/seg_n_ng</f>
        <v/>
      </c>
      <c r="AK74" s="45">
        <f>AK73/seg_n_ng</f>
        <v/>
      </c>
      <c r="AL74" s="45">
        <f>AL73/seg_n_ng</f>
        <v/>
      </c>
      <c r="AM74" s="45">
        <f>AM73/seg_n_ng</f>
        <v/>
      </c>
      <c r="AN74" s="45">
        <f>AN73/seg_n_ng</f>
        <v/>
      </c>
      <c r="AO74" s="45">
        <f>AO73/seg_n_ng</f>
        <v/>
      </c>
      <c r="AP74" s="45">
        <f>AP73/seg_n_ng</f>
        <v/>
      </c>
      <c r="AQ74" s="45">
        <f>AQ73/seg_n_ng</f>
        <v/>
      </c>
      <c r="AR74" s="45">
        <f>AR73/seg_n_ng</f>
        <v/>
      </c>
      <c r="AS74" s="45">
        <f>AS73/seg_n_ng</f>
        <v/>
      </c>
      <c r="AT74" s="45">
        <f>AT73/seg_n_ng</f>
        <v/>
      </c>
      <c r="AU74" s="45">
        <f>AU73/seg_n_ng</f>
        <v/>
      </c>
      <c r="AV74" s="45">
        <f>AV73/seg_n_ng</f>
        <v/>
      </c>
      <c r="AW74" s="45">
        <f>AW73/seg_n_ng</f>
        <v/>
      </c>
      <c r="AX74" s="45">
        <f>AX73/seg_n_ng</f>
        <v/>
      </c>
      <c r="AY74" s="45">
        <f>AY73/seg_n_ng</f>
        <v/>
      </c>
      <c r="AZ74" s="45">
        <f>AZ73/seg_n_ng</f>
        <v/>
      </c>
      <c r="BA74" s="45">
        <f>BA73/seg_n_ng</f>
        <v/>
      </c>
      <c r="BB74" s="45">
        <f>BB73/seg_n_ng</f>
        <v/>
      </c>
      <c r="BC74" s="45">
        <f>BC73/seg_n_ng</f>
        <v/>
      </c>
      <c r="BD74" s="45">
        <f>BD73/seg_n_ng</f>
        <v/>
      </c>
      <c r="BE74" s="45">
        <f>BE73/seg_n_ng</f>
        <v/>
      </c>
      <c r="BF74" s="45">
        <f>BF73/seg_n_ng</f>
        <v/>
      </c>
      <c r="BG74" s="45">
        <f>BG73/seg_n_ng</f>
        <v/>
      </c>
      <c r="BH74" s="45">
        <f>BH73/seg_n_ng</f>
        <v/>
      </c>
      <c r="BI74" s="45">
        <f>BI73/seg_n_ng</f>
        <v/>
      </c>
      <c r="BJ74" s="45">
        <f>BJ73/seg_n_ng</f>
        <v/>
      </c>
      <c r="BK74" s="45">
        <f>BK73/seg_n_ng</f>
        <v/>
      </c>
    </row>
    <row r="75">
      <c r="A75" s="25" t="inlineStr">
        <is>
          <t>Cumulative contribution per activated saver</t>
        </is>
      </c>
      <c r="B75" s="28" t="inlineStr">
        <is>
          <t>₹</t>
        </is>
      </c>
      <c r="C75" s="44" t="n">
        <v>0</v>
      </c>
      <c r="D75" s="45">
        <f>C75+D74</f>
        <v/>
      </c>
      <c r="E75" s="45">
        <f>D75+E74</f>
        <v/>
      </c>
      <c r="F75" s="45">
        <f>E75+F74</f>
        <v/>
      </c>
      <c r="G75" s="45">
        <f>F75+G74</f>
        <v/>
      </c>
      <c r="H75" s="45">
        <f>G75+H74</f>
        <v/>
      </c>
      <c r="I75" s="45">
        <f>H75+I74</f>
        <v/>
      </c>
      <c r="J75" s="45">
        <f>I75+J74</f>
        <v/>
      </c>
      <c r="K75" s="45">
        <f>J75+K74</f>
        <v/>
      </c>
      <c r="L75" s="45">
        <f>K75+L74</f>
        <v/>
      </c>
      <c r="M75" s="45">
        <f>L75+M74</f>
        <v/>
      </c>
      <c r="N75" s="45">
        <f>M75+N74</f>
        <v/>
      </c>
      <c r="O75" s="45">
        <f>N75+O74</f>
        <v/>
      </c>
      <c r="P75" s="45">
        <f>O75+P74</f>
        <v/>
      </c>
      <c r="Q75" s="45">
        <f>P75+Q74</f>
        <v/>
      </c>
      <c r="R75" s="45">
        <f>Q75+R74</f>
        <v/>
      </c>
      <c r="S75" s="45">
        <f>R75+S74</f>
        <v/>
      </c>
      <c r="T75" s="45">
        <f>S75+T74</f>
        <v/>
      </c>
      <c r="U75" s="45">
        <f>T75+U74</f>
        <v/>
      </c>
      <c r="V75" s="45">
        <f>U75+V74</f>
        <v/>
      </c>
      <c r="W75" s="45">
        <f>V75+W74</f>
        <v/>
      </c>
      <c r="X75" s="45">
        <f>W75+X74</f>
        <v/>
      </c>
      <c r="Y75" s="45">
        <f>X75+Y74</f>
        <v/>
      </c>
      <c r="Z75" s="45">
        <f>Y75+Z74</f>
        <v/>
      </c>
      <c r="AA75" s="45">
        <f>Z75+AA74</f>
        <v/>
      </c>
      <c r="AB75" s="45">
        <f>AA75+AB74</f>
        <v/>
      </c>
      <c r="AC75" s="45">
        <f>AB75+AC74</f>
        <v/>
      </c>
      <c r="AD75" s="45">
        <f>AC75+AD74</f>
        <v/>
      </c>
      <c r="AE75" s="45">
        <f>AD75+AE74</f>
        <v/>
      </c>
      <c r="AF75" s="45">
        <f>AE75+AF74</f>
        <v/>
      </c>
      <c r="AG75" s="45">
        <f>AF75+AG74</f>
        <v/>
      </c>
      <c r="AH75" s="45">
        <f>AG75+AH74</f>
        <v/>
      </c>
      <c r="AI75" s="45">
        <f>AH75+AI74</f>
        <v/>
      </c>
      <c r="AJ75" s="45">
        <f>AI75+AJ74</f>
        <v/>
      </c>
      <c r="AK75" s="45">
        <f>AJ75+AK74</f>
        <v/>
      </c>
      <c r="AL75" s="45">
        <f>AK75+AL74</f>
        <v/>
      </c>
      <c r="AM75" s="45">
        <f>AL75+AM74</f>
        <v/>
      </c>
      <c r="AN75" s="45">
        <f>AM75+AN74</f>
        <v/>
      </c>
      <c r="AO75" s="45">
        <f>AN75+AO74</f>
        <v/>
      </c>
      <c r="AP75" s="45">
        <f>AO75+AP74</f>
        <v/>
      </c>
      <c r="AQ75" s="45">
        <f>AP75+AQ74</f>
        <v/>
      </c>
      <c r="AR75" s="45">
        <f>AQ75+AR74</f>
        <v/>
      </c>
      <c r="AS75" s="45">
        <f>AR75+AS74</f>
        <v/>
      </c>
      <c r="AT75" s="45">
        <f>AS75+AT74</f>
        <v/>
      </c>
      <c r="AU75" s="45">
        <f>AT75+AU74</f>
        <v/>
      </c>
      <c r="AV75" s="45">
        <f>AU75+AV74</f>
        <v/>
      </c>
      <c r="AW75" s="45">
        <f>AV75+AW74</f>
        <v/>
      </c>
      <c r="AX75" s="45">
        <f>AW75+AX74</f>
        <v/>
      </c>
      <c r="AY75" s="45">
        <f>AX75+AY74</f>
        <v/>
      </c>
      <c r="AZ75" s="45">
        <f>AY75+AZ74</f>
        <v/>
      </c>
      <c r="BA75" s="45">
        <f>AZ75+BA74</f>
        <v/>
      </c>
      <c r="BB75" s="45">
        <f>BA75+BB74</f>
        <v/>
      </c>
      <c r="BC75" s="45">
        <f>BB75+BC74</f>
        <v/>
      </c>
      <c r="BD75" s="45">
        <f>BC75+BD74</f>
        <v/>
      </c>
      <c r="BE75" s="45">
        <f>BD75+BE74</f>
        <v/>
      </c>
      <c r="BF75" s="45">
        <f>BE75+BF74</f>
        <v/>
      </c>
      <c r="BG75" s="45">
        <f>BF75+BG74</f>
        <v/>
      </c>
      <c r="BH75" s="45">
        <f>BG75+BH74</f>
        <v/>
      </c>
      <c r="BI75" s="45">
        <f>BH75+BI74</f>
        <v/>
      </c>
      <c r="BJ75" s="45">
        <f>BI75+BJ74</f>
        <v/>
      </c>
      <c r="BK75" s="45">
        <f>BJ75+BK74</f>
        <v/>
      </c>
    </row>
    <row r="76">
      <c r="A76" s="25" t="inlineStr">
        <is>
          <t>Discounted contribution per activated saver</t>
        </is>
      </c>
      <c r="B76" s="28" t="inlineStr">
        <is>
          <t>₹</t>
        </is>
      </c>
      <c r="C76" s="44" t="n">
        <v>0</v>
      </c>
      <c r="D76" s="45">
        <f>D74/(1+disc_rate_ng)^(D$4/12)</f>
        <v/>
      </c>
      <c r="E76" s="45">
        <f>E74/(1+disc_rate_ng)^(E$4/12)</f>
        <v/>
      </c>
      <c r="F76" s="45">
        <f>F74/(1+disc_rate_ng)^(F$4/12)</f>
        <v/>
      </c>
      <c r="G76" s="45">
        <f>G74/(1+disc_rate_ng)^(G$4/12)</f>
        <v/>
      </c>
      <c r="H76" s="45">
        <f>H74/(1+disc_rate_ng)^(H$4/12)</f>
        <v/>
      </c>
      <c r="I76" s="45">
        <f>I74/(1+disc_rate_ng)^(I$4/12)</f>
        <v/>
      </c>
      <c r="J76" s="45">
        <f>J74/(1+disc_rate_ng)^(J$4/12)</f>
        <v/>
      </c>
      <c r="K76" s="45">
        <f>K74/(1+disc_rate_ng)^(K$4/12)</f>
        <v/>
      </c>
      <c r="L76" s="45">
        <f>L74/(1+disc_rate_ng)^(L$4/12)</f>
        <v/>
      </c>
      <c r="M76" s="45">
        <f>M74/(1+disc_rate_ng)^(M$4/12)</f>
        <v/>
      </c>
      <c r="N76" s="45">
        <f>N74/(1+disc_rate_ng)^(N$4/12)</f>
        <v/>
      </c>
      <c r="O76" s="45">
        <f>O74/(1+disc_rate_ng)^(O$4/12)</f>
        <v/>
      </c>
      <c r="P76" s="45">
        <f>P74/(1+disc_rate_ng)^(P$4/12)</f>
        <v/>
      </c>
      <c r="Q76" s="45">
        <f>Q74/(1+disc_rate_ng)^(Q$4/12)</f>
        <v/>
      </c>
      <c r="R76" s="45">
        <f>R74/(1+disc_rate_ng)^(R$4/12)</f>
        <v/>
      </c>
      <c r="S76" s="45">
        <f>S74/(1+disc_rate_ng)^(S$4/12)</f>
        <v/>
      </c>
      <c r="T76" s="45">
        <f>T74/(1+disc_rate_ng)^(T$4/12)</f>
        <v/>
      </c>
      <c r="U76" s="45">
        <f>U74/(1+disc_rate_ng)^(U$4/12)</f>
        <v/>
      </c>
      <c r="V76" s="45">
        <f>V74/(1+disc_rate_ng)^(V$4/12)</f>
        <v/>
      </c>
      <c r="W76" s="45">
        <f>W74/(1+disc_rate_ng)^(W$4/12)</f>
        <v/>
      </c>
      <c r="X76" s="45">
        <f>X74/(1+disc_rate_ng)^(X$4/12)</f>
        <v/>
      </c>
      <c r="Y76" s="45">
        <f>Y74/(1+disc_rate_ng)^(Y$4/12)</f>
        <v/>
      </c>
      <c r="Z76" s="45">
        <f>Z74/(1+disc_rate_ng)^(Z$4/12)</f>
        <v/>
      </c>
      <c r="AA76" s="45">
        <f>AA74/(1+disc_rate_ng)^(AA$4/12)</f>
        <v/>
      </c>
      <c r="AB76" s="45">
        <f>AB74/(1+disc_rate_ng)^(AB$4/12)</f>
        <v/>
      </c>
      <c r="AC76" s="45">
        <f>AC74/(1+disc_rate_ng)^(AC$4/12)</f>
        <v/>
      </c>
      <c r="AD76" s="45">
        <f>AD74/(1+disc_rate_ng)^(AD$4/12)</f>
        <v/>
      </c>
      <c r="AE76" s="45">
        <f>AE74/(1+disc_rate_ng)^(AE$4/12)</f>
        <v/>
      </c>
      <c r="AF76" s="45">
        <f>AF74/(1+disc_rate_ng)^(AF$4/12)</f>
        <v/>
      </c>
      <c r="AG76" s="45">
        <f>AG74/(1+disc_rate_ng)^(AG$4/12)</f>
        <v/>
      </c>
      <c r="AH76" s="45">
        <f>AH74/(1+disc_rate_ng)^(AH$4/12)</f>
        <v/>
      </c>
      <c r="AI76" s="45">
        <f>AI74/(1+disc_rate_ng)^(AI$4/12)</f>
        <v/>
      </c>
      <c r="AJ76" s="45">
        <f>AJ74/(1+disc_rate_ng)^(AJ$4/12)</f>
        <v/>
      </c>
      <c r="AK76" s="45">
        <f>AK74/(1+disc_rate_ng)^(AK$4/12)</f>
        <v/>
      </c>
      <c r="AL76" s="45">
        <f>AL74/(1+disc_rate_ng)^(AL$4/12)</f>
        <v/>
      </c>
      <c r="AM76" s="45">
        <f>AM74/(1+disc_rate_ng)^(AM$4/12)</f>
        <v/>
      </c>
      <c r="AN76" s="45">
        <f>AN74/(1+disc_rate_ng)^(AN$4/12)</f>
        <v/>
      </c>
      <c r="AO76" s="45">
        <f>AO74/(1+disc_rate_ng)^(AO$4/12)</f>
        <v/>
      </c>
      <c r="AP76" s="45">
        <f>AP74/(1+disc_rate_ng)^(AP$4/12)</f>
        <v/>
      </c>
      <c r="AQ76" s="45">
        <f>AQ74/(1+disc_rate_ng)^(AQ$4/12)</f>
        <v/>
      </c>
      <c r="AR76" s="45">
        <f>AR74/(1+disc_rate_ng)^(AR$4/12)</f>
        <v/>
      </c>
      <c r="AS76" s="45">
        <f>AS74/(1+disc_rate_ng)^(AS$4/12)</f>
        <v/>
      </c>
      <c r="AT76" s="45">
        <f>AT74/(1+disc_rate_ng)^(AT$4/12)</f>
        <v/>
      </c>
      <c r="AU76" s="45">
        <f>AU74/(1+disc_rate_ng)^(AU$4/12)</f>
        <v/>
      </c>
      <c r="AV76" s="45">
        <f>AV74/(1+disc_rate_ng)^(AV$4/12)</f>
        <v/>
      </c>
      <c r="AW76" s="45">
        <f>AW74/(1+disc_rate_ng)^(AW$4/12)</f>
        <v/>
      </c>
      <c r="AX76" s="45">
        <f>AX74/(1+disc_rate_ng)^(AX$4/12)</f>
        <v/>
      </c>
      <c r="AY76" s="45">
        <f>AY74/(1+disc_rate_ng)^(AY$4/12)</f>
        <v/>
      </c>
      <c r="AZ76" s="45">
        <f>AZ74/(1+disc_rate_ng)^(AZ$4/12)</f>
        <v/>
      </c>
      <c r="BA76" s="45">
        <f>BA74/(1+disc_rate_ng)^(BA$4/12)</f>
        <v/>
      </c>
      <c r="BB76" s="45">
        <f>BB74/(1+disc_rate_ng)^(BB$4/12)</f>
        <v/>
      </c>
      <c r="BC76" s="45">
        <f>BC74/(1+disc_rate_ng)^(BC$4/12)</f>
        <v/>
      </c>
      <c r="BD76" s="45">
        <f>BD74/(1+disc_rate_ng)^(BD$4/12)</f>
        <v/>
      </c>
      <c r="BE76" s="45">
        <f>BE74/(1+disc_rate_ng)^(BE$4/12)</f>
        <v/>
      </c>
      <c r="BF76" s="45">
        <f>BF74/(1+disc_rate_ng)^(BF$4/12)</f>
        <v/>
      </c>
      <c r="BG76" s="45">
        <f>BG74/(1+disc_rate_ng)^(BG$4/12)</f>
        <v/>
      </c>
      <c r="BH76" s="45">
        <f>BH74/(1+disc_rate_ng)^(BH$4/12)</f>
        <v/>
      </c>
      <c r="BI76" s="45">
        <f>BI74/(1+disc_rate_ng)^(BI$4/12)</f>
        <v/>
      </c>
      <c r="BJ76" s="45">
        <f>BJ74/(1+disc_rate_ng)^(BJ$4/12)</f>
        <v/>
      </c>
      <c r="BK76" s="45">
        <f>BK74/(1+disc_rate_ng)^(BK$4/12)</f>
        <v/>
      </c>
    </row>
    <row r="77">
      <c r="A77" s="25" t="inlineStr">
        <is>
          <t>Payback flag (month if cumulative ≥ CAC, else 999)</t>
        </is>
      </c>
      <c r="B77" s="28" t="inlineStr">
        <is>
          <t>month</t>
        </is>
      </c>
      <c r="D77" s="46">
        <f>IF(D75&gt;=cac_ng,D$4,999)</f>
        <v/>
      </c>
      <c r="E77" s="46">
        <f>IF(E75&gt;=cac_ng,E$4,999)</f>
        <v/>
      </c>
      <c r="F77" s="46">
        <f>IF(F75&gt;=cac_ng,F$4,999)</f>
        <v/>
      </c>
      <c r="G77" s="46">
        <f>IF(G75&gt;=cac_ng,G$4,999)</f>
        <v/>
      </c>
      <c r="H77" s="46">
        <f>IF(H75&gt;=cac_ng,H$4,999)</f>
        <v/>
      </c>
      <c r="I77" s="46">
        <f>IF(I75&gt;=cac_ng,I$4,999)</f>
        <v/>
      </c>
      <c r="J77" s="46">
        <f>IF(J75&gt;=cac_ng,J$4,999)</f>
        <v/>
      </c>
      <c r="K77" s="46">
        <f>IF(K75&gt;=cac_ng,K$4,999)</f>
        <v/>
      </c>
      <c r="L77" s="46">
        <f>IF(L75&gt;=cac_ng,L$4,999)</f>
        <v/>
      </c>
      <c r="M77" s="46">
        <f>IF(M75&gt;=cac_ng,M$4,999)</f>
        <v/>
      </c>
      <c r="N77" s="46">
        <f>IF(N75&gt;=cac_ng,N$4,999)</f>
        <v/>
      </c>
      <c r="O77" s="46">
        <f>IF(O75&gt;=cac_ng,O$4,999)</f>
        <v/>
      </c>
      <c r="P77" s="46">
        <f>IF(P75&gt;=cac_ng,P$4,999)</f>
        <v/>
      </c>
      <c r="Q77" s="46">
        <f>IF(Q75&gt;=cac_ng,Q$4,999)</f>
        <v/>
      </c>
      <c r="R77" s="46">
        <f>IF(R75&gt;=cac_ng,R$4,999)</f>
        <v/>
      </c>
      <c r="S77" s="46">
        <f>IF(S75&gt;=cac_ng,S$4,999)</f>
        <v/>
      </c>
      <c r="T77" s="46">
        <f>IF(T75&gt;=cac_ng,T$4,999)</f>
        <v/>
      </c>
      <c r="U77" s="46">
        <f>IF(U75&gt;=cac_ng,U$4,999)</f>
        <v/>
      </c>
      <c r="V77" s="46">
        <f>IF(V75&gt;=cac_ng,V$4,999)</f>
        <v/>
      </c>
      <c r="W77" s="46">
        <f>IF(W75&gt;=cac_ng,W$4,999)</f>
        <v/>
      </c>
      <c r="X77" s="46">
        <f>IF(X75&gt;=cac_ng,X$4,999)</f>
        <v/>
      </c>
      <c r="Y77" s="46">
        <f>IF(Y75&gt;=cac_ng,Y$4,999)</f>
        <v/>
      </c>
      <c r="Z77" s="46">
        <f>IF(Z75&gt;=cac_ng,Z$4,999)</f>
        <v/>
      </c>
      <c r="AA77" s="46">
        <f>IF(AA75&gt;=cac_ng,AA$4,999)</f>
        <v/>
      </c>
      <c r="AB77" s="46">
        <f>IF(AB75&gt;=cac_ng,AB$4,999)</f>
        <v/>
      </c>
      <c r="AC77" s="46">
        <f>IF(AC75&gt;=cac_ng,AC$4,999)</f>
        <v/>
      </c>
      <c r="AD77" s="46">
        <f>IF(AD75&gt;=cac_ng,AD$4,999)</f>
        <v/>
      </c>
      <c r="AE77" s="46">
        <f>IF(AE75&gt;=cac_ng,AE$4,999)</f>
        <v/>
      </c>
      <c r="AF77" s="46">
        <f>IF(AF75&gt;=cac_ng,AF$4,999)</f>
        <v/>
      </c>
      <c r="AG77" s="46">
        <f>IF(AG75&gt;=cac_ng,AG$4,999)</f>
        <v/>
      </c>
      <c r="AH77" s="46">
        <f>IF(AH75&gt;=cac_ng,AH$4,999)</f>
        <v/>
      </c>
      <c r="AI77" s="46">
        <f>IF(AI75&gt;=cac_ng,AI$4,999)</f>
        <v/>
      </c>
      <c r="AJ77" s="46">
        <f>IF(AJ75&gt;=cac_ng,AJ$4,999)</f>
        <v/>
      </c>
      <c r="AK77" s="46">
        <f>IF(AK75&gt;=cac_ng,AK$4,999)</f>
        <v/>
      </c>
      <c r="AL77" s="46">
        <f>IF(AL75&gt;=cac_ng,AL$4,999)</f>
        <v/>
      </c>
      <c r="AM77" s="46">
        <f>IF(AM75&gt;=cac_ng,AM$4,999)</f>
        <v/>
      </c>
      <c r="AN77" s="46">
        <f>IF(AN75&gt;=cac_ng,AN$4,999)</f>
        <v/>
      </c>
      <c r="AO77" s="46">
        <f>IF(AO75&gt;=cac_ng,AO$4,999)</f>
        <v/>
      </c>
      <c r="AP77" s="46">
        <f>IF(AP75&gt;=cac_ng,AP$4,999)</f>
        <v/>
      </c>
      <c r="AQ77" s="46">
        <f>IF(AQ75&gt;=cac_ng,AQ$4,999)</f>
        <v/>
      </c>
      <c r="AR77" s="46">
        <f>IF(AR75&gt;=cac_ng,AR$4,999)</f>
        <v/>
      </c>
      <c r="AS77" s="46">
        <f>IF(AS75&gt;=cac_ng,AS$4,999)</f>
        <v/>
      </c>
      <c r="AT77" s="46">
        <f>IF(AT75&gt;=cac_ng,AT$4,999)</f>
        <v/>
      </c>
      <c r="AU77" s="46">
        <f>IF(AU75&gt;=cac_ng,AU$4,999)</f>
        <v/>
      </c>
      <c r="AV77" s="46">
        <f>IF(AV75&gt;=cac_ng,AV$4,999)</f>
        <v/>
      </c>
      <c r="AW77" s="46">
        <f>IF(AW75&gt;=cac_ng,AW$4,999)</f>
        <v/>
      </c>
      <c r="AX77" s="46">
        <f>IF(AX75&gt;=cac_ng,AX$4,999)</f>
        <v/>
      </c>
      <c r="AY77" s="46">
        <f>IF(AY75&gt;=cac_ng,AY$4,999)</f>
        <v/>
      </c>
      <c r="AZ77" s="46">
        <f>IF(AZ75&gt;=cac_ng,AZ$4,999)</f>
        <v/>
      </c>
      <c r="BA77" s="46">
        <f>IF(BA75&gt;=cac_ng,BA$4,999)</f>
        <v/>
      </c>
      <c r="BB77" s="46">
        <f>IF(BB75&gt;=cac_ng,BB$4,999)</f>
        <v/>
      </c>
      <c r="BC77" s="46">
        <f>IF(BC75&gt;=cac_ng,BC$4,999)</f>
        <v/>
      </c>
      <c r="BD77" s="46">
        <f>IF(BD75&gt;=cac_ng,BD$4,999)</f>
        <v/>
      </c>
      <c r="BE77" s="46">
        <f>IF(BE75&gt;=cac_ng,BE$4,999)</f>
        <v/>
      </c>
      <c r="BF77" s="46">
        <f>IF(BF75&gt;=cac_ng,BF$4,999)</f>
        <v/>
      </c>
      <c r="BG77" s="46">
        <f>IF(BG75&gt;=cac_ng,BG$4,999)</f>
        <v/>
      </c>
      <c r="BH77" s="46">
        <f>IF(BH75&gt;=cac_ng,BH$4,999)</f>
        <v/>
      </c>
      <c r="BI77" s="46">
        <f>IF(BI75&gt;=cac_ng,BI$4,999)</f>
        <v/>
      </c>
      <c r="BJ77" s="46">
        <f>IF(BJ75&gt;=cac_ng,BJ$4,999)</f>
        <v/>
      </c>
      <c r="BK77" s="46">
        <f>IF(BK75&gt;=cac_ng,BK$4,999)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K1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2" customWidth="1" min="1" max="1"/>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s>
  <sheetData>
    <row r="1">
      <c r="A1" s="1" t="inlineStr">
        <is>
          <t>Cohort total: gig + non-gig savers in one monthly cohort of `cohort_size` activated savers</t>
        </is>
      </c>
    </row>
    <row r="2">
      <c r="A2" s="28" t="inlineStr">
        <is>
          <t>Adds the two segment sheets month by month. LTV, payback and the path use these rows.</t>
        </is>
      </c>
    </row>
    <row r="4">
      <c r="A4" s="2" t="inlineStr">
        <is>
          <t>Month of cohort life</t>
        </is>
      </c>
      <c r="C4" s="41" t="n">
        <v>0</v>
      </c>
      <c r="D4" s="41" t="n">
        <v>1</v>
      </c>
      <c r="E4" s="41" t="n">
        <v>2</v>
      </c>
      <c r="F4" s="41" t="n">
        <v>3</v>
      </c>
      <c r="G4" s="41" t="n">
        <v>4</v>
      </c>
      <c r="H4" s="41" t="n">
        <v>5</v>
      </c>
      <c r="I4" s="41" t="n">
        <v>6</v>
      </c>
      <c r="J4" s="41" t="n">
        <v>7</v>
      </c>
      <c r="K4" s="41" t="n">
        <v>8</v>
      </c>
      <c r="L4" s="41" t="n">
        <v>9</v>
      </c>
      <c r="M4" s="41" t="n">
        <v>10</v>
      </c>
      <c r="N4" s="41" t="n">
        <v>11</v>
      </c>
      <c r="O4" s="41" t="n">
        <v>12</v>
      </c>
      <c r="P4" s="41" t="n">
        <v>13</v>
      </c>
      <c r="Q4" s="41" t="n">
        <v>14</v>
      </c>
      <c r="R4" s="41" t="n">
        <v>15</v>
      </c>
      <c r="S4" s="41" t="n">
        <v>16</v>
      </c>
      <c r="T4" s="41" t="n">
        <v>17</v>
      </c>
      <c r="U4" s="41" t="n">
        <v>18</v>
      </c>
      <c r="V4" s="41" t="n">
        <v>19</v>
      </c>
      <c r="W4" s="41" t="n">
        <v>20</v>
      </c>
      <c r="X4" s="41" t="n">
        <v>21</v>
      </c>
      <c r="Y4" s="41" t="n">
        <v>22</v>
      </c>
      <c r="Z4" s="41" t="n">
        <v>23</v>
      </c>
      <c r="AA4" s="41" t="n">
        <v>24</v>
      </c>
      <c r="AB4" s="41" t="n">
        <v>25</v>
      </c>
      <c r="AC4" s="41" t="n">
        <v>26</v>
      </c>
      <c r="AD4" s="41" t="n">
        <v>27</v>
      </c>
      <c r="AE4" s="41" t="n">
        <v>28</v>
      </c>
      <c r="AF4" s="41" t="n">
        <v>29</v>
      </c>
      <c r="AG4" s="41" t="n">
        <v>30</v>
      </c>
      <c r="AH4" s="41" t="n">
        <v>31</v>
      </c>
      <c r="AI4" s="41" t="n">
        <v>32</v>
      </c>
      <c r="AJ4" s="41" t="n">
        <v>33</v>
      </c>
      <c r="AK4" s="41" t="n">
        <v>34</v>
      </c>
      <c r="AL4" s="41" t="n">
        <v>35</v>
      </c>
      <c r="AM4" s="41" t="n">
        <v>36</v>
      </c>
      <c r="AN4" s="41" t="n">
        <v>37</v>
      </c>
      <c r="AO4" s="41" t="n">
        <v>38</v>
      </c>
      <c r="AP4" s="41" t="n">
        <v>39</v>
      </c>
      <c r="AQ4" s="41" t="n">
        <v>40</v>
      </c>
      <c r="AR4" s="41" t="n">
        <v>41</v>
      </c>
      <c r="AS4" s="41" t="n">
        <v>42</v>
      </c>
      <c r="AT4" s="41" t="n">
        <v>43</v>
      </c>
      <c r="AU4" s="41" t="n">
        <v>44</v>
      </c>
      <c r="AV4" s="41" t="n">
        <v>45</v>
      </c>
      <c r="AW4" s="41" t="n">
        <v>46</v>
      </c>
      <c r="AX4" s="41" t="n">
        <v>47</v>
      </c>
      <c r="AY4" s="41" t="n">
        <v>48</v>
      </c>
      <c r="AZ4" s="41" t="n">
        <v>49</v>
      </c>
      <c r="BA4" s="41" t="n">
        <v>50</v>
      </c>
      <c r="BB4" s="41" t="n">
        <v>51</v>
      </c>
      <c r="BC4" s="41" t="n">
        <v>52</v>
      </c>
      <c r="BD4" s="41" t="n">
        <v>53</v>
      </c>
      <c r="BE4" s="41" t="n">
        <v>54</v>
      </c>
      <c r="BF4" s="41" t="n">
        <v>55</v>
      </c>
      <c r="BG4" s="41" t="n">
        <v>56</v>
      </c>
      <c r="BH4" s="41" t="n">
        <v>57</v>
      </c>
      <c r="BI4" s="41" t="n">
        <v>58</v>
      </c>
      <c r="BJ4" s="41" t="n">
        <v>59</v>
      </c>
      <c r="BK4" s="41" t="n">
        <v>60</v>
      </c>
    </row>
    <row r="5">
      <c r="A5" s="25" t="inlineStr">
        <is>
          <t>Active savers (both segments)</t>
        </is>
      </c>
      <c r="C5" s="40">
        <f>'Cohort gig'!C7+'Cohort non-gig'!C7</f>
        <v/>
      </c>
      <c r="D5" s="40">
        <f>'Cohort gig'!D7+'Cohort non-gig'!D7</f>
        <v/>
      </c>
      <c r="E5" s="40">
        <f>'Cohort gig'!E7+'Cohort non-gig'!E7</f>
        <v/>
      </c>
      <c r="F5" s="40">
        <f>'Cohort gig'!F7+'Cohort non-gig'!F7</f>
        <v/>
      </c>
      <c r="G5" s="40">
        <f>'Cohort gig'!G7+'Cohort non-gig'!G7</f>
        <v/>
      </c>
      <c r="H5" s="40">
        <f>'Cohort gig'!H7+'Cohort non-gig'!H7</f>
        <v/>
      </c>
      <c r="I5" s="40">
        <f>'Cohort gig'!I7+'Cohort non-gig'!I7</f>
        <v/>
      </c>
      <c r="J5" s="40">
        <f>'Cohort gig'!J7+'Cohort non-gig'!J7</f>
        <v/>
      </c>
      <c r="K5" s="40">
        <f>'Cohort gig'!K7+'Cohort non-gig'!K7</f>
        <v/>
      </c>
      <c r="L5" s="40">
        <f>'Cohort gig'!L7+'Cohort non-gig'!L7</f>
        <v/>
      </c>
      <c r="M5" s="40">
        <f>'Cohort gig'!M7+'Cohort non-gig'!M7</f>
        <v/>
      </c>
      <c r="N5" s="40">
        <f>'Cohort gig'!N7+'Cohort non-gig'!N7</f>
        <v/>
      </c>
      <c r="O5" s="40">
        <f>'Cohort gig'!O7+'Cohort non-gig'!O7</f>
        <v/>
      </c>
      <c r="P5" s="40">
        <f>'Cohort gig'!P7+'Cohort non-gig'!P7</f>
        <v/>
      </c>
      <c r="Q5" s="40">
        <f>'Cohort gig'!Q7+'Cohort non-gig'!Q7</f>
        <v/>
      </c>
      <c r="R5" s="40">
        <f>'Cohort gig'!R7+'Cohort non-gig'!R7</f>
        <v/>
      </c>
      <c r="S5" s="40">
        <f>'Cohort gig'!S7+'Cohort non-gig'!S7</f>
        <v/>
      </c>
      <c r="T5" s="40">
        <f>'Cohort gig'!T7+'Cohort non-gig'!T7</f>
        <v/>
      </c>
      <c r="U5" s="40">
        <f>'Cohort gig'!U7+'Cohort non-gig'!U7</f>
        <v/>
      </c>
      <c r="V5" s="40">
        <f>'Cohort gig'!V7+'Cohort non-gig'!V7</f>
        <v/>
      </c>
      <c r="W5" s="40">
        <f>'Cohort gig'!W7+'Cohort non-gig'!W7</f>
        <v/>
      </c>
      <c r="X5" s="40">
        <f>'Cohort gig'!X7+'Cohort non-gig'!X7</f>
        <v/>
      </c>
      <c r="Y5" s="40">
        <f>'Cohort gig'!Y7+'Cohort non-gig'!Y7</f>
        <v/>
      </c>
      <c r="Z5" s="40">
        <f>'Cohort gig'!Z7+'Cohort non-gig'!Z7</f>
        <v/>
      </c>
      <c r="AA5" s="40">
        <f>'Cohort gig'!AA7+'Cohort non-gig'!AA7</f>
        <v/>
      </c>
      <c r="AB5" s="40">
        <f>'Cohort gig'!AB7+'Cohort non-gig'!AB7</f>
        <v/>
      </c>
      <c r="AC5" s="40">
        <f>'Cohort gig'!AC7+'Cohort non-gig'!AC7</f>
        <v/>
      </c>
      <c r="AD5" s="40">
        <f>'Cohort gig'!AD7+'Cohort non-gig'!AD7</f>
        <v/>
      </c>
      <c r="AE5" s="40">
        <f>'Cohort gig'!AE7+'Cohort non-gig'!AE7</f>
        <v/>
      </c>
      <c r="AF5" s="40">
        <f>'Cohort gig'!AF7+'Cohort non-gig'!AF7</f>
        <v/>
      </c>
      <c r="AG5" s="40">
        <f>'Cohort gig'!AG7+'Cohort non-gig'!AG7</f>
        <v/>
      </c>
      <c r="AH5" s="40">
        <f>'Cohort gig'!AH7+'Cohort non-gig'!AH7</f>
        <v/>
      </c>
      <c r="AI5" s="40">
        <f>'Cohort gig'!AI7+'Cohort non-gig'!AI7</f>
        <v/>
      </c>
      <c r="AJ5" s="40">
        <f>'Cohort gig'!AJ7+'Cohort non-gig'!AJ7</f>
        <v/>
      </c>
      <c r="AK5" s="40">
        <f>'Cohort gig'!AK7+'Cohort non-gig'!AK7</f>
        <v/>
      </c>
      <c r="AL5" s="40">
        <f>'Cohort gig'!AL7+'Cohort non-gig'!AL7</f>
        <v/>
      </c>
      <c r="AM5" s="40">
        <f>'Cohort gig'!AM7+'Cohort non-gig'!AM7</f>
        <v/>
      </c>
      <c r="AN5" s="40">
        <f>'Cohort gig'!AN7+'Cohort non-gig'!AN7</f>
        <v/>
      </c>
      <c r="AO5" s="40">
        <f>'Cohort gig'!AO7+'Cohort non-gig'!AO7</f>
        <v/>
      </c>
      <c r="AP5" s="40">
        <f>'Cohort gig'!AP7+'Cohort non-gig'!AP7</f>
        <v/>
      </c>
      <c r="AQ5" s="40">
        <f>'Cohort gig'!AQ7+'Cohort non-gig'!AQ7</f>
        <v/>
      </c>
      <c r="AR5" s="40">
        <f>'Cohort gig'!AR7+'Cohort non-gig'!AR7</f>
        <v/>
      </c>
      <c r="AS5" s="40">
        <f>'Cohort gig'!AS7+'Cohort non-gig'!AS7</f>
        <v/>
      </c>
      <c r="AT5" s="40">
        <f>'Cohort gig'!AT7+'Cohort non-gig'!AT7</f>
        <v/>
      </c>
      <c r="AU5" s="40">
        <f>'Cohort gig'!AU7+'Cohort non-gig'!AU7</f>
        <v/>
      </c>
      <c r="AV5" s="40">
        <f>'Cohort gig'!AV7+'Cohort non-gig'!AV7</f>
        <v/>
      </c>
      <c r="AW5" s="40">
        <f>'Cohort gig'!AW7+'Cohort non-gig'!AW7</f>
        <v/>
      </c>
      <c r="AX5" s="40">
        <f>'Cohort gig'!AX7+'Cohort non-gig'!AX7</f>
        <v/>
      </c>
      <c r="AY5" s="40">
        <f>'Cohort gig'!AY7+'Cohort non-gig'!AY7</f>
        <v/>
      </c>
      <c r="AZ5" s="40">
        <f>'Cohort gig'!AZ7+'Cohort non-gig'!AZ7</f>
        <v/>
      </c>
      <c r="BA5" s="40">
        <f>'Cohort gig'!BA7+'Cohort non-gig'!BA7</f>
        <v/>
      </c>
      <c r="BB5" s="40">
        <f>'Cohort gig'!BB7+'Cohort non-gig'!BB7</f>
        <v/>
      </c>
      <c r="BC5" s="40">
        <f>'Cohort gig'!BC7+'Cohort non-gig'!BC7</f>
        <v/>
      </c>
      <c r="BD5" s="40">
        <f>'Cohort gig'!BD7+'Cohort non-gig'!BD7</f>
        <v/>
      </c>
      <c r="BE5" s="40">
        <f>'Cohort gig'!BE7+'Cohort non-gig'!BE7</f>
        <v/>
      </c>
      <c r="BF5" s="40">
        <f>'Cohort gig'!BF7+'Cohort non-gig'!BF7</f>
        <v/>
      </c>
      <c r="BG5" s="40">
        <f>'Cohort gig'!BG7+'Cohort non-gig'!BG7</f>
        <v/>
      </c>
      <c r="BH5" s="40">
        <f>'Cohort gig'!BH7+'Cohort non-gig'!BH7</f>
        <v/>
      </c>
      <c r="BI5" s="40">
        <f>'Cohort gig'!BI7+'Cohort non-gig'!BI7</f>
        <v/>
      </c>
      <c r="BJ5" s="40">
        <f>'Cohort gig'!BJ7+'Cohort non-gig'!BJ7</f>
        <v/>
      </c>
      <c r="BK5" s="40">
        <f>'Cohort gig'!BK7+'Cohort non-gig'!BK7</f>
        <v/>
      </c>
    </row>
    <row r="6">
      <c r="A6" s="2" t="inlineStr">
        <is>
          <t>Total revenue</t>
        </is>
      </c>
      <c r="C6" s="40">
        <f>'Cohort gig'!C63+'Cohort non-gig'!C63</f>
        <v/>
      </c>
      <c r="D6" s="40">
        <f>'Cohort gig'!D63+'Cohort non-gig'!D63</f>
        <v/>
      </c>
      <c r="E6" s="40">
        <f>'Cohort gig'!E63+'Cohort non-gig'!E63</f>
        <v/>
      </c>
      <c r="F6" s="40">
        <f>'Cohort gig'!F63+'Cohort non-gig'!F63</f>
        <v/>
      </c>
      <c r="G6" s="40">
        <f>'Cohort gig'!G63+'Cohort non-gig'!G63</f>
        <v/>
      </c>
      <c r="H6" s="40">
        <f>'Cohort gig'!H63+'Cohort non-gig'!H63</f>
        <v/>
      </c>
      <c r="I6" s="40">
        <f>'Cohort gig'!I63+'Cohort non-gig'!I63</f>
        <v/>
      </c>
      <c r="J6" s="40">
        <f>'Cohort gig'!J63+'Cohort non-gig'!J63</f>
        <v/>
      </c>
      <c r="K6" s="40">
        <f>'Cohort gig'!K63+'Cohort non-gig'!K63</f>
        <v/>
      </c>
      <c r="L6" s="40">
        <f>'Cohort gig'!L63+'Cohort non-gig'!L63</f>
        <v/>
      </c>
      <c r="M6" s="40">
        <f>'Cohort gig'!M63+'Cohort non-gig'!M63</f>
        <v/>
      </c>
      <c r="N6" s="40">
        <f>'Cohort gig'!N63+'Cohort non-gig'!N63</f>
        <v/>
      </c>
      <c r="O6" s="40">
        <f>'Cohort gig'!O63+'Cohort non-gig'!O63</f>
        <v/>
      </c>
      <c r="P6" s="40">
        <f>'Cohort gig'!P63+'Cohort non-gig'!P63</f>
        <v/>
      </c>
      <c r="Q6" s="40">
        <f>'Cohort gig'!Q63+'Cohort non-gig'!Q63</f>
        <v/>
      </c>
      <c r="R6" s="40">
        <f>'Cohort gig'!R63+'Cohort non-gig'!R63</f>
        <v/>
      </c>
      <c r="S6" s="40">
        <f>'Cohort gig'!S63+'Cohort non-gig'!S63</f>
        <v/>
      </c>
      <c r="T6" s="40">
        <f>'Cohort gig'!T63+'Cohort non-gig'!T63</f>
        <v/>
      </c>
      <c r="U6" s="40">
        <f>'Cohort gig'!U63+'Cohort non-gig'!U63</f>
        <v/>
      </c>
      <c r="V6" s="40">
        <f>'Cohort gig'!V63+'Cohort non-gig'!V63</f>
        <v/>
      </c>
      <c r="W6" s="40">
        <f>'Cohort gig'!W63+'Cohort non-gig'!W63</f>
        <v/>
      </c>
      <c r="X6" s="40">
        <f>'Cohort gig'!X63+'Cohort non-gig'!X63</f>
        <v/>
      </c>
      <c r="Y6" s="40">
        <f>'Cohort gig'!Y63+'Cohort non-gig'!Y63</f>
        <v/>
      </c>
      <c r="Z6" s="40">
        <f>'Cohort gig'!Z63+'Cohort non-gig'!Z63</f>
        <v/>
      </c>
      <c r="AA6" s="40">
        <f>'Cohort gig'!AA63+'Cohort non-gig'!AA63</f>
        <v/>
      </c>
      <c r="AB6" s="40">
        <f>'Cohort gig'!AB63+'Cohort non-gig'!AB63</f>
        <v/>
      </c>
      <c r="AC6" s="40">
        <f>'Cohort gig'!AC63+'Cohort non-gig'!AC63</f>
        <v/>
      </c>
      <c r="AD6" s="40">
        <f>'Cohort gig'!AD63+'Cohort non-gig'!AD63</f>
        <v/>
      </c>
      <c r="AE6" s="40">
        <f>'Cohort gig'!AE63+'Cohort non-gig'!AE63</f>
        <v/>
      </c>
      <c r="AF6" s="40">
        <f>'Cohort gig'!AF63+'Cohort non-gig'!AF63</f>
        <v/>
      </c>
      <c r="AG6" s="40">
        <f>'Cohort gig'!AG63+'Cohort non-gig'!AG63</f>
        <v/>
      </c>
      <c r="AH6" s="40">
        <f>'Cohort gig'!AH63+'Cohort non-gig'!AH63</f>
        <v/>
      </c>
      <c r="AI6" s="40">
        <f>'Cohort gig'!AI63+'Cohort non-gig'!AI63</f>
        <v/>
      </c>
      <c r="AJ6" s="40">
        <f>'Cohort gig'!AJ63+'Cohort non-gig'!AJ63</f>
        <v/>
      </c>
      <c r="AK6" s="40">
        <f>'Cohort gig'!AK63+'Cohort non-gig'!AK63</f>
        <v/>
      </c>
      <c r="AL6" s="40">
        <f>'Cohort gig'!AL63+'Cohort non-gig'!AL63</f>
        <v/>
      </c>
      <c r="AM6" s="40">
        <f>'Cohort gig'!AM63+'Cohort non-gig'!AM63</f>
        <v/>
      </c>
      <c r="AN6" s="40">
        <f>'Cohort gig'!AN63+'Cohort non-gig'!AN63</f>
        <v/>
      </c>
      <c r="AO6" s="40">
        <f>'Cohort gig'!AO63+'Cohort non-gig'!AO63</f>
        <v/>
      </c>
      <c r="AP6" s="40">
        <f>'Cohort gig'!AP63+'Cohort non-gig'!AP63</f>
        <v/>
      </c>
      <c r="AQ6" s="40">
        <f>'Cohort gig'!AQ63+'Cohort non-gig'!AQ63</f>
        <v/>
      </c>
      <c r="AR6" s="40">
        <f>'Cohort gig'!AR63+'Cohort non-gig'!AR63</f>
        <v/>
      </c>
      <c r="AS6" s="40">
        <f>'Cohort gig'!AS63+'Cohort non-gig'!AS63</f>
        <v/>
      </c>
      <c r="AT6" s="40">
        <f>'Cohort gig'!AT63+'Cohort non-gig'!AT63</f>
        <v/>
      </c>
      <c r="AU6" s="40">
        <f>'Cohort gig'!AU63+'Cohort non-gig'!AU63</f>
        <v/>
      </c>
      <c r="AV6" s="40">
        <f>'Cohort gig'!AV63+'Cohort non-gig'!AV63</f>
        <v/>
      </c>
      <c r="AW6" s="40">
        <f>'Cohort gig'!AW63+'Cohort non-gig'!AW63</f>
        <v/>
      </c>
      <c r="AX6" s="40">
        <f>'Cohort gig'!AX63+'Cohort non-gig'!AX63</f>
        <v/>
      </c>
      <c r="AY6" s="40">
        <f>'Cohort gig'!AY63+'Cohort non-gig'!AY63</f>
        <v/>
      </c>
      <c r="AZ6" s="40">
        <f>'Cohort gig'!AZ63+'Cohort non-gig'!AZ63</f>
        <v/>
      </c>
      <c r="BA6" s="40">
        <f>'Cohort gig'!BA63+'Cohort non-gig'!BA63</f>
        <v/>
      </c>
      <c r="BB6" s="40">
        <f>'Cohort gig'!BB63+'Cohort non-gig'!BB63</f>
        <v/>
      </c>
      <c r="BC6" s="40">
        <f>'Cohort gig'!BC63+'Cohort non-gig'!BC63</f>
        <v/>
      </c>
      <c r="BD6" s="40">
        <f>'Cohort gig'!BD63+'Cohort non-gig'!BD63</f>
        <v/>
      </c>
      <c r="BE6" s="40">
        <f>'Cohort gig'!BE63+'Cohort non-gig'!BE63</f>
        <v/>
      </c>
      <c r="BF6" s="40">
        <f>'Cohort gig'!BF63+'Cohort non-gig'!BF63</f>
        <v/>
      </c>
      <c r="BG6" s="40">
        <f>'Cohort gig'!BG63+'Cohort non-gig'!BG63</f>
        <v/>
      </c>
      <c r="BH6" s="40">
        <f>'Cohort gig'!BH63+'Cohort non-gig'!BH63</f>
        <v/>
      </c>
      <c r="BI6" s="40">
        <f>'Cohort gig'!BI63+'Cohort non-gig'!BI63</f>
        <v/>
      </c>
      <c r="BJ6" s="40">
        <f>'Cohort gig'!BJ63+'Cohort non-gig'!BJ63</f>
        <v/>
      </c>
      <c r="BK6" s="40">
        <f>'Cohort gig'!BK63+'Cohort non-gig'!BK63</f>
        <v/>
      </c>
    </row>
    <row r="7">
      <c r="A7" s="25" t="inlineStr">
        <is>
          <t>Total variable cost</t>
        </is>
      </c>
      <c r="C7" s="40">
        <f>'Cohort gig'!C71+'Cohort non-gig'!C71</f>
        <v/>
      </c>
      <c r="D7" s="40">
        <f>'Cohort gig'!D71+'Cohort non-gig'!D71</f>
        <v/>
      </c>
      <c r="E7" s="40">
        <f>'Cohort gig'!E71+'Cohort non-gig'!E71</f>
        <v/>
      </c>
      <c r="F7" s="40">
        <f>'Cohort gig'!F71+'Cohort non-gig'!F71</f>
        <v/>
      </c>
      <c r="G7" s="40">
        <f>'Cohort gig'!G71+'Cohort non-gig'!G71</f>
        <v/>
      </c>
      <c r="H7" s="40">
        <f>'Cohort gig'!H71+'Cohort non-gig'!H71</f>
        <v/>
      </c>
      <c r="I7" s="40">
        <f>'Cohort gig'!I71+'Cohort non-gig'!I71</f>
        <v/>
      </c>
      <c r="J7" s="40">
        <f>'Cohort gig'!J71+'Cohort non-gig'!J71</f>
        <v/>
      </c>
      <c r="K7" s="40">
        <f>'Cohort gig'!K71+'Cohort non-gig'!K71</f>
        <v/>
      </c>
      <c r="L7" s="40">
        <f>'Cohort gig'!L71+'Cohort non-gig'!L71</f>
        <v/>
      </c>
      <c r="M7" s="40">
        <f>'Cohort gig'!M71+'Cohort non-gig'!M71</f>
        <v/>
      </c>
      <c r="N7" s="40">
        <f>'Cohort gig'!N71+'Cohort non-gig'!N71</f>
        <v/>
      </c>
      <c r="O7" s="40">
        <f>'Cohort gig'!O71+'Cohort non-gig'!O71</f>
        <v/>
      </c>
      <c r="P7" s="40">
        <f>'Cohort gig'!P71+'Cohort non-gig'!P71</f>
        <v/>
      </c>
      <c r="Q7" s="40">
        <f>'Cohort gig'!Q71+'Cohort non-gig'!Q71</f>
        <v/>
      </c>
      <c r="R7" s="40">
        <f>'Cohort gig'!R71+'Cohort non-gig'!R71</f>
        <v/>
      </c>
      <c r="S7" s="40">
        <f>'Cohort gig'!S71+'Cohort non-gig'!S71</f>
        <v/>
      </c>
      <c r="T7" s="40">
        <f>'Cohort gig'!T71+'Cohort non-gig'!T71</f>
        <v/>
      </c>
      <c r="U7" s="40">
        <f>'Cohort gig'!U71+'Cohort non-gig'!U71</f>
        <v/>
      </c>
      <c r="V7" s="40">
        <f>'Cohort gig'!V71+'Cohort non-gig'!V71</f>
        <v/>
      </c>
      <c r="W7" s="40">
        <f>'Cohort gig'!W71+'Cohort non-gig'!W71</f>
        <v/>
      </c>
      <c r="X7" s="40">
        <f>'Cohort gig'!X71+'Cohort non-gig'!X71</f>
        <v/>
      </c>
      <c r="Y7" s="40">
        <f>'Cohort gig'!Y71+'Cohort non-gig'!Y71</f>
        <v/>
      </c>
      <c r="Z7" s="40">
        <f>'Cohort gig'!Z71+'Cohort non-gig'!Z71</f>
        <v/>
      </c>
      <c r="AA7" s="40">
        <f>'Cohort gig'!AA71+'Cohort non-gig'!AA71</f>
        <v/>
      </c>
      <c r="AB7" s="40">
        <f>'Cohort gig'!AB71+'Cohort non-gig'!AB71</f>
        <v/>
      </c>
      <c r="AC7" s="40">
        <f>'Cohort gig'!AC71+'Cohort non-gig'!AC71</f>
        <v/>
      </c>
      <c r="AD7" s="40">
        <f>'Cohort gig'!AD71+'Cohort non-gig'!AD71</f>
        <v/>
      </c>
      <c r="AE7" s="40">
        <f>'Cohort gig'!AE71+'Cohort non-gig'!AE71</f>
        <v/>
      </c>
      <c r="AF7" s="40">
        <f>'Cohort gig'!AF71+'Cohort non-gig'!AF71</f>
        <v/>
      </c>
      <c r="AG7" s="40">
        <f>'Cohort gig'!AG71+'Cohort non-gig'!AG71</f>
        <v/>
      </c>
      <c r="AH7" s="40">
        <f>'Cohort gig'!AH71+'Cohort non-gig'!AH71</f>
        <v/>
      </c>
      <c r="AI7" s="40">
        <f>'Cohort gig'!AI71+'Cohort non-gig'!AI71</f>
        <v/>
      </c>
      <c r="AJ7" s="40">
        <f>'Cohort gig'!AJ71+'Cohort non-gig'!AJ71</f>
        <v/>
      </c>
      <c r="AK7" s="40">
        <f>'Cohort gig'!AK71+'Cohort non-gig'!AK71</f>
        <v/>
      </c>
      <c r="AL7" s="40">
        <f>'Cohort gig'!AL71+'Cohort non-gig'!AL71</f>
        <v/>
      </c>
      <c r="AM7" s="40">
        <f>'Cohort gig'!AM71+'Cohort non-gig'!AM71</f>
        <v/>
      </c>
      <c r="AN7" s="40">
        <f>'Cohort gig'!AN71+'Cohort non-gig'!AN71</f>
        <v/>
      </c>
      <c r="AO7" s="40">
        <f>'Cohort gig'!AO71+'Cohort non-gig'!AO71</f>
        <v/>
      </c>
      <c r="AP7" s="40">
        <f>'Cohort gig'!AP71+'Cohort non-gig'!AP71</f>
        <v/>
      </c>
      <c r="AQ7" s="40">
        <f>'Cohort gig'!AQ71+'Cohort non-gig'!AQ71</f>
        <v/>
      </c>
      <c r="AR7" s="40">
        <f>'Cohort gig'!AR71+'Cohort non-gig'!AR71</f>
        <v/>
      </c>
      <c r="AS7" s="40">
        <f>'Cohort gig'!AS71+'Cohort non-gig'!AS71</f>
        <v/>
      </c>
      <c r="AT7" s="40">
        <f>'Cohort gig'!AT71+'Cohort non-gig'!AT71</f>
        <v/>
      </c>
      <c r="AU7" s="40">
        <f>'Cohort gig'!AU71+'Cohort non-gig'!AU71</f>
        <v/>
      </c>
      <c r="AV7" s="40">
        <f>'Cohort gig'!AV71+'Cohort non-gig'!AV71</f>
        <v/>
      </c>
      <c r="AW7" s="40">
        <f>'Cohort gig'!AW71+'Cohort non-gig'!AW71</f>
        <v/>
      </c>
      <c r="AX7" s="40">
        <f>'Cohort gig'!AX71+'Cohort non-gig'!AX71</f>
        <v/>
      </c>
      <c r="AY7" s="40">
        <f>'Cohort gig'!AY71+'Cohort non-gig'!AY71</f>
        <v/>
      </c>
      <c r="AZ7" s="40">
        <f>'Cohort gig'!AZ71+'Cohort non-gig'!AZ71</f>
        <v/>
      </c>
      <c r="BA7" s="40">
        <f>'Cohort gig'!BA71+'Cohort non-gig'!BA71</f>
        <v/>
      </c>
      <c r="BB7" s="40">
        <f>'Cohort gig'!BB71+'Cohort non-gig'!BB71</f>
        <v/>
      </c>
      <c r="BC7" s="40">
        <f>'Cohort gig'!BC71+'Cohort non-gig'!BC71</f>
        <v/>
      </c>
      <c r="BD7" s="40">
        <f>'Cohort gig'!BD71+'Cohort non-gig'!BD71</f>
        <v/>
      </c>
      <c r="BE7" s="40">
        <f>'Cohort gig'!BE71+'Cohort non-gig'!BE71</f>
        <v/>
      </c>
      <c r="BF7" s="40">
        <f>'Cohort gig'!BF71+'Cohort non-gig'!BF71</f>
        <v/>
      </c>
      <c r="BG7" s="40">
        <f>'Cohort gig'!BG71+'Cohort non-gig'!BG71</f>
        <v/>
      </c>
      <c r="BH7" s="40">
        <f>'Cohort gig'!BH71+'Cohort non-gig'!BH71</f>
        <v/>
      </c>
      <c r="BI7" s="40">
        <f>'Cohort gig'!BI71+'Cohort non-gig'!BI71</f>
        <v/>
      </c>
      <c r="BJ7" s="40">
        <f>'Cohort gig'!BJ71+'Cohort non-gig'!BJ71</f>
        <v/>
      </c>
      <c r="BK7" s="40">
        <f>'Cohort gig'!BK71+'Cohort non-gig'!BK71</f>
        <v/>
      </c>
    </row>
    <row r="8">
      <c r="A8" s="2" t="inlineStr">
        <is>
          <t>Contribution margin</t>
        </is>
      </c>
      <c r="C8" s="40">
        <f>'Cohort gig'!C73+'Cohort non-gig'!C73</f>
        <v/>
      </c>
      <c r="D8" s="40">
        <f>'Cohort gig'!D73+'Cohort non-gig'!D73</f>
        <v/>
      </c>
      <c r="E8" s="40">
        <f>'Cohort gig'!E73+'Cohort non-gig'!E73</f>
        <v/>
      </c>
      <c r="F8" s="40">
        <f>'Cohort gig'!F73+'Cohort non-gig'!F73</f>
        <v/>
      </c>
      <c r="G8" s="40">
        <f>'Cohort gig'!G73+'Cohort non-gig'!G73</f>
        <v/>
      </c>
      <c r="H8" s="40">
        <f>'Cohort gig'!H73+'Cohort non-gig'!H73</f>
        <v/>
      </c>
      <c r="I8" s="40">
        <f>'Cohort gig'!I73+'Cohort non-gig'!I73</f>
        <v/>
      </c>
      <c r="J8" s="40">
        <f>'Cohort gig'!J73+'Cohort non-gig'!J73</f>
        <v/>
      </c>
      <c r="K8" s="40">
        <f>'Cohort gig'!K73+'Cohort non-gig'!K73</f>
        <v/>
      </c>
      <c r="L8" s="40">
        <f>'Cohort gig'!L73+'Cohort non-gig'!L73</f>
        <v/>
      </c>
      <c r="M8" s="40">
        <f>'Cohort gig'!M73+'Cohort non-gig'!M73</f>
        <v/>
      </c>
      <c r="N8" s="40">
        <f>'Cohort gig'!N73+'Cohort non-gig'!N73</f>
        <v/>
      </c>
      <c r="O8" s="40">
        <f>'Cohort gig'!O73+'Cohort non-gig'!O73</f>
        <v/>
      </c>
      <c r="P8" s="40">
        <f>'Cohort gig'!P73+'Cohort non-gig'!P73</f>
        <v/>
      </c>
      <c r="Q8" s="40">
        <f>'Cohort gig'!Q73+'Cohort non-gig'!Q73</f>
        <v/>
      </c>
      <c r="R8" s="40">
        <f>'Cohort gig'!R73+'Cohort non-gig'!R73</f>
        <v/>
      </c>
      <c r="S8" s="40">
        <f>'Cohort gig'!S73+'Cohort non-gig'!S73</f>
        <v/>
      </c>
      <c r="T8" s="40">
        <f>'Cohort gig'!T73+'Cohort non-gig'!T73</f>
        <v/>
      </c>
      <c r="U8" s="40">
        <f>'Cohort gig'!U73+'Cohort non-gig'!U73</f>
        <v/>
      </c>
      <c r="V8" s="40">
        <f>'Cohort gig'!V73+'Cohort non-gig'!V73</f>
        <v/>
      </c>
      <c r="W8" s="40">
        <f>'Cohort gig'!W73+'Cohort non-gig'!W73</f>
        <v/>
      </c>
      <c r="X8" s="40">
        <f>'Cohort gig'!X73+'Cohort non-gig'!X73</f>
        <v/>
      </c>
      <c r="Y8" s="40">
        <f>'Cohort gig'!Y73+'Cohort non-gig'!Y73</f>
        <v/>
      </c>
      <c r="Z8" s="40">
        <f>'Cohort gig'!Z73+'Cohort non-gig'!Z73</f>
        <v/>
      </c>
      <c r="AA8" s="40">
        <f>'Cohort gig'!AA73+'Cohort non-gig'!AA73</f>
        <v/>
      </c>
      <c r="AB8" s="40">
        <f>'Cohort gig'!AB73+'Cohort non-gig'!AB73</f>
        <v/>
      </c>
      <c r="AC8" s="40">
        <f>'Cohort gig'!AC73+'Cohort non-gig'!AC73</f>
        <v/>
      </c>
      <c r="AD8" s="40">
        <f>'Cohort gig'!AD73+'Cohort non-gig'!AD73</f>
        <v/>
      </c>
      <c r="AE8" s="40">
        <f>'Cohort gig'!AE73+'Cohort non-gig'!AE73</f>
        <v/>
      </c>
      <c r="AF8" s="40">
        <f>'Cohort gig'!AF73+'Cohort non-gig'!AF73</f>
        <v/>
      </c>
      <c r="AG8" s="40">
        <f>'Cohort gig'!AG73+'Cohort non-gig'!AG73</f>
        <v/>
      </c>
      <c r="AH8" s="40">
        <f>'Cohort gig'!AH73+'Cohort non-gig'!AH73</f>
        <v/>
      </c>
      <c r="AI8" s="40">
        <f>'Cohort gig'!AI73+'Cohort non-gig'!AI73</f>
        <v/>
      </c>
      <c r="AJ8" s="40">
        <f>'Cohort gig'!AJ73+'Cohort non-gig'!AJ73</f>
        <v/>
      </c>
      <c r="AK8" s="40">
        <f>'Cohort gig'!AK73+'Cohort non-gig'!AK73</f>
        <v/>
      </c>
      <c r="AL8" s="40">
        <f>'Cohort gig'!AL73+'Cohort non-gig'!AL73</f>
        <v/>
      </c>
      <c r="AM8" s="40">
        <f>'Cohort gig'!AM73+'Cohort non-gig'!AM73</f>
        <v/>
      </c>
      <c r="AN8" s="40">
        <f>'Cohort gig'!AN73+'Cohort non-gig'!AN73</f>
        <v/>
      </c>
      <c r="AO8" s="40">
        <f>'Cohort gig'!AO73+'Cohort non-gig'!AO73</f>
        <v/>
      </c>
      <c r="AP8" s="40">
        <f>'Cohort gig'!AP73+'Cohort non-gig'!AP73</f>
        <v/>
      </c>
      <c r="AQ8" s="40">
        <f>'Cohort gig'!AQ73+'Cohort non-gig'!AQ73</f>
        <v/>
      </c>
      <c r="AR8" s="40">
        <f>'Cohort gig'!AR73+'Cohort non-gig'!AR73</f>
        <v/>
      </c>
      <c r="AS8" s="40">
        <f>'Cohort gig'!AS73+'Cohort non-gig'!AS73</f>
        <v/>
      </c>
      <c r="AT8" s="40">
        <f>'Cohort gig'!AT73+'Cohort non-gig'!AT73</f>
        <v/>
      </c>
      <c r="AU8" s="40">
        <f>'Cohort gig'!AU73+'Cohort non-gig'!AU73</f>
        <v/>
      </c>
      <c r="AV8" s="40">
        <f>'Cohort gig'!AV73+'Cohort non-gig'!AV73</f>
        <v/>
      </c>
      <c r="AW8" s="40">
        <f>'Cohort gig'!AW73+'Cohort non-gig'!AW73</f>
        <v/>
      </c>
      <c r="AX8" s="40">
        <f>'Cohort gig'!AX73+'Cohort non-gig'!AX73</f>
        <v/>
      </c>
      <c r="AY8" s="40">
        <f>'Cohort gig'!AY73+'Cohort non-gig'!AY73</f>
        <v/>
      </c>
      <c r="AZ8" s="40">
        <f>'Cohort gig'!AZ73+'Cohort non-gig'!AZ73</f>
        <v/>
      </c>
      <c r="BA8" s="40">
        <f>'Cohort gig'!BA73+'Cohort non-gig'!BA73</f>
        <v/>
      </c>
      <c r="BB8" s="40">
        <f>'Cohort gig'!BB73+'Cohort non-gig'!BB73</f>
        <v/>
      </c>
      <c r="BC8" s="40">
        <f>'Cohort gig'!BC73+'Cohort non-gig'!BC73</f>
        <v/>
      </c>
      <c r="BD8" s="40">
        <f>'Cohort gig'!BD73+'Cohort non-gig'!BD73</f>
        <v/>
      </c>
      <c r="BE8" s="40">
        <f>'Cohort gig'!BE73+'Cohort non-gig'!BE73</f>
        <v/>
      </c>
      <c r="BF8" s="40">
        <f>'Cohort gig'!BF73+'Cohort non-gig'!BF73</f>
        <v/>
      </c>
      <c r="BG8" s="40">
        <f>'Cohort gig'!BG73+'Cohort non-gig'!BG73</f>
        <v/>
      </c>
      <c r="BH8" s="40">
        <f>'Cohort gig'!BH73+'Cohort non-gig'!BH73</f>
        <v/>
      </c>
      <c r="BI8" s="40">
        <f>'Cohort gig'!BI73+'Cohort non-gig'!BI73</f>
        <v/>
      </c>
      <c r="BJ8" s="40">
        <f>'Cohort gig'!BJ73+'Cohort non-gig'!BJ73</f>
        <v/>
      </c>
      <c r="BK8" s="40">
        <f>'Cohort gig'!BK73+'Cohort non-gig'!BK73</f>
        <v/>
      </c>
    </row>
    <row r="9">
      <c r="A9" s="25" t="inlineStr">
        <is>
          <t>Capital locked</t>
        </is>
      </c>
      <c r="C9" s="40">
        <f>'Cohort gig'!C39+'Cohort non-gig'!C39</f>
        <v/>
      </c>
      <c r="D9" s="40">
        <f>'Cohort gig'!D39+'Cohort non-gig'!D39</f>
        <v/>
      </c>
      <c r="E9" s="40">
        <f>'Cohort gig'!E39+'Cohort non-gig'!E39</f>
        <v/>
      </c>
      <c r="F9" s="40">
        <f>'Cohort gig'!F39+'Cohort non-gig'!F39</f>
        <v/>
      </c>
      <c r="G9" s="40">
        <f>'Cohort gig'!G39+'Cohort non-gig'!G39</f>
        <v/>
      </c>
      <c r="H9" s="40">
        <f>'Cohort gig'!H39+'Cohort non-gig'!H39</f>
        <v/>
      </c>
      <c r="I9" s="40">
        <f>'Cohort gig'!I39+'Cohort non-gig'!I39</f>
        <v/>
      </c>
      <c r="J9" s="40">
        <f>'Cohort gig'!J39+'Cohort non-gig'!J39</f>
        <v/>
      </c>
      <c r="K9" s="40">
        <f>'Cohort gig'!K39+'Cohort non-gig'!K39</f>
        <v/>
      </c>
      <c r="L9" s="40">
        <f>'Cohort gig'!L39+'Cohort non-gig'!L39</f>
        <v/>
      </c>
      <c r="M9" s="40">
        <f>'Cohort gig'!M39+'Cohort non-gig'!M39</f>
        <v/>
      </c>
      <c r="N9" s="40">
        <f>'Cohort gig'!N39+'Cohort non-gig'!N39</f>
        <v/>
      </c>
      <c r="O9" s="40">
        <f>'Cohort gig'!O39+'Cohort non-gig'!O39</f>
        <v/>
      </c>
      <c r="P9" s="40">
        <f>'Cohort gig'!P39+'Cohort non-gig'!P39</f>
        <v/>
      </c>
      <c r="Q9" s="40">
        <f>'Cohort gig'!Q39+'Cohort non-gig'!Q39</f>
        <v/>
      </c>
      <c r="R9" s="40">
        <f>'Cohort gig'!R39+'Cohort non-gig'!R39</f>
        <v/>
      </c>
      <c r="S9" s="40">
        <f>'Cohort gig'!S39+'Cohort non-gig'!S39</f>
        <v/>
      </c>
      <c r="T9" s="40">
        <f>'Cohort gig'!T39+'Cohort non-gig'!T39</f>
        <v/>
      </c>
      <c r="U9" s="40">
        <f>'Cohort gig'!U39+'Cohort non-gig'!U39</f>
        <v/>
      </c>
      <c r="V9" s="40">
        <f>'Cohort gig'!V39+'Cohort non-gig'!V39</f>
        <v/>
      </c>
      <c r="W9" s="40">
        <f>'Cohort gig'!W39+'Cohort non-gig'!W39</f>
        <v/>
      </c>
      <c r="X9" s="40">
        <f>'Cohort gig'!X39+'Cohort non-gig'!X39</f>
        <v/>
      </c>
      <c r="Y9" s="40">
        <f>'Cohort gig'!Y39+'Cohort non-gig'!Y39</f>
        <v/>
      </c>
      <c r="Z9" s="40">
        <f>'Cohort gig'!Z39+'Cohort non-gig'!Z39</f>
        <v/>
      </c>
      <c r="AA9" s="40">
        <f>'Cohort gig'!AA39+'Cohort non-gig'!AA39</f>
        <v/>
      </c>
      <c r="AB9" s="40">
        <f>'Cohort gig'!AB39+'Cohort non-gig'!AB39</f>
        <v/>
      </c>
      <c r="AC9" s="40">
        <f>'Cohort gig'!AC39+'Cohort non-gig'!AC39</f>
        <v/>
      </c>
      <c r="AD9" s="40">
        <f>'Cohort gig'!AD39+'Cohort non-gig'!AD39</f>
        <v/>
      </c>
      <c r="AE9" s="40">
        <f>'Cohort gig'!AE39+'Cohort non-gig'!AE39</f>
        <v/>
      </c>
      <c r="AF9" s="40">
        <f>'Cohort gig'!AF39+'Cohort non-gig'!AF39</f>
        <v/>
      </c>
      <c r="AG9" s="40">
        <f>'Cohort gig'!AG39+'Cohort non-gig'!AG39</f>
        <v/>
      </c>
      <c r="AH9" s="40">
        <f>'Cohort gig'!AH39+'Cohort non-gig'!AH39</f>
        <v/>
      </c>
      <c r="AI9" s="40">
        <f>'Cohort gig'!AI39+'Cohort non-gig'!AI39</f>
        <v/>
      </c>
      <c r="AJ9" s="40">
        <f>'Cohort gig'!AJ39+'Cohort non-gig'!AJ39</f>
        <v/>
      </c>
      <c r="AK9" s="40">
        <f>'Cohort gig'!AK39+'Cohort non-gig'!AK39</f>
        <v/>
      </c>
      <c r="AL9" s="40">
        <f>'Cohort gig'!AL39+'Cohort non-gig'!AL39</f>
        <v/>
      </c>
      <c r="AM9" s="40">
        <f>'Cohort gig'!AM39+'Cohort non-gig'!AM39</f>
        <v/>
      </c>
      <c r="AN9" s="40">
        <f>'Cohort gig'!AN39+'Cohort non-gig'!AN39</f>
        <v/>
      </c>
      <c r="AO9" s="40">
        <f>'Cohort gig'!AO39+'Cohort non-gig'!AO39</f>
        <v/>
      </c>
      <c r="AP9" s="40">
        <f>'Cohort gig'!AP39+'Cohort non-gig'!AP39</f>
        <v/>
      </c>
      <c r="AQ9" s="40">
        <f>'Cohort gig'!AQ39+'Cohort non-gig'!AQ39</f>
        <v/>
      </c>
      <c r="AR9" s="40">
        <f>'Cohort gig'!AR39+'Cohort non-gig'!AR39</f>
        <v/>
      </c>
      <c r="AS9" s="40">
        <f>'Cohort gig'!AS39+'Cohort non-gig'!AS39</f>
        <v/>
      </c>
      <c r="AT9" s="40">
        <f>'Cohort gig'!AT39+'Cohort non-gig'!AT39</f>
        <v/>
      </c>
      <c r="AU9" s="40">
        <f>'Cohort gig'!AU39+'Cohort non-gig'!AU39</f>
        <v/>
      </c>
      <c r="AV9" s="40">
        <f>'Cohort gig'!AV39+'Cohort non-gig'!AV39</f>
        <v/>
      </c>
      <c r="AW9" s="40">
        <f>'Cohort gig'!AW39+'Cohort non-gig'!AW39</f>
        <v/>
      </c>
      <c r="AX9" s="40">
        <f>'Cohort gig'!AX39+'Cohort non-gig'!AX39</f>
        <v/>
      </c>
      <c r="AY9" s="40">
        <f>'Cohort gig'!AY39+'Cohort non-gig'!AY39</f>
        <v/>
      </c>
      <c r="AZ9" s="40">
        <f>'Cohort gig'!AZ39+'Cohort non-gig'!AZ39</f>
        <v/>
      </c>
      <c r="BA9" s="40">
        <f>'Cohort gig'!BA39+'Cohort non-gig'!BA39</f>
        <v/>
      </c>
      <c r="BB9" s="40">
        <f>'Cohort gig'!BB39+'Cohort non-gig'!BB39</f>
        <v/>
      </c>
      <c r="BC9" s="40">
        <f>'Cohort gig'!BC39+'Cohort non-gig'!BC39</f>
        <v/>
      </c>
      <c r="BD9" s="40">
        <f>'Cohort gig'!BD39+'Cohort non-gig'!BD39</f>
        <v/>
      </c>
      <c r="BE9" s="40">
        <f>'Cohort gig'!BE39+'Cohort non-gig'!BE39</f>
        <v/>
      </c>
      <c r="BF9" s="40">
        <f>'Cohort gig'!BF39+'Cohort non-gig'!BF39</f>
        <v/>
      </c>
      <c r="BG9" s="40">
        <f>'Cohort gig'!BG39+'Cohort non-gig'!BG39</f>
        <v/>
      </c>
      <c r="BH9" s="40">
        <f>'Cohort gig'!BH39+'Cohort non-gig'!BH39</f>
        <v/>
      </c>
      <c r="BI9" s="40">
        <f>'Cohort gig'!BI39+'Cohort non-gig'!BI39</f>
        <v/>
      </c>
      <c r="BJ9" s="40">
        <f>'Cohort gig'!BJ39+'Cohort non-gig'!BJ39</f>
        <v/>
      </c>
      <c r="BK9" s="40">
        <f>'Cohort gig'!BK39+'Cohort non-gig'!BK39</f>
        <v/>
      </c>
    </row>
    <row r="10">
      <c r="A10" s="25" t="inlineStr">
        <is>
          <t>…per activated saver</t>
        </is>
      </c>
      <c r="C10" t="n">
        <v>0</v>
      </c>
      <c r="D10" s="47">
        <f>D8/cohort_size</f>
        <v/>
      </c>
      <c r="E10" s="47">
        <f>E8/cohort_size</f>
        <v/>
      </c>
      <c r="F10" s="47">
        <f>F8/cohort_size</f>
        <v/>
      </c>
      <c r="G10" s="47">
        <f>G8/cohort_size</f>
        <v/>
      </c>
      <c r="H10" s="47">
        <f>H8/cohort_size</f>
        <v/>
      </c>
      <c r="I10" s="47">
        <f>I8/cohort_size</f>
        <v/>
      </c>
      <c r="J10" s="47">
        <f>J8/cohort_size</f>
        <v/>
      </c>
      <c r="K10" s="47">
        <f>K8/cohort_size</f>
        <v/>
      </c>
      <c r="L10" s="47">
        <f>L8/cohort_size</f>
        <v/>
      </c>
      <c r="M10" s="47">
        <f>M8/cohort_size</f>
        <v/>
      </c>
      <c r="N10" s="47">
        <f>N8/cohort_size</f>
        <v/>
      </c>
      <c r="O10" s="47">
        <f>O8/cohort_size</f>
        <v/>
      </c>
      <c r="P10" s="47">
        <f>P8/cohort_size</f>
        <v/>
      </c>
      <c r="Q10" s="47">
        <f>Q8/cohort_size</f>
        <v/>
      </c>
      <c r="R10" s="47">
        <f>R8/cohort_size</f>
        <v/>
      </c>
      <c r="S10" s="47">
        <f>S8/cohort_size</f>
        <v/>
      </c>
      <c r="T10" s="47">
        <f>T8/cohort_size</f>
        <v/>
      </c>
      <c r="U10" s="47">
        <f>U8/cohort_size</f>
        <v/>
      </c>
      <c r="V10" s="47">
        <f>V8/cohort_size</f>
        <v/>
      </c>
      <c r="W10" s="47">
        <f>W8/cohort_size</f>
        <v/>
      </c>
      <c r="X10" s="47">
        <f>X8/cohort_size</f>
        <v/>
      </c>
      <c r="Y10" s="47">
        <f>Y8/cohort_size</f>
        <v/>
      </c>
      <c r="Z10" s="47">
        <f>Z8/cohort_size</f>
        <v/>
      </c>
      <c r="AA10" s="47">
        <f>AA8/cohort_size</f>
        <v/>
      </c>
      <c r="AB10" s="47">
        <f>AB8/cohort_size</f>
        <v/>
      </c>
      <c r="AC10" s="47">
        <f>AC8/cohort_size</f>
        <v/>
      </c>
      <c r="AD10" s="47">
        <f>AD8/cohort_size</f>
        <v/>
      </c>
      <c r="AE10" s="47">
        <f>AE8/cohort_size</f>
        <v/>
      </c>
      <c r="AF10" s="47">
        <f>AF8/cohort_size</f>
        <v/>
      </c>
      <c r="AG10" s="47">
        <f>AG8/cohort_size</f>
        <v/>
      </c>
      <c r="AH10" s="47">
        <f>AH8/cohort_size</f>
        <v/>
      </c>
      <c r="AI10" s="47">
        <f>AI8/cohort_size</f>
        <v/>
      </c>
      <c r="AJ10" s="47">
        <f>AJ8/cohort_size</f>
        <v/>
      </c>
      <c r="AK10" s="47">
        <f>AK8/cohort_size</f>
        <v/>
      </c>
      <c r="AL10" s="47">
        <f>AL8/cohort_size</f>
        <v/>
      </c>
      <c r="AM10" s="47">
        <f>AM8/cohort_size</f>
        <v/>
      </c>
      <c r="AN10" s="47">
        <f>AN8/cohort_size</f>
        <v/>
      </c>
      <c r="AO10" s="47">
        <f>AO8/cohort_size</f>
        <v/>
      </c>
      <c r="AP10" s="47">
        <f>AP8/cohort_size</f>
        <v/>
      </c>
      <c r="AQ10" s="47">
        <f>AQ8/cohort_size</f>
        <v/>
      </c>
      <c r="AR10" s="47">
        <f>AR8/cohort_size</f>
        <v/>
      </c>
      <c r="AS10" s="47">
        <f>AS8/cohort_size</f>
        <v/>
      </c>
      <c r="AT10" s="47">
        <f>AT8/cohort_size</f>
        <v/>
      </c>
      <c r="AU10" s="47">
        <f>AU8/cohort_size</f>
        <v/>
      </c>
      <c r="AV10" s="47">
        <f>AV8/cohort_size</f>
        <v/>
      </c>
      <c r="AW10" s="47">
        <f>AW8/cohort_size</f>
        <v/>
      </c>
      <c r="AX10" s="47">
        <f>AX8/cohort_size</f>
        <v/>
      </c>
      <c r="AY10" s="47">
        <f>AY8/cohort_size</f>
        <v/>
      </c>
      <c r="AZ10" s="47">
        <f>AZ8/cohort_size</f>
        <v/>
      </c>
      <c r="BA10" s="47">
        <f>BA8/cohort_size</f>
        <v/>
      </c>
      <c r="BB10" s="47">
        <f>BB8/cohort_size</f>
        <v/>
      </c>
      <c r="BC10" s="47">
        <f>BC8/cohort_size</f>
        <v/>
      </c>
      <c r="BD10" s="47">
        <f>BD8/cohort_size</f>
        <v/>
      </c>
      <c r="BE10" s="47">
        <f>BE8/cohort_size</f>
        <v/>
      </c>
      <c r="BF10" s="47">
        <f>BF8/cohort_size</f>
        <v/>
      </c>
      <c r="BG10" s="47">
        <f>BG8/cohort_size</f>
        <v/>
      </c>
      <c r="BH10" s="47">
        <f>BH8/cohort_size</f>
        <v/>
      </c>
      <c r="BI10" s="47">
        <f>BI8/cohort_size</f>
        <v/>
      </c>
      <c r="BJ10" s="47">
        <f>BJ8/cohort_size</f>
        <v/>
      </c>
      <c r="BK10" s="47">
        <f>BK8/cohort_size</f>
        <v/>
      </c>
    </row>
    <row r="11">
      <c r="A11" s="25" t="inlineStr">
        <is>
          <t>Cumulative contribution per activated saver</t>
        </is>
      </c>
      <c r="C11" t="n">
        <v>0</v>
      </c>
      <c r="D11" s="47">
        <f>C11+D10</f>
        <v/>
      </c>
      <c r="E11" s="47">
        <f>D11+E10</f>
        <v/>
      </c>
      <c r="F11" s="47">
        <f>E11+F10</f>
        <v/>
      </c>
      <c r="G11" s="47">
        <f>F11+G10</f>
        <v/>
      </c>
      <c r="H11" s="47">
        <f>G11+H10</f>
        <v/>
      </c>
      <c r="I11" s="47">
        <f>H11+I10</f>
        <v/>
      </c>
      <c r="J11" s="47">
        <f>I11+J10</f>
        <v/>
      </c>
      <c r="K11" s="47">
        <f>J11+K10</f>
        <v/>
      </c>
      <c r="L11" s="47">
        <f>K11+L10</f>
        <v/>
      </c>
      <c r="M11" s="47">
        <f>L11+M10</f>
        <v/>
      </c>
      <c r="N11" s="47">
        <f>M11+N10</f>
        <v/>
      </c>
      <c r="O11" s="47">
        <f>N11+O10</f>
        <v/>
      </c>
      <c r="P11" s="47">
        <f>O11+P10</f>
        <v/>
      </c>
      <c r="Q11" s="47">
        <f>P11+Q10</f>
        <v/>
      </c>
      <c r="R11" s="47">
        <f>Q11+R10</f>
        <v/>
      </c>
      <c r="S11" s="47">
        <f>R11+S10</f>
        <v/>
      </c>
      <c r="T11" s="47">
        <f>S11+T10</f>
        <v/>
      </c>
      <c r="U11" s="47">
        <f>T11+U10</f>
        <v/>
      </c>
      <c r="V11" s="47">
        <f>U11+V10</f>
        <v/>
      </c>
      <c r="W11" s="47">
        <f>V11+W10</f>
        <v/>
      </c>
      <c r="X11" s="47">
        <f>W11+X10</f>
        <v/>
      </c>
      <c r="Y11" s="47">
        <f>X11+Y10</f>
        <v/>
      </c>
      <c r="Z11" s="47">
        <f>Y11+Z10</f>
        <v/>
      </c>
      <c r="AA11" s="47">
        <f>Z11+AA10</f>
        <v/>
      </c>
      <c r="AB11" s="47">
        <f>AA11+AB10</f>
        <v/>
      </c>
      <c r="AC11" s="47">
        <f>AB11+AC10</f>
        <v/>
      </c>
      <c r="AD11" s="47">
        <f>AC11+AD10</f>
        <v/>
      </c>
      <c r="AE11" s="47">
        <f>AD11+AE10</f>
        <v/>
      </c>
      <c r="AF11" s="47">
        <f>AE11+AF10</f>
        <v/>
      </c>
      <c r="AG11" s="47">
        <f>AF11+AG10</f>
        <v/>
      </c>
      <c r="AH11" s="47">
        <f>AG11+AH10</f>
        <v/>
      </c>
      <c r="AI11" s="47">
        <f>AH11+AI10</f>
        <v/>
      </c>
      <c r="AJ11" s="47">
        <f>AI11+AJ10</f>
        <v/>
      </c>
      <c r="AK11" s="47">
        <f>AJ11+AK10</f>
        <v/>
      </c>
      <c r="AL11" s="47">
        <f>AK11+AL10</f>
        <v/>
      </c>
      <c r="AM11" s="47">
        <f>AL11+AM10</f>
        <v/>
      </c>
      <c r="AN11" s="47">
        <f>AM11+AN10</f>
        <v/>
      </c>
      <c r="AO11" s="47">
        <f>AN11+AO10</f>
        <v/>
      </c>
      <c r="AP11" s="47">
        <f>AO11+AP10</f>
        <v/>
      </c>
      <c r="AQ11" s="47">
        <f>AP11+AQ10</f>
        <v/>
      </c>
      <c r="AR11" s="47">
        <f>AQ11+AR10</f>
        <v/>
      </c>
      <c r="AS11" s="47">
        <f>AR11+AS10</f>
        <v/>
      </c>
      <c r="AT11" s="47">
        <f>AS11+AT10</f>
        <v/>
      </c>
      <c r="AU11" s="47">
        <f>AT11+AU10</f>
        <v/>
      </c>
      <c r="AV11" s="47">
        <f>AU11+AV10</f>
        <v/>
      </c>
      <c r="AW11" s="47">
        <f>AV11+AW10</f>
        <v/>
      </c>
      <c r="AX11" s="47">
        <f>AW11+AX10</f>
        <v/>
      </c>
      <c r="AY11" s="47">
        <f>AX11+AY10</f>
        <v/>
      </c>
      <c r="AZ11" s="47">
        <f>AY11+AZ10</f>
        <v/>
      </c>
      <c r="BA11" s="47">
        <f>AZ11+BA10</f>
        <v/>
      </c>
      <c r="BB11" s="47">
        <f>BA11+BB10</f>
        <v/>
      </c>
      <c r="BC11" s="47">
        <f>BB11+BC10</f>
        <v/>
      </c>
      <c r="BD11" s="47">
        <f>BC11+BD10</f>
        <v/>
      </c>
      <c r="BE11" s="47">
        <f>BD11+BE10</f>
        <v/>
      </c>
      <c r="BF11" s="47">
        <f>BE11+BF10</f>
        <v/>
      </c>
      <c r="BG11" s="47">
        <f>BF11+BG10</f>
        <v/>
      </c>
      <c r="BH11" s="47">
        <f>BG11+BH10</f>
        <v/>
      </c>
      <c r="BI11" s="47">
        <f>BH11+BI10</f>
        <v/>
      </c>
      <c r="BJ11" s="47">
        <f>BI11+BJ10</f>
        <v/>
      </c>
      <c r="BK11" s="47">
        <f>BJ11+BK10</f>
        <v/>
      </c>
    </row>
    <row r="12">
      <c r="A12" s="25" t="inlineStr">
        <is>
          <t>Discounted contribution per activated saver</t>
        </is>
      </c>
      <c r="C12" t="n">
        <v>0</v>
      </c>
      <c r="D12" s="47">
        <f>D10/(1+disc_rate)^(D$4/12)</f>
        <v/>
      </c>
      <c r="E12" s="47">
        <f>E10/(1+disc_rate)^(E$4/12)</f>
        <v/>
      </c>
      <c r="F12" s="47">
        <f>F10/(1+disc_rate)^(F$4/12)</f>
        <v/>
      </c>
      <c r="G12" s="47">
        <f>G10/(1+disc_rate)^(G$4/12)</f>
        <v/>
      </c>
      <c r="H12" s="47">
        <f>H10/(1+disc_rate)^(H$4/12)</f>
        <v/>
      </c>
      <c r="I12" s="47">
        <f>I10/(1+disc_rate)^(I$4/12)</f>
        <v/>
      </c>
      <c r="J12" s="47">
        <f>J10/(1+disc_rate)^(J$4/12)</f>
        <v/>
      </c>
      <c r="K12" s="47">
        <f>K10/(1+disc_rate)^(K$4/12)</f>
        <v/>
      </c>
      <c r="L12" s="47">
        <f>L10/(1+disc_rate)^(L$4/12)</f>
        <v/>
      </c>
      <c r="M12" s="47">
        <f>M10/(1+disc_rate)^(M$4/12)</f>
        <v/>
      </c>
      <c r="N12" s="47">
        <f>N10/(1+disc_rate)^(N$4/12)</f>
        <v/>
      </c>
      <c r="O12" s="47">
        <f>O10/(1+disc_rate)^(O$4/12)</f>
        <v/>
      </c>
      <c r="P12" s="47">
        <f>P10/(1+disc_rate)^(P$4/12)</f>
        <v/>
      </c>
      <c r="Q12" s="47">
        <f>Q10/(1+disc_rate)^(Q$4/12)</f>
        <v/>
      </c>
      <c r="R12" s="47">
        <f>R10/(1+disc_rate)^(R$4/12)</f>
        <v/>
      </c>
      <c r="S12" s="47">
        <f>S10/(1+disc_rate)^(S$4/12)</f>
        <v/>
      </c>
      <c r="T12" s="47">
        <f>T10/(1+disc_rate)^(T$4/12)</f>
        <v/>
      </c>
      <c r="U12" s="47">
        <f>U10/(1+disc_rate)^(U$4/12)</f>
        <v/>
      </c>
      <c r="V12" s="47">
        <f>V10/(1+disc_rate)^(V$4/12)</f>
        <v/>
      </c>
      <c r="W12" s="47">
        <f>W10/(1+disc_rate)^(W$4/12)</f>
        <v/>
      </c>
      <c r="X12" s="47">
        <f>X10/(1+disc_rate)^(X$4/12)</f>
        <v/>
      </c>
      <c r="Y12" s="47">
        <f>Y10/(1+disc_rate)^(Y$4/12)</f>
        <v/>
      </c>
      <c r="Z12" s="47">
        <f>Z10/(1+disc_rate)^(Z$4/12)</f>
        <v/>
      </c>
      <c r="AA12" s="47">
        <f>AA10/(1+disc_rate)^(AA$4/12)</f>
        <v/>
      </c>
      <c r="AB12" s="47">
        <f>AB10/(1+disc_rate)^(AB$4/12)</f>
        <v/>
      </c>
      <c r="AC12" s="47">
        <f>AC10/(1+disc_rate)^(AC$4/12)</f>
        <v/>
      </c>
      <c r="AD12" s="47">
        <f>AD10/(1+disc_rate)^(AD$4/12)</f>
        <v/>
      </c>
      <c r="AE12" s="47">
        <f>AE10/(1+disc_rate)^(AE$4/12)</f>
        <v/>
      </c>
      <c r="AF12" s="47">
        <f>AF10/(1+disc_rate)^(AF$4/12)</f>
        <v/>
      </c>
      <c r="AG12" s="47">
        <f>AG10/(1+disc_rate)^(AG$4/12)</f>
        <v/>
      </c>
      <c r="AH12" s="47">
        <f>AH10/(1+disc_rate)^(AH$4/12)</f>
        <v/>
      </c>
      <c r="AI12" s="47">
        <f>AI10/(1+disc_rate)^(AI$4/12)</f>
        <v/>
      </c>
      <c r="AJ12" s="47">
        <f>AJ10/(1+disc_rate)^(AJ$4/12)</f>
        <v/>
      </c>
      <c r="AK12" s="47">
        <f>AK10/(1+disc_rate)^(AK$4/12)</f>
        <v/>
      </c>
      <c r="AL12" s="47">
        <f>AL10/(1+disc_rate)^(AL$4/12)</f>
        <v/>
      </c>
      <c r="AM12" s="47">
        <f>AM10/(1+disc_rate)^(AM$4/12)</f>
        <v/>
      </c>
      <c r="AN12" s="47">
        <f>AN10/(1+disc_rate)^(AN$4/12)</f>
        <v/>
      </c>
      <c r="AO12" s="47">
        <f>AO10/(1+disc_rate)^(AO$4/12)</f>
        <v/>
      </c>
      <c r="AP12" s="47">
        <f>AP10/(1+disc_rate)^(AP$4/12)</f>
        <v/>
      </c>
      <c r="AQ12" s="47">
        <f>AQ10/(1+disc_rate)^(AQ$4/12)</f>
        <v/>
      </c>
      <c r="AR12" s="47">
        <f>AR10/(1+disc_rate)^(AR$4/12)</f>
        <v/>
      </c>
      <c r="AS12" s="47">
        <f>AS10/(1+disc_rate)^(AS$4/12)</f>
        <v/>
      </c>
      <c r="AT12" s="47">
        <f>AT10/(1+disc_rate)^(AT$4/12)</f>
        <v/>
      </c>
      <c r="AU12" s="47">
        <f>AU10/(1+disc_rate)^(AU$4/12)</f>
        <v/>
      </c>
      <c r="AV12" s="47">
        <f>AV10/(1+disc_rate)^(AV$4/12)</f>
        <v/>
      </c>
      <c r="AW12" s="47">
        <f>AW10/(1+disc_rate)^(AW$4/12)</f>
        <v/>
      </c>
      <c r="AX12" s="47">
        <f>AX10/(1+disc_rate)^(AX$4/12)</f>
        <v/>
      </c>
      <c r="AY12" s="47">
        <f>AY10/(1+disc_rate)^(AY$4/12)</f>
        <v/>
      </c>
      <c r="AZ12" s="47">
        <f>AZ10/(1+disc_rate)^(AZ$4/12)</f>
        <v/>
      </c>
      <c r="BA12" s="47">
        <f>BA10/(1+disc_rate)^(BA$4/12)</f>
        <v/>
      </c>
      <c r="BB12" s="47">
        <f>BB10/(1+disc_rate)^(BB$4/12)</f>
        <v/>
      </c>
      <c r="BC12" s="47">
        <f>BC10/(1+disc_rate)^(BC$4/12)</f>
        <v/>
      </c>
      <c r="BD12" s="47">
        <f>BD10/(1+disc_rate)^(BD$4/12)</f>
        <v/>
      </c>
      <c r="BE12" s="47">
        <f>BE10/(1+disc_rate)^(BE$4/12)</f>
        <v/>
      </c>
      <c r="BF12" s="47">
        <f>BF10/(1+disc_rate)^(BF$4/12)</f>
        <v/>
      </c>
      <c r="BG12" s="47">
        <f>BG10/(1+disc_rate)^(BG$4/12)</f>
        <v/>
      </c>
      <c r="BH12" s="47">
        <f>BH10/(1+disc_rate)^(BH$4/12)</f>
        <v/>
      </c>
      <c r="BI12" s="47">
        <f>BI10/(1+disc_rate)^(BI$4/12)</f>
        <v/>
      </c>
      <c r="BJ12" s="47">
        <f>BJ10/(1+disc_rate)^(BJ$4/12)</f>
        <v/>
      </c>
      <c r="BK12" s="47">
        <f>BK10/(1+disc_rate)^(BK$4/12)</f>
        <v/>
      </c>
    </row>
    <row r="13">
      <c r="A13" s="25" t="inlineStr">
        <is>
          <t>Payback flag (month if cumulative ≥ blended CAC, else 999)</t>
        </is>
      </c>
      <c r="D13" s="48">
        <f>IF(D11&gt;=cac_blended,D$4,999)</f>
        <v/>
      </c>
      <c r="E13" s="48">
        <f>IF(E11&gt;=cac_blended,E$4,999)</f>
        <v/>
      </c>
      <c r="F13" s="48">
        <f>IF(F11&gt;=cac_blended,F$4,999)</f>
        <v/>
      </c>
      <c r="G13" s="48">
        <f>IF(G11&gt;=cac_blended,G$4,999)</f>
        <v/>
      </c>
      <c r="H13" s="48">
        <f>IF(H11&gt;=cac_blended,H$4,999)</f>
        <v/>
      </c>
      <c r="I13" s="48">
        <f>IF(I11&gt;=cac_blended,I$4,999)</f>
        <v/>
      </c>
      <c r="J13" s="48">
        <f>IF(J11&gt;=cac_blended,J$4,999)</f>
        <v/>
      </c>
      <c r="K13" s="48">
        <f>IF(K11&gt;=cac_blended,K$4,999)</f>
        <v/>
      </c>
      <c r="L13" s="48">
        <f>IF(L11&gt;=cac_blended,L$4,999)</f>
        <v/>
      </c>
      <c r="M13" s="48">
        <f>IF(M11&gt;=cac_blended,M$4,999)</f>
        <v/>
      </c>
      <c r="N13" s="48">
        <f>IF(N11&gt;=cac_blended,N$4,999)</f>
        <v/>
      </c>
      <c r="O13" s="48">
        <f>IF(O11&gt;=cac_blended,O$4,999)</f>
        <v/>
      </c>
      <c r="P13" s="48">
        <f>IF(P11&gt;=cac_blended,P$4,999)</f>
        <v/>
      </c>
      <c r="Q13" s="48">
        <f>IF(Q11&gt;=cac_blended,Q$4,999)</f>
        <v/>
      </c>
      <c r="R13" s="48">
        <f>IF(R11&gt;=cac_blended,R$4,999)</f>
        <v/>
      </c>
      <c r="S13" s="48">
        <f>IF(S11&gt;=cac_blended,S$4,999)</f>
        <v/>
      </c>
      <c r="T13" s="48">
        <f>IF(T11&gt;=cac_blended,T$4,999)</f>
        <v/>
      </c>
      <c r="U13" s="48">
        <f>IF(U11&gt;=cac_blended,U$4,999)</f>
        <v/>
      </c>
      <c r="V13" s="48">
        <f>IF(V11&gt;=cac_blended,V$4,999)</f>
        <v/>
      </c>
      <c r="W13" s="48">
        <f>IF(W11&gt;=cac_blended,W$4,999)</f>
        <v/>
      </c>
      <c r="X13" s="48">
        <f>IF(X11&gt;=cac_blended,X$4,999)</f>
        <v/>
      </c>
      <c r="Y13" s="48">
        <f>IF(Y11&gt;=cac_blended,Y$4,999)</f>
        <v/>
      </c>
      <c r="Z13" s="48">
        <f>IF(Z11&gt;=cac_blended,Z$4,999)</f>
        <v/>
      </c>
      <c r="AA13" s="48">
        <f>IF(AA11&gt;=cac_blended,AA$4,999)</f>
        <v/>
      </c>
      <c r="AB13" s="48">
        <f>IF(AB11&gt;=cac_blended,AB$4,999)</f>
        <v/>
      </c>
      <c r="AC13" s="48">
        <f>IF(AC11&gt;=cac_blended,AC$4,999)</f>
        <v/>
      </c>
      <c r="AD13" s="48">
        <f>IF(AD11&gt;=cac_blended,AD$4,999)</f>
        <v/>
      </c>
      <c r="AE13" s="48">
        <f>IF(AE11&gt;=cac_blended,AE$4,999)</f>
        <v/>
      </c>
      <c r="AF13" s="48">
        <f>IF(AF11&gt;=cac_blended,AF$4,999)</f>
        <v/>
      </c>
      <c r="AG13" s="48">
        <f>IF(AG11&gt;=cac_blended,AG$4,999)</f>
        <v/>
      </c>
      <c r="AH13" s="48">
        <f>IF(AH11&gt;=cac_blended,AH$4,999)</f>
        <v/>
      </c>
      <c r="AI13" s="48">
        <f>IF(AI11&gt;=cac_blended,AI$4,999)</f>
        <v/>
      </c>
      <c r="AJ13" s="48">
        <f>IF(AJ11&gt;=cac_blended,AJ$4,999)</f>
        <v/>
      </c>
      <c r="AK13" s="48">
        <f>IF(AK11&gt;=cac_blended,AK$4,999)</f>
        <v/>
      </c>
      <c r="AL13" s="48">
        <f>IF(AL11&gt;=cac_blended,AL$4,999)</f>
        <v/>
      </c>
      <c r="AM13" s="48">
        <f>IF(AM11&gt;=cac_blended,AM$4,999)</f>
        <v/>
      </c>
      <c r="AN13" s="48">
        <f>IF(AN11&gt;=cac_blended,AN$4,999)</f>
        <v/>
      </c>
      <c r="AO13" s="48">
        <f>IF(AO11&gt;=cac_blended,AO$4,999)</f>
        <v/>
      </c>
      <c r="AP13" s="48">
        <f>IF(AP11&gt;=cac_blended,AP$4,999)</f>
        <v/>
      </c>
      <c r="AQ13" s="48">
        <f>IF(AQ11&gt;=cac_blended,AQ$4,999)</f>
        <v/>
      </c>
      <c r="AR13" s="48">
        <f>IF(AR11&gt;=cac_blended,AR$4,999)</f>
        <v/>
      </c>
      <c r="AS13" s="48">
        <f>IF(AS11&gt;=cac_blended,AS$4,999)</f>
        <v/>
      </c>
      <c r="AT13" s="48">
        <f>IF(AT11&gt;=cac_blended,AT$4,999)</f>
        <v/>
      </c>
      <c r="AU13" s="48">
        <f>IF(AU11&gt;=cac_blended,AU$4,999)</f>
        <v/>
      </c>
      <c r="AV13" s="48">
        <f>IF(AV11&gt;=cac_blended,AV$4,999)</f>
        <v/>
      </c>
      <c r="AW13" s="48">
        <f>IF(AW11&gt;=cac_blended,AW$4,999)</f>
        <v/>
      </c>
      <c r="AX13" s="48">
        <f>IF(AX11&gt;=cac_blended,AX$4,999)</f>
        <v/>
      </c>
      <c r="AY13" s="48">
        <f>IF(AY11&gt;=cac_blended,AY$4,999)</f>
        <v/>
      </c>
      <c r="AZ13" s="48">
        <f>IF(AZ11&gt;=cac_blended,AZ$4,999)</f>
        <v/>
      </c>
      <c r="BA13" s="48">
        <f>IF(BA11&gt;=cac_blended,BA$4,999)</f>
        <v/>
      </c>
      <c r="BB13" s="48">
        <f>IF(BB11&gt;=cac_blended,BB$4,999)</f>
        <v/>
      </c>
      <c r="BC13" s="48">
        <f>IF(BC11&gt;=cac_blended,BC$4,999)</f>
        <v/>
      </c>
      <c r="BD13" s="48">
        <f>IF(BD11&gt;=cac_blended,BD$4,999)</f>
        <v/>
      </c>
      <c r="BE13" s="48">
        <f>IF(BE11&gt;=cac_blended,BE$4,999)</f>
        <v/>
      </c>
      <c r="BF13" s="48">
        <f>IF(BF11&gt;=cac_blended,BF$4,999)</f>
        <v/>
      </c>
      <c r="BG13" s="48">
        <f>IF(BG11&gt;=cac_blended,BG$4,999)</f>
        <v/>
      </c>
      <c r="BH13" s="48">
        <f>IF(BH11&gt;=cac_blended,BH$4,999)</f>
        <v/>
      </c>
      <c r="BI13" s="48">
        <f>IF(BI11&gt;=cac_blended,BI$4,999)</f>
        <v/>
      </c>
      <c r="BJ13" s="48">
        <f>IF(BJ11&gt;=cac_blended,BJ$4,999)</f>
        <v/>
      </c>
      <c r="BK13" s="48">
        <f>IF(BK11&gt;=cac_blended,BK$4,999)</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0" customWidth="1" min="1" max="1"/>
    <col width="70"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Revenue lines: each line's mechanics, by cohort year (cohort of activated savers, gross revenue to us)</t>
        </is>
      </c>
    </row>
    <row r="3">
      <c r="A3" s="2" t="inlineStr">
        <is>
          <t>Revenue per cohort (₹)</t>
        </is>
      </c>
    </row>
    <row r="4">
      <c r="A4" s="5" t="inlineStr">
        <is>
          <t>Line</t>
        </is>
      </c>
      <c r="B4" s="5" t="inlineStr">
        <is>
          <t>How it is calculated</t>
        </is>
      </c>
      <c r="C4" s="5" t="inlineStr">
        <is>
          <t>Key input (LIVE)</t>
        </is>
      </c>
      <c r="D4" s="5" t="inlineStr">
        <is>
          <t>Cohort year 1</t>
        </is>
      </c>
      <c r="E4" s="5" t="inlineStr">
        <is>
          <t>Cohort year 2</t>
        </is>
      </c>
      <c r="F4" s="5" t="inlineStr">
        <is>
          <t>Cohort year 3</t>
        </is>
      </c>
      <c r="G4" s="5" t="inlineStr">
        <is>
          <t>Cohort year 4</t>
        </is>
      </c>
      <c r="H4" s="5" t="inlineStr">
        <is>
          <t>Cohort year 5</t>
        </is>
      </c>
    </row>
    <row r="5">
      <c r="A5" s="25" t="inlineStr">
        <is>
          <t>Savings: liquid fund</t>
        </is>
      </c>
      <c r="B5" s="4" t="inlineStr">
        <is>
          <t>Trail commission on the liquid-fund balance (regular plan). Balance × trail ÷ 12.</t>
        </is>
      </c>
      <c r="C5" s="49">
        <f>trail_liquid</f>
        <v/>
      </c>
      <c r="D5" s="40">
        <f>SUM('Cohort gig'!D55:O55)+SUM('Cohort non-gig'!D55:O55)</f>
        <v/>
      </c>
      <c r="E5" s="40">
        <f>SUM('Cohort gig'!P55:AA55)+SUM('Cohort non-gig'!P55:AA55)</f>
        <v/>
      </c>
      <c r="F5" s="40">
        <f>SUM('Cohort gig'!AB55:AM55)+SUM('Cohort non-gig'!AB55:AM55)</f>
        <v/>
      </c>
      <c r="G5" s="40">
        <f>SUM('Cohort gig'!AN55:AY55)+SUM('Cohort non-gig'!AN55:AY55)</f>
        <v/>
      </c>
      <c r="H5" s="40">
        <f>SUM('Cohort gig'!AZ55:BK55)+SUM('Cohort non-gig'!AZ55:BK55)</f>
        <v/>
      </c>
    </row>
    <row r="6">
      <c r="A6" s="25" t="inlineStr">
        <is>
          <t>Savings: FDs</t>
        </is>
      </c>
      <c r="B6" s="4" t="inlineStr">
        <is>
          <t>Distribution fee from partner banks on FDs booked through us, taken as a yearly % of the FD balance.</t>
        </is>
      </c>
      <c r="C6" s="49">
        <f>fd_fee</f>
        <v/>
      </c>
      <c r="D6" s="40">
        <f>SUM('Cohort gig'!D56:O56)+SUM('Cohort non-gig'!D56:O56)</f>
        <v/>
      </c>
      <c r="E6" s="40">
        <f>SUM('Cohort gig'!P56:AA56)+SUM('Cohort non-gig'!P56:AA56)</f>
        <v/>
      </c>
      <c r="F6" s="40">
        <f>SUM('Cohort gig'!AB56:AM56)+SUM('Cohort non-gig'!AB56:AM56)</f>
        <v/>
      </c>
      <c r="G6" s="40">
        <f>SUM('Cohort gig'!AN56:AY56)+SUM('Cohort non-gig'!AN56:AY56)</f>
        <v/>
      </c>
      <c r="H6" s="40">
        <f>SUM('Cohort gig'!AZ56:BK56)+SUM('Cohort non-gig'!AZ56:BK56)</f>
        <v/>
      </c>
    </row>
    <row r="7">
      <c r="A7" s="25" t="inlineStr">
        <is>
          <t>Savings: gold</t>
        </is>
      </c>
      <c r="B7" s="4" t="inlineStr">
        <is>
          <t>Lever: margin on the share of each rupee saved that goes into digital gold.</t>
        </is>
      </c>
      <c r="C7" s="49">
        <f>gold_margin</f>
        <v/>
      </c>
      <c r="D7" s="40">
        <f>SUM('Cohort gig'!D57:O57)+SUM('Cohort non-gig'!D57:O57)</f>
        <v/>
      </c>
      <c r="E7" s="40">
        <f>SUM('Cohort gig'!P57:AA57)+SUM('Cohort non-gig'!P57:AA57)</f>
        <v/>
      </c>
      <c r="F7" s="40">
        <f>SUM('Cohort gig'!AB57:AM57)+SUM('Cohort non-gig'!AB57:AM57)</f>
        <v/>
      </c>
      <c r="G7" s="40">
        <f>SUM('Cohort gig'!AN57:AY57)+SUM('Cohort non-gig'!AN57:AY57)</f>
        <v/>
      </c>
      <c r="H7" s="40">
        <f>SUM('Cohort gig'!AZ57:BK57)+SUM('Cohort non-gig'!AZ57:BK57)</f>
        <v/>
      </c>
    </row>
    <row r="8">
      <c r="A8" s="25" t="inlineStr">
        <is>
          <t>Loans (partner)</t>
        </is>
      </c>
      <c r="B8" s="4" t="inlineStr">
        <is>
          <t>Sourcing fee as a % of money the partner lends; we hold no loan book. With a guarantee (dlg_on) the fee rises and we bear losses up to the 5% cap. With our own NBFC (nbfc_on) this line is net interest + processing fee − our borrowing cost.</t>
        </is>
      </c>
      <c r="C8" s="49">
        <f>lsp_fee</f>
        <v/>
      </c>
      <c r="D8" s="40">
        <f>SUM('Cohort gig'!D58:O58)+SUM('Cohort non-gig'!D58:O58)</f>
        <v/>
      </c>
      <c r="E8" s="40">
        <f>SUM('Cohort gig'!P58:AA58)+SUM('Cohort non-gig'!P58:AA58)</f>
        <v/>
      </c>
      <c r="F8" s="40">
        <f>SUM('Cohort gig'!AB58:AM58)+SUM('Cohort non-gig'!AB58:AM58)</f>
        <v/>
      </c>
      <c r="G8" s="40">
        <f>SUM('Cohort gig'!AN58:AY58)+SUM('Cohort non-gig'!AN58:AY58)</f>
        <v/>
      </c>
      <c r="H8" s="40">
        <f>SUM('Cohort gig'!AZ58:BK58)+SUM('Cohort non-gig'!AZ58:BK58)</f>
        <v/>
      </c>
    </row>
    <row r="9">
      <c r="A9" s="25" t="inlineStr">
        <is>
          <t>Cards</t>
        </is>
      </c>
      <c r="B9" s="4" t="inlineStr">
        <is>
          <t>Fee per FD-secured card issued, plus a share of card spend; later a fee per unsecured card.</t>
        </is>
      </c>
      <c r="C9" s="49">
        <f>card_fee</f>
        <v/>
      </c>
      <c r="D9" s="40">
        <f>SUM('Cohort gig'!D59:O59)+SUM('Cohort non-gig'!D59:O59)</f>
        <v/>
      </c>
      <c r="E9" s="40">
        <f>SUM('Cohort gig'!P59:AA59)+SUM('Cohort non-gig'!P59:AA59)</f>
        <v/>
      </c>
      <c r="F9" s="40">
        <f>SUM('Cohort gig'!AB59:AM59)+SUM('Cohort non-gig'!AB59:AM59)</f>
        <v/>
      </c>
      <c r="G9" s="40">
        <f>SUM('Cohort gig'!AN59:AY59)+SUM('Cohort non-gig'!AN59:AY59)</f>
        <v/>
      </c>
      <c r="H9" s="40">
        <f>SUM('Cohort gig'!AZ59:BK59)+SUM('Cohort non-gig'!AZ59:BK59)</f>
        <v/>
      </c>
    </row>
    <row r="10">
      <c r="A10" s="25" t="inlineStr">
        <is>
          <t>SIPs</t>
        </is>
      </c>
      <c r="B10" s="4" t="inlineStr">
        <is>
          <t>Trail on equity SIP balances, plus any one-time incentive for first-time investors.</t>
        </is>
      </c>
      <c r="C10" s="49">
        <f>trail_equity</f>
        <v/>
      </c>
      <c r="D10" s="40">
        <f>SUM('Cohort gig'!D60:O60)+SUM('Cohort non-gig'!D60:O60)+SUM('Cohort gig'!D61:O61)+SUM('Cohort non-gig'!D61:O61)</f>
        <v/>
      </c>
      <c r="E10" s="40">
        <f>SUM('Cohort gig'!P60:AA60)+SUM('Cohort non-gig'!P60:AA60)+SUM('Cohort gig'!P61:AA61)+SUM('Cohort non-gig'!P61:AA61)</f>
        <v/>
      </c>
      <c r="F10" s="40">
        <f>SUM('Cohort gig'!AB60:AM60)+SUM('Cohort non-gig'!AB60:AM60)+SUM('Cohort gig'!AB61:AM61)+SUM('Cohort non-gig'!AB61:AM61)</f>
        <v/>
      </c>
      <c r="G10" s="40">
        <f>SUM('Cohort gig'!AN60:AY60)+SUM('Cohort non-gig'!AN60:AY60)+SUM('Cohort gig'!AN61:AY61)+SUM('Cohort non-gig'!AN61:AY61)</f>
        <v/>
      </c>
      <c r="H10" s="40">
        <f>SUM('Cohort gig'!AZ60:BK60)+SUM('Cohort non-gig'!AZ60:BK60)+SUM('Cohort gig'!AZ61:BK61)+SUM('Cohort non-gig'!AZ61:BK61)</f>
        <v/>
      </c>
    </row>
    <row r="11">
      <c r="A11" s="25" t="inlineStr">
        <is>
          <t>Insurance</t>
        </is>
      </c>
      <c r="B11" s="4" t="inlineStr">
        <is>
          <t>Commission on first-year and renewal premiums at the capped rates.</t>
        </is>
      </c>
      <c r="C11" s="49">
        <f>ins_comm_first</f>
        <v/>
      </c>
      <c r="D11" s="40">
        <f>SUM('Cohort gig'!D62:O62)+SUM('Cohort non-gig'!D62:O62)</f>
        <v/>
      </c>
      <c r="E11" s="40">
        <f>SUM('Cohort gig'!P62:AA62)+SUM('Cohort non-gig'!P62:AA62)</f>
        <v/>
      </c>
      <c r="F11" s="40">
        <f>SUM('Cohort gig'!AB62:AM62)+SUM('Cohort non-gig'!AB62:AM62)</f>
        <v/>
      </c>
      <c r="G11" s="40">
        <f>SUM('Cohort gig'!AN62:AY62)+SUM('Cohort non-gig'!AN62:AY62)</f>
        <v/>
      </c>
      <c r="H11" s="40">
        <f>SUM('Cohort gig'!AZ62:BK62)+SUM('Cohort non-gig'!AZ62:BK62)</f>
        <v/>
      </c>
    </row>
    <row r="12">
      <c r="A12" s="2" t="inlineStr">
        <is>
          <t>Total</t>
        </is>
      </c>
      <c r="D12" s="27">
        <f>SUM(D5:D11)</f>
        <v/>
      </c>
      <c r="E12" s="27">
        <f>SUM(E5:E11)</f>
        <v/>
      </c>
      <c r="F12" s="27">
        <f>SUM(F5:F11)</f>
        <v/>
      </c>
      <c r="G12" s="27">
        <f>SUM(G5:G11)</f>
        <v/>
      </c>
      <c r="H12" s="27">
        <f>SUM(H5:H11)</f>
        <v/>
      </c>
    </row>
    <row r="14">
      <c r="A14" s="2" t="inlineStr">
        <is>
          <t>Revenue per ACTIVE saver per year (₹) = cohort revenue ÷ average active savers that year</t>
        </is>
      </c>
    </row>
    <row r="15">
      <c r="A15" s="5" t="inlineStr">
        <is>
          <t>Line</t>
        </is>
      </c>
      <c r="B15" s="5" t="inlineStr"/>
      <c r="C15" s="5" t="inlineStr"/>
      <c r="D15" s="5" t="inlineStr">
        <is>
          <t>Cohort year 1</t>
        </is>
      </c>
      <c r="E15" s="5" t="inlineStr">
        <is>
          <t>Cohort year 2</t>
        </is>
      </c>
      <c r="F15" s="5" t="inlineStr">
        <is>
          <t>Cohort year 3</t>
        </is>
      </c>
      <c r="G15" s="5" t="inlineStr">
        <is>
          <t>Cohort year 4</t>
        </is>
      </c>
      <c r="H15" s="5" t="inlineStr">
        <is>
          <t>Cohort year 5</t>
        </is>
      </c>
    </row>
    <row r="16">
      <c r="A16" s="28" t="inlineStr">
        <is>
          <t>Average active savers in the year</t>
        </is>
      </c>
      <c r="D16" s="40">
        <f>(SUM('Cohort gig'!D7:O7)+SUM('Cohort non-gig'!D7:O7))/12</f>
        <v/>
      </c>
      <c r="E16" s="40">
        <f>(SUM('Cohort gig'!P7:AA7)+SUM('Cohort non-gig'!P7:AA7))/12</f>
        <v/>
      </c>
      <c r="F16" s="40">
        <f>(SUM('Cohort gig'!AB7:AM7)+SUM('Cohort non-gig'!AB7:AM7))/12</f>
        <v/>
      </c>
      <c r="G16" s="40">
        <f>(SUM('Cohort gig'!AN7:AY7)+SUM('Cohort non-gig'!AN7:AY7))/12</f>
        <v/>
      </c>
      <c r="H16" s="40">
        <f>(SUM('Cohort gig'!AZ7:BK7)+SUM('Cohort non-gig'!AZ7:BK7))/12</f>
        <v/>
      </c>
    </row>
    <row r="17">
      <c r="A17" s="25" t="inlineStr">
        <is>
          <t>Savings: liquid fund</t>
        </is>
      </c>
      <c r="D17" s="38">
        <f>D5/D$16</f>
        <v/>
      </c>
      <c r="E17" s="38">
        <f>E5/E$16</f>
        <v/>
      </c>
      <c r="F17" s="38">
        <f>F5/F$16</f>
        <v/>
      </c>
      <c r="G17" s="38">
        <f>G5/G$16</f>
        <v/>
      </c>
      <c r="H17" s="38">
        <f>H5/H$16</f>
        <v/>
      </c>
    </row>
    <row r="18">
      <c r="A18" s="25" t="inlineStr">
        <is>
          <t>Savings: FDs</t>
        </is>
      </c>
      <c r="D18" s="38">
        <f>D6/D$16</f>
        <v/>
      </c>
      <c r="E18" s="38">
        <f>E6/E$16</f>
        <v/>
      </c>
      <c r="F18" s="38">
        <f>F6/F$16</f>
        <v/>
      </c>
      <c r="G18" s="38">
        <f>G6/G$16</f>
        <v/>
      </c>
      <c r="H18" s="38">
        <f>H6/H$16</f>
        <v/>
      </c>
    </row>
    <row r="19">
      <c r="A19" s="25" t="inlineStr">
        <is>
          <t>Savings: gold</t>
        </is>
      </c>
      <c r="D19" s="38">
        <f>D7/D$16</f>
        <v/>
      </c>
      <c r="E19" s="38">
        <f>E7/E$16</f>
        <v/>
      </c>
      <c r="F19" s="38">
        <f>F7/F$16</f>
        <v/>
      </c>
      <c r="G19" s="38">
        <f>G7/G$16</f>
        <v/>
      </c>
      <c r="H19" s="38">
        <f>H7/H$16</f>
        <v/>
      </c>
    </row>
    <row r="20">
      <c r="A20" s="25" t="inlineStr">
        <is>
          <t>Loans (partner)</t>
        </is>
      </c>
      <c r="D20" s="38">
        <f>D8/D$16</f>
        <v/>
      </c>
      <c r="E20" s="38">
        <f>E8/E$16</f>
        <v/>
      </c>
      <c r="F20" s="38">
        <f>F8/F$16</f>
        <v/>
      </c>
      <c r="G20" s="38">
        <f>G8/G$16</f>
        <v/>
      </c>
      <c r="H20" s="38">
        <f>H8/H$16</f>
        <v/>
      </c>
    </row>
    <row r="21">
      <c r="A21" s="25" t="inlineStr">
        <is>
          <t>Cards</t>
        </is>
      </c>
      <c r="D21" s="38">
        <f>D9/D$16</f>
        <v/>
      </c>
      <c r="E21" s="38">
        <f>E9/E$16</f>
        <v/>
      </c>
      <c r="F21" s="38">
        <f>F9/F$16</f>
        <v/>
      </c>
      <c r="G21" s="38">
        <f>G9/G$16</f>
        <v/>
      </c>
      <c r="H21" s="38">
        <f>H9/H$16</f>
        <v/>
      </c>
    </row>
    <row r="22">
      <c r="A22" s="25" t="inlineStr">
        <is>
          <t>SIPs</t>
        </is>
      </c>
      <c r="D22" s="38">
        <f>D10/D$16</f>
        <v/>
      </c>
      <c r="E22" s="38">
        <f>E10/E$16</f>
        <v/>
      </c>
      <c r="F22" s="38">
        <f>F10/F$16</f>
        <v/>
      </c>
      <c r="G22" s="38">
        <f>G10/G$16</f>
        <v/>
      </c>
      <c r="H22" s="38">
        <f>H10/H$16</f>
        <v/>
      </c>
    </row>
    <row r="23">
      <c r="A23" s="25" t="inlineStr">
        <is>
          <t>Insurance</t>
        </is>
      </c>
      <c r="D23" s="38">
        <f>D11/D$16</f>
        <v/>
      </c>
      <c r="E23" s="38">
        <f>E11/E$16</f>
        <v/>
      </c>
      <c r="F23" s="38">
        <f>F11/F$16</f>
        <v/>
      </c>
      <c r="G23" s="38">
        <f>G11/G$16</f>
        <v/>
      </c>
      <c r="H23" s="38">
        <f>H11/H$16</f>
        <v/>
      </c>
    </row>
    <row r="24">
      <c r="A24" s="2" t="inlineStr">
        <is>
          <t>Total</t>
        </is>
      </c>
      <c r="D24" s="27">
        <f>SUM(D17:D23)</f>
        <v/>
      </c>
      <c r="E24" s="27">
        <f>SUM(E17:E23)</f>
        <v/>
      </c>
      <c r="F24" s="27">
        <f>SUM(F17:F23)</f>
        <v/>
      </c>
      <c r="G24" s="27">
        <f>SUM(G17:G23)</f>
        <v/>
      </c>
      <c r="H24" s="27">
        <f>SUM(H17:H23)</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2" customWidth="1" min="1" max="1"/>
    <col width="70"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Cost to serve: variable cost by line and cohort year (cohort of activated savers)</t>
        </is>
      </c>
    </row>
    <row r="3">
      <c r="A3" s="2" t="inlineStr">
        <is>
          <t>Variable cost per cohort (₹)</t>
        </is>
      </c>
    </row>
    <row r="4">
      <c r="A4" s="5" t="inlineStr">
        <is>
          <t>Line</t>
        </is>
      </c>
      <c r="B4" s="5" t="inlineStr">
        <is>
          <t>How it is calculated</t>
        </is>
      </c>
      <c r="C4" s="5" t="inlineStr">
        <is>
          <t>Key input (LIVE)</t>
        </is>
      </c>
      <c r="D4" s="5" t="inlineStr">
        <is>
          <t>Cohort year 1</t>
        </is>
      </c>
      <c r="E4" s="5" t="inlineStr">
        <is>
          <t>Cohort year 2</t>
        </is>
      </c>
      <c r="F4" s="5" t="inlineStr">
        <is>
          <t>Cohort year 3</t>
        </is>
      </c>
      <c r="G4" s="5" t="inlineStr">
        <is>
          <t>Cohort year 4</t>
        </is>
      </c>
      <c r="H4" s="5" t="inlineStr">
        <is>
          <t>Cohort year 5</t>
        </is>
      </c>
    </row>
    <row r="5">
      <c r="A5" s="25" t="inlineStr">
        <is>
          <t>Debits, notices, failed debits</t>
        </is>
      </c>
      <c r="B5" s="4" t="inlineStr">
        <is>
          <t>Per successful debit + per pre-debit notice (every scheduled debit) + per failed debit.</t>
        </is>
      </c>
      <c r="D5" s="40">
        <f>SUM('Cohort gig'!D68:O68)+SUM('Cohort non-gig'!D68:O68)</f>
        <v/>
      </c>
      <c r="E5" s="40">
        <f>SUM('Cohort gig'!P68:AA68)+SUM('Cohort non-gig'!P68:AA68)</f>
        <v/>
      </c>
      <c r="F5" s="40">
        <f>SUM('Cohort gig'!AB68:AM68)+SUM('Cohort non-gig'!AB68:AM68)</f>
        <v/>
      </c>
      <c r="G5" s="40">
        <f>SUM('Cohort gig'!AN68:AY68)+SUM('Cohort non-gig'!AN68:AY68)</f>
        <v/>
      </c>
      <c r="H5" s="40">
        <f>SUM('Cohort gig'!AZ68:BK68)+SUM('Cohort non-gig'!AZ68:BK68)</f>
        <v/>
      </c>
    </row>
    <row r="6">
      <c r="A6" s="25" t="inlineStr">
        <is>
          <t>Support, tech, streak rewards</t>
        </is>
      </c>
      <c r="B6" s="4" t="inlineStr">
        <is>
          <t>Per active saver per month.</t>
        </is>
      </c>
      <c r="D6" s="40">
        <f>SUM('Cohort gig'!D69:O69)+SUM('Cohort non-gig'!D69:O69)</f>
        <v/>
      </c>
      <c r="E6" s="40">
        <f>SUM('Cohort gig'!P69:AA69)+SUM('Cohort non-gig'!P69:AA69)</f>
        <v/>
      </c>
      <c r="F6" s="40">
        <f>SUM('Cohort gig'!AB69:AM69)+SUM('Cohort non-gig'!AB69:AM69)</f>
        <v/>
      </c>
      <c r="G6" s="40">
        <f>SUM('Cohort gig'!AN69:AY69)+SUM('Cohort non-gig'!AN69:AY69)</f>
        <v/>
      </c>
      <c r="H6" s="40">
        <f>SUM('Cohort gig'!AZ69:BK69)+SUM('Cohort non-gig'!AZ69:BK69)</f>
        <v/>
      </c>
    </row>
    <row r="7">
      <c r="A7" s="25" t="inlineStr">
        <is>
          <t>Fraud</t>
        </is>
      </c>
      <c r="B7" s="4" t="inlineStr">
        <is>
          <t>Share of money saved.</t>
        </is>
      </c>
      <c r="D7" s="40">
        <f>SUM('Cohort gig'!D70:O70)+SUM('Cohort non-gig'!D70:O70)</f>
        <v/>
      </c>
      <c r="E7" s="40">
        <f>SUM('Cohort gig'!P70:AA70)+SUM('Cohort non-gig'!P70:AA70)</f>
        <v/>
      </c>
      <c r="F7" s="40">
        <f>SUM('Cohort gig'!AB70:AM70)+SUM('Cohort non-gig'!AB70:AM70)</f>
        <v/>
      </c>
      <c r="G7" s="40">
        <f>SUM('Cohort gig'!AN70:AY70)+SUM('Cohort non-gig'!AN70:AY70)</f>
        <v/>
      </c>
      <c r="H7" s="40">
        <f>SUM('Cohort gig'!AZ70:BK70)+SUM('Cohort non-gig'!AZ70:BK70)</f>
        <v/>
      </c>
    </row>
    <row r="8">
      <c r="A8" s="25" t="inlineStr">
        <is>
          <t>Loans: our cost</t>
        </is>
      </c>
      <c r="B8" s="4" t="inlineStr">
        <is>
          <t>Per loan, plus guarantee losses if we give one.</t>
        </is>
      </c>
      <c r="D8" s="40">
        <f>SUM('Cohort gig'!D65:O65)+SUM('Cohort non-gig'!D65:O65)</f>
        <v/>
      </c>
      <c r="E8" s="40">
        <f>SUM('Cohort gig'!P65:AA65)+SUM('Cohort non-gig'!P65:AA65)</f>
        <v/>
      </c>
      <c r="F8" s="40">
        <f>SUM('Cohort gig'!AB65:AM65)+SUM('Cohort non-gig'!AB65:AM65)</f>
        <v/>
      </c>
      <c r="G8" s="40">
        <f>SUM('Cohort gig'!AN65:AY65)+SUM('Cohort non-gig'!AN65:AY65)</f>
        <v/>
      </c>
      <c r="H8" s="40">
        <f>SUM('Cohort gig'!AZ65:BK65)+SUM('Cohort non-gig'!AZ65:BK65)</f>
        <v/>
      </c>
    </row>
    <row r="9">
      <c r="A9" s="25" t="inlineStr">
        <is>
          <t>Cards: our cost</t>
        </is>
      </c>
      <c r="B9" s="4" t="inlineStr">
        <is>
          <t>Per card issued.</t>
        </is>
      </c>
      <c r="D9" s="40">
        <f>SUM('Cohort gig'!D66:O66)+SUM('Cohort non-gig'!D66:O66)</f>
        <v/>
      </c>
      <c r="E9" s="40">
        <f>SUM('Cohort gig'!P66:AA66)+SUM('Cohort non-gig'!P66:AA66)</f>
        <v/>
      </c>
      <c r="F9" s="40">
        <f>SUM('Cohort gig'!AB66:AM66)+SUM('Cohort non-gig'!AB66:AM66)</f>
        <v/>
      </c>
      <c r="G9" s="40">
        <f>SUM('Cohort gig'!AN66:AY66)+SUM('Cohort non-gig'!AN66:AY66)</f>
        <v/>
      </c>
      <c r="H9" s="40">
        <f>SUM('Cohort gig'!AZ66:BK66)+SUM('Cohort non-gig'!AZ66:BK66)</f>
        <v/>
      </c>
    </row>
    <row r="10">
      <c r="A10" s="25" t="inlineStr">
        <is>
          <t>Insurance: our cost</t>
        </is>
      </c>
      <c r="B10" s="4" t="inlineStr">
        <is>
          <t>Per new policy.</t>
        </is>
      </c>
      <c r="D10" s="40">
        <f>SUM('Cohort gig'!D67:O67)+SUM('Cohort non-gig'!D67:O67)</f>
        <v/>
      </c>
      <c r="E10" s="40">
        <f>SUM('Cohort gig'!P67:AA67)+SUM('Cohort non-gig'!P67:AA67)</f>
        <v/>
      </c>
      <c r="F10" s="40">
        <f>SUM('Cohort gig'!AB67:AM67)+SUM('Cohort non-gig'!AB67:AM67)</f>
        <v/>
      </c>
      <c r="G10" s="40">
        <f>SUM('Cohort gig'!AN67:AY67)+SUM('Cohort non-gig'!AN67:AY67)</f>
        <v/>
      </c>
      <c r="H10" s="40">
        <f>SUM('Cohort gig'!AZ67:BK67)+SUM('Cohort non-gig'!AZ67:BK67)</f>
        <v/>
      </c>
    </row>
    <row r="11">
      <c r="A11" s="2" t="inlineStr">
        <is>
          <t>Total</t>
        </is>
      </c>
      <c r="D11" s="27">
        <f>SUM(D5:D10)</f>
        <v/>
      </c>
      <c r="E11" s="27">
        <f>SUM(E5:E10)</f>
        <v/>
      </c>
      <c r="F11" s="27">
        <f>SUM(F5:F10)</f>
        <v/>
      </c>
      <c r="G11" s="27">
        <f>SUM(G5:G10)</f>
        <v/>
      </c>
      <c r="H11" s="27">
        <f>SUM(H5:H10)</f>
        <v/>
      </c>
    </row>
    <row r="13">
      <c r="A13" s="2" t="inlineStr">
        <is>
          <t>Variable cost per ACTIVE saver per year (₹)</t>
        </is>
      </c>
    </row>
    <row r="14">
      <c r="A14" s="5" t="inlineStr">
        <is>
          <t>Line</t>
        </is>
      </c>
      <c r="B14" s="5" t="inlineStr"/>
      <c r="C14" s="5" t="inlineStr"/>
      <c r="D14" s="5" t="inlineStr">
        <is>
          <t>Cohort year 1</t>
        </is>
      </c>
      <c r="E14" s="5" t="inlineStr">
        <is>
          <t>Cohort year 2</t>
        </is>
      </c>
      <c r="F14" s="5" t="inlineStr">
        <is>
          <t>Cohort year 3</t>
        </is>
      </c>
      <c r="G14" s="5" t="inlineStr">
        <is>
          <t>Cohort year 4</t>
        </is>
      </c>
      <c r="H14" s="5" t="inlineStr">
        <is>
          <t>Cohort year 5</t>
        </is>
      </c>
    </row>
    <row r="15">
      <c r="A15" s="28" t="inlineStr">
        <is>
          <t>Average active savers in the year</t>
        </is>
      </c>
      <c r="D15" s="40">
        <f>(SUM('Cohort gig'!D7:O7)+SUM('Cohort non-gig'!D7:O7))/12</f>
        <v/>
      </c>
      <c r="E15" s="40">
        <f>(SUM('Cohort gig'!P7:AA7)+SUM('Cohort non-gig'!P7:AA7))/12</f>
        <v/>
      </c>
      <c r="F15" s="40">
        <f>(SUM('Cohort gig'!AB7:AM7)+SUM('Cohort non-gig'!AB7:AM7))/12</f>
        <v/>
      </c>
      <c r="G15" s="40">
        <f>(SUM('Cohort gig'!AN7:AY7)+SUM('Cohort non-gig'!AN7:AY7))/12</f>
        <v/>
      </c>
      <c r="H15" s="40">
        <f>(SUM('Cohort gig'!AZ7:BK7)+SUM('Cohort non-gig'!AZ7:BK7))/12</f>
        <v/>
      </c>
    </row>
    <row r="16">
      <c r="A16" s="25" t="inlineStr">
        <is>
          <t>Debits, notices, failed debits</t>
        </is>
      </c>
      <c r="D16" s="38">
        <f>D5/D$15</f>
        <v/>
      </c>
      <c r="E16" s="38">
        <f>E5/E$15</f>
        <v/>
      </c>
      <c r="F16" s="38">
        <f>F5/F$15</f>
        <v/>
      </c>
      <c r="G16" s="38">
        <f>G5/G$15</f>
        <v/>
      </c>
      <c r="H16" s="38">
        <f>H5/H$15</f>
        <v/>
      </c>
    </row>
    <row r="17">
      <c r="A17" s="25" t="inlineStr">
        <is>
          <t>Support, tech, streak rewards</t>
        </is>
      </c>
      <c r="D17" s="38">
        <f>D6/D$15</f>
        <v/>
      </c>
      <c r="E17" s="38">
        <f>E6/E$15</f>
        <v/>
      </c>
      <c r="F17" s="38">
        <f>F6/F$15</f>
        <v/>
      </c>
      <c r="G17" s="38">
        <f>G6/G$15</f>
        <v/>
      </c>
      <c r="H17" s="38">
        <f>H6/H$15</f>
        <v/>
      </c>
    </row>
    <row r="18">
      <c r="A18" s="25" t="inlineStr">
        <is>
          <t>Fraud</t>
        </is>
      </c>
      <c r="D18" s="38">
        <f>D7/D$15</f>
        <v/>
      </c>
      <c r="E18" s="38">
        <f>E7/E$15</f>
        <v/>
      </c>
      <c r="F18" s="38">
        <f>F7/F$15</f>
        <v/>
      </c>
      <c r="G18" s="38">
        <f>G7/G$15</f>
        <v/>
      </c>
      <c r="H18" s="38">
        <f>H7/H$15</f>
        <v/>
      </c>
    </row>
    <row r="19">
      <c r="A19" s="25" t="inlineStr">
        <is>
          <t>Loans: our cost</t>
        </is>
      </c>
      <c r="D19" s="38">
        <f>D8/D$15</f>
        <v/>
      </c>
      <c r="E19" s="38">
        <f>E8/E$15</f>
        <v/>
      </c>
      <c r="F19" s="38">
        <f>F8/F$15</f>
        <v/>
      </c>
      <c r="G19" s="38">
        <f>G8/G$15</f>
        <v/>
      </c>
      <c r="H19" s="38">
        <f>H8/H$15</f>
        <v/>
      </c>
    </row>
    <row r="20">
      <c r="A20" s="25" t="inlineStr">
        <is>
          <t>Cards: our cost</t>
        </is>
      </c>
      <c r="D20" s="38">
        <f>D9/D$15</f>
        <v/>
      </c>
      <c r="E20" s="38">
        <f>E9/E$15</f>
        <v/>
      </c>
      <c r="F20" s="38">
        <f>F9/F$15</f>
        <v/>
      </c>
      <c r="G20" s="38">
        <f>G9/G$15</f>
        <v/>
      </c>
      <c r="H20" s="38">
        <f>H9/H$15</f>
        <v/>
      </c>
    </row>
    <row r="21">
      <c r="A21" s="25" t="inlineStr">
        <is>
          <t>Insurance: our cost</t>
        </is>
      </c>
      <c r="D21" s="38">
        <f>D10/D$15</f>
        <v/>
      </c>
      <c r="E21" s="38">
        <f>E10/E$15</f>
        <v/>
      </c>
      <c r="F21" s="38">
        <f>F10/F$15</f>
        <v/>
      </c>
      <c r="G21" s="38">
        <f>G10/G$15</f>
        <v/>
      </c>
      <c r="H21" s="38">
        <f>H10/H$15</f>
        <v/>
      </c>
    </row>
    <row r="22">
      <c r="A22" s="2" t="inlineStr">
        <is>
          <t>Total</t>
        </is>
      </c>
      <c r="D22" s="27">
        <f>SUM(D16:D21)</f>
        <v/>
      </c>
      <c r="E22" s="27">
        <f>SUM(E16:E21)</f>
        <v/>
      </c>
      <c r="F22" s="27">
        <f>SUM(F16:F21)</f>
        <v/>
      </c>
      <c r="G22" s="27">
        <f>SUM(G16:G21)</f>
        <v/>
      </c>
      <c r="H22" s="27">
        <f>SUM(H16:H21)</f>
        <v/>
      </c>
    </row>
    <row r="25">
      <c r="A25" s="2" t="inlineStr">
        <is>
          <t>Cost to serve one active saver for one month (₹), before any cross-sell</t>
        </is>
      </c>
    </row>
    <row r="26">
      <c r="A26" s="25" t="inlineStr">
        <is>
          <t>Successful debits</t>
        </is>
      </c>
      <c r="D26" s="50">
        <f>debits_success*cost_debit</f>
        <v/>
      </c>
    </row>
    <row r="27">
      <c r="A27" s="25" t="inlineStr">
        <is>
          <t>Pre-debit notices (one per scheduled debit)</t>
        </is>
      </c>
      <c r="D27" s="50">
        <f>debits_scheduled*cost_notice</f>
        <v/>
      </c>
    </row>
    <row r="28">
      <c r="A28" s="25" t="inlineStr">
        <is>
          <t>Failed debits</t>
        </is>
      </c>
      <c r="D28" s="50">
        <f>MAX(0,debits_scheduled-debits_success)*cost_failed</f>
        <v/>
      </c>
    </row>
    <row r="29">
      <c r="A29" s="25" t="inlineStr">
        <is>
          <t>Support</t>
        </is>
      </c>
      <c r="D29" s="50">
        <f>cost_support</f>
        <v/>
      </c>
    </row>
    <row r="30">
      <c r="A30" s="25" t="inlineStr">
        <is>
          <t>Tech and cloud</t>
        </is>
      </c>
      <c r="D30" s="50">
        <f>cost_tech</f>
        <v/>
      </c>
    </row>
    <row r="31">
      <c r="A31" s="25" t="inlineStr">
        <is>
          <t>Streak rewards</t>
        </is>
      </c>
      <c r="D31" s="50">
        <f>cost_rewards</f>
        <v/>
      </c>
    </row>
    <row r="32">
      <c r="A32" s="2" t="inlineStr">
        <is>
          <t>Total per active saver per month</t>
        </is>
      </c>
      <c r="D32" s="51">
        <f>SUM(D26:D31)</f>
        <v/>
      </c>
    </row>
    <row r="33">
      <c r="A33" s="2" t="inlineStr">
        <is>
          <t>…per year</t>
        </is>
      </c>
      <c r="D33" s="27">
        <f>D32*12</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9"/>
  <sheetViews>
    <sheetView workbookViewId="0">
      <pane ySplit="3" topLeftCell="A4" activePane="bottomLeft" state="frozen"/>
      <selection pane="bottomLeft" activeCell="A1" sqref="A1"/>
    </sheetView>
  </sheetViews>
  <sheetFormatPr baseColWidth="8" defaultRowHeight="15"/>
  <cols>
    <col width="60" customWidth="1" min="1" max="1"/>
    <col width="16" customWidth="1" min="2" max="2"/>
    <col width="16" customWidth="1" min="3" max="3"/>
    <col width="16" customWidth="1" min="4" max="4"/>
    <col width="16" customWidth="1" min="5" max="5"/>
    <col width="16" customWidth="1" min="6" max="6"/>
    <col width="16" customWidth="1" min="7" max="7"/>
    <col width="40" customWidth="1" min="8" max="8"/>
  </cols>
  <sheetData>
    <row r="1">
      <c r="A1" s="1" t="inlineStr">
        <is>
          <t>Outputs: the only numbers the deck quotes</t>
        </is>
      </c>
    </row>
    <row r="2">
      <c r="A2" s="2">
        <f>"Scenario shown: "&amp;CHOOSE(scenario,"Bear","Base","Bull")&amp;" (switch at Inputs!C2). LTV is on contribution margin, discounted at "&amp;TEXT(disc_rate,"0%")&amp;" a year. CAC is fully loaded, per activated saver."</f>
        <v/>
      </c>
    </row>
    <row r="4" ht="30" customHeight="1">
      <c r="A4" s="5" t="inlineStr">
        <is>
          <t>Metric</t>
        </is>
      </c>
      <c r="B4" s="5" t="inlineStr">
        <is>
          <t>Savings-first</t>
        </is>
      </c>
      <c r="C4" s="5" t="inlineStr">
        <is>
          <t>Lending-first (Bueno-style)</t>
        </is>
      </c>
      <c r="D4" s="5" t="inlineStr"/>
      <c r="E4" s="5" t="inlineStr"/>
      <c r="F4" s="5" t="inlineStr"/>
      <c r="G4" s="5" t="inlineStr"/>
      <c r="H4" s="5" t="inlineStr">
        <is>
          <t>Population / definition</t>
        </is>
      </c>
    </row>
    <row r="5">
      <c r="A5" s="25" t="inlineStr">
        <is>
          <t>CAC (₹)</t>
        </is>
      </c>
      <c r="B5" s="52">
        <f>cac_blended</f>
        <v/>
      </c>
      <c r="C5" s="40">
        <f>lf_cac</f>
        <v/>
      </c>
      <c r="H5" s="28" t="inlineStr">
        <is>
          <t>Savings: per activated saver. Lending: per disbursed borrower.</t>
        </is>
      </c>
    </row>
    <row r="6">
      <c r="A6" s="25" t="inlineStr">
        <is>
          <t>CAC per good borrower (₹)</t>
        </is>
      </c>
      <c r="C6" s="40">
        <f>lf_cac_good</f>
        <v/>
      </c>
      <c r="H6" s="28" t="inlineStr">
        <is>
          <t>Per applicant ÷ (approval × share who repay the first loan)</t>
        </is>
      </c>
    </row>
    <row r="7">
      <c r="A7" s="25" t="inlineStr">
        <is>
          <t>CAC payback (months)</t>
        </is>
      </c>
      <c r="B7" s="53">
        <f>IF(MIN('Cohort total'!D13:BK13)=999,"not within 60 months",MIN('Cohort total'!D13:BK13))</f>
        <v/>
      </c>
      <c r="C7" s="54">
        <f>lf_payback</f>
        <v/>
      </c>
      <c r="H7" s="28" t="inlineStr">
        <is>
          <t>Months until cumulative contribution (undiscounted) covers CAC</t>
        </is>
      </c>
    </row>
    <row r="8">
      <c r="A8" s="25" t="inlineStr">
        <is>
          <t>LTV, 36 months (₹)</t>
        </is>
      </c>
      <c r="B8" s="52">
        <f>SUM('Cohort total'!D12:AM12)</f>
        <v/>
      </c>
      <c r="C8" s="40">
        <f>lf_ltv36</f>
        <v/>
      </c>
      <c r="H8" s="28" t="inlineStr">
        <is>
          <t>Discounted contribution margin</t>
        </is>
      </c>
    </row>
    <row r="9">
      <c r="A9" s="25" t="inlineStr">
        <is>
          <t>LTV, 60 months (₹)</t>
        </is>
      </c>
      <c r="B9" s="52">
        <f>SUM('Cohort total'!D12:BK12)</f>
        <v/>
      </c>
      <c r="C9" s="40">
        <f>lf_ltv60</f>
        <v/>
      </c>
      <c r="H9" s="28" t="inlineStr">
        <is>
          <t>Discounted contribution margin</t>
        </is>
      </c>
    </row>
    <row r="10">
      <c r="A10" s="25" t="inlineStr">
        <is>
          <t>LTV/CAC, 36 months</t>
        </is>
      </c>
      <c r="B10" s="55">
        <f>B8/B5</f>
        <v/>
      </c>
      <c r="C10" s="56">
        <f>lf_ltv36_cac</f>
        <v/>
      </c>
      <c r="H10" s="28" t="inlineStr"/>
    </row>
    <row r="11">
      <c r="A11" s="25" t="inlineStr">
        <is>
          <t>LTV/CAC, 60 months</t>
        </is>
      </c>
      <c r="B11" s="55">
        <f>B9/B5</f>
        <v/>
      </c>
      <c r="C11" s="56">
        <f>lf_ltv60_cac</f>
        <v/>
      </c>
      <c r="H11" s="28" t="inlineStr"/>
    </row>
    <row r="12">
      <c r="A12" s="25" t="inlineStr">
        <is>
          <t>Year-1 contribution per activated saver / per borrower (₹)</t>
        </is>
      </c>
      <c r="B12" s="52">
        <f>SUM('Cohort total'!D10:O10)</f>
        <v/>
      </c>
      <c r="C12" s="40">
        <f>lf_y1_cm</f>
        <v/>
      </c>
      <c r="H12" s="28" t="inlineStr">
        <is>
          <t>Undiscounted</t>
        </is>
      </c>
    </row>
    <row r="13">
      <c r="A13" s="25" t="inlineStr">
        <is>
          <t>Capital locked per ₹1 of yearly revenue (₹)</t>
        </is>
      </c>
      <c r="B13" s="57">
        <f>IFERROR(SUM('Cohort total'!D9:O9)/12/SUM('Cohort total'!D6:O6),0)</f>
        <v/>
      </c>
      <c r="C13" s="50">
        <f>lf_cap_per_rev</f>
        <v/>
      </c>
      <c r="H13" s="28" t="inlineStr">
        <is>
          <t>Year 1, average capital locked ÷ revenue. Savings-first: guarantee deposit or NBFC equity (0 with neither lever). Lending-first: equity to hold the book in our own NBFC.</t>
        </is>
      </c>
    </row>
    <row r="16">
      <c r="A16" s="2" t="inlineStr">
        <is>
          <t>Savings-first, per ACTIVE saver per year (₹), by cohort year: stacked by product</t>
        </is>
      </c>
    </row>
    <row r="17">
      <c r="A17" s="5" t="inlineStr">
        <is>
          <t>Revenue line</t>
        </is>
      </c>
      <c r="B17" s="5" t="inlineStr">
        <is>
          <t>Year 1</t>
        </is>
      </c>
      <c r="C17" s="5" t="inlineStr">
        <is>
          <t>Year 2</t>
        </is>
      </c>
      <c r="D17" s="5" t="inlineStr">
        <is>
          <t>Year 3</t>
        </is>
      </c>
      <c r="E17" s="5" t="inlineStr">
        <is>
          <t>Year 4</t>
        </is>
      </c>
      <c r="F17" s="5" t="inlineStr">
        <is>
          <t>Year 5</t>
        </is>
      </c>
      <c r="G17" s="5" t="inlineStr"/>
      <c r="H17" s="5" t="inlineStr">
        <is>
          <t>Population</t>
        </is>
      </c>
    </row>
    <row r="18">
      <c r="A18" s="25" t="inlineStr">
        <is>
          <t>Savings: liquid fund</t>
        </is>
      </c>
      <c r="B18" s="40">
        <f>'Revenue lines'!D17</f>
        <v/>
      </c>
      <c r="C18" s="40">
        <f>'Revenue lines'!E17</f>
        <v/>
      </c>
      <c r="D18" s="40">
        <f>'Revenue lines'!F17</f>
        <v/>
      </c>
      <c r="E18" s="40">
        <f>'Revenue lines'!G17</f>
        <v/>
      </c>
      <c r="F18" s="40">
        <f>'Revenue lines'!H17</f>
        <v/>
      </c>
      <c r="H18" s="28" t="inlineStr">
        <is>
          <t>per active saver, cohort year</t>
        </is>
      </c>
    </row>
    <row r="19">
      <c r="A19" s="25" t="inlineStr">
        <is>
          <t>Savings: FDs</t>
        </is>
      </c>
      <c r="B19" s="40">
        <f>'Revenue lines'!D18</f>
        <v/>
      </c>
      <c r="C19" s="40">
        <f>'Revenue lines'!E18</f>
        <v/>
      </c>
      <c r="D19" s="40">
        <f>'Revenue lines'!F18</f>
        <v/>
      </c>
      <c r="E19" s="40">
        <f>'Revenue lines'!G18</f>
        <v/>
      </c>
      <c r="F19" s="40">
        <f>'Revenue lines'!H18</f>
        <v/>
      </c>
      <c r="H19" s="28" t="inlineStr">
        <is>
          <t>per active saver, cohort year</t>
        </is>
      </c>
    </row>
    <row r="20">
      <c r="A20" s="25" t="inlineStr">
        <is>
          <t>Savings: gold</t>
        </is>
      </c>
      <c r="B20" s="40">
        <f>'Revenue lines'!D19</f>
        <v/>
      </c>
      <c r="C20" s="40">
        <f>'Revenue lines'!E19</f>
        <v/>
      </c>
      <c r="D20" s="40">
        <f>'Revenue lines'!F19</f>
        <v/>
      </c>
      <c r="E20" s="40">
        <f>'Revenue lines'!G19</f>
        <v/>
      </c>
      <c r="F20" s="40">
        <f>'Revenue lines'!H19</f>
        <v/>
      </c>
      <c r="H20" s="28" t="inlineStr">
        <is>
          <t>per active saver, cohort year</t>
        </is>
      </c>
    </row>
    <row r="21">
      <c r="A21" s="25" t="inlineStr">
        <is>
          <t>Loans (partner)</t>
        </is>
      </c>
      <c r="B21" s="40">
        <f>'Revenue lines'!D20</f>
        <v/>
      </c>
      <c r="C21" s="40">
        <f>'Revenue lines'!E20</f>
        <v/>
      </c>
      <c r="D21" s="40">
        <f>'Revenue lines'!F20</f>
        <v/>
      </c>
      <c r="E21" s="40">
        <f>'Revenue lines'!G20</f>
        <v/>
      </c>
      <c r="F21" s="40">
        <f>'Revenue lines'!H20</f>
        <v/>
      </c>
      <c r="H21" s="28" t="inlineStr">
        <is>
          <t>per active saver, cohort year</t>
        </is>
      </c>
    </row>
    <row r="22">
      <c r="A22" s="25" t="inlineStr">
        <is>
          <t>Cards</t>
        </is>
      </c>
      <c r="B22" s="40">
        <f>'Revenue lines'!D21</f>
        <v/>
      </c>
      <c r="C22" s="40">
        <f>'Revenue lines'!E21</f>
        <v/>
      </c>
      <c r="D22" s="40">
        <f>'Revenue lines'!F21</f>
        <v/>
      </c>
      <c r="E22" s="40">
        <f>'Revenue lines'!G21</f>
        <v/>
      </c>
      <c r="F22" s="40">
        <f>'Revenue lines'!H21</f>
        <v/>
      </c>
      <c r="H22" s="28" t="inlineStr">
        <is>
          <t>per active saver, cohort year</t>
        </is>
      </c>
    </row>
    <row r="23">
      <c r="A23" s="25" t="inlineStr">
        <is>
          <t>SIPs</t>
        </is>
      </c>
      <c r="B23" s="40">
        <f>'Revenue lines'!D22</f>
        <v/>
      </c>
      <c r="C23" s="40">
        <f>'Revenue lines'!E22</f>
        <v/>
      </c>
      <c r="D23" s="40">
        <f>'Revenue lines'!F22</f>
        <v/>
      </c>
      <c r="E23" s="40">
        <f>'Revenue lines'!G22</f>
        <v/>
      </c>
      <c r="F23" s="40">
        <f>'Revenue lines'!H22</f>
        <v/>
      </c>
      <c r="H23" s="28" t="inlineStr">
        <is>
          <t>per active saver, cohort year</t>
        </is>
      </c>
    </row>
    <row r="24">
      <c r="A24" s="25" t="inlineStr">
        <is>
          <t>Insurance</t>
        </is>
      </c>
      <c r="B24" s="40">
        <f>'Revenue lines'!D23</f>
        <v/>
      </c>
      <c r="C24" s="40">
        <f>'Revenue lines'!E23</f>
        <v/>
      </c>
      <c r="D24" s="40">
        <f>'Revenue lines'!F23</f>
        <v/>
      </c>
      <c r="E24" s="40">
        <f>'Revenue lines'!G23</f>
        <v/>
      </c>
      <c r="F24" s="40">
        <f>'Revenue lines'!H23</f>
        <v/>
      </c>
      <c r="H24" s="28" t="inlineStr">
        <is>
          <t>per active saver, cohort year</t>
        </is>
      </c>
    </row>
    <row r="25">
      <c r="A25" s="2" t="inlineStr">
        <is>
          <t>Revenue per active saver</t>
        </is>
      </c>
      <c r="B25" s="52">
        <f>'Revenue lines'!D24</f>
        <v/>
      </c>
      <c r="C25" s="52">
        <f>'Revenue lines'!E24</f>
        <v/>
      </c>
      <c r="D25" s="52">
        <f>'Revenue lines'!F24</f>
        <v/>
      </c>
      <c r="E25" s="52">
        <f>'Revenue lines'!G24</f>
        <v/>
      </c>
      <c r="F25" s="52">
        <f>'Revenue lines'!H24</f>
        <v/>
      </c>
    </row>
    <row r="26">
      <c r="A26" s="2" t="inlineStr">
        <is>
          <t>Variable cost per active saver</t>
        </is>
      </c>
      <c r="B26" s="52">
        <f>'Cost to serve'!D22</f>
        <v/>
      </c>
      <c r="C26" s="52">
        <f>'Cost to serve'!E22</f>
        <v/>
      </c>
      <c r="D26" s="52">
        <f>'Cost to serve'!F22</f>
        <v/>
      </c>
      <c r="E26" s="52">
        <f>'Cost to serve'!G22</f>
        <v/>
      </c>
      <c r="F26" s="52">
        <f>'Cost to serve'!H22</f>
        <v/>
      </c>
    </row>
    <row r="27">
      <c r="A27" s="2" t="inlineStr">
        <is>
          <t>Contribution margin per active saver</t>
        </is>
      </c>
      <c r="B27" s="27">
        <f>B25-B26</f>
        <v/>
      </c>
      <c r="C27" s="27">
        <f>C25-C26</f>
        <v/>
      </c>
      <c r="D27" s="27">
        <f>D25-D26</f>
        <v/>
      </c>
      <c r="E27" s="27">
        <f>E25-E26</f>
        <v/>
      </c>
      <c r="F27" s="27">
        <f>F25-F26</f>
        <v/>
      </c>
    </row>
    <row r="30">
      <c r="A30" s="2" t="inlineStr">
        <is>
          <t>Savings-first, per ACTIVATED saver (the cohort's starting 1,000), by cohort year</t>
        </is>
      </c>
    </row>
    <row r="31">
      <c r="A31" s="5" t="inlineStr">
        <is>
          <t>Metric</t>
        </is>
      </c>
      <c r="B31" s="5" t="inlineStr">
        <is>
          <t>Year 1</t>
        </is>
      </c>
      <c r="C31" s="5" t="inlineStr">
        <is>
          <t>Year 2</t>
        </is>
      </c>
      <c r="D31" s="5" t="inlineStr">
        <is>
          <t>Year 3</t>
        </is>
      </c>
      <c r="E31" s="5" t="inlineStr">
        <is>
          <t>Year 4</t>
        </is>
      </c>
      <c r="F31" s="5" t="inlineStr">
        <is>
          <t>Year 5</t>
        </is>
      </c>
    </row>
    <row r="32">
      <c r="A32" s="25" t="inlineStr">
        <is>
          <t>Revenue per activated saver (₹)</t>
        </is>
      </c>
      <c r="B32" s="40">
        <f>SUM('Cohort total'!D6:O6)/cohort_size</f>
        <v/>
      </c>
      <c r="C32" s="40">
        <f>SUM('Cohort total'!P6:AA6)/cohort_size</f>
        <v/>
      </c>
      <c r="D32" s="40">
        <f>SUM('Cohort total'!AB6:AM6)/cohort_size</f>
        <v/>
      </c>
      <c r="E32" s="40">
        <f>SUM('Cohort total'!AN6:AY6)/cohort_size</f>
        <v/>
      </c>
      <c r="F32" s="40">
        <f>SUM('Cohort total'!AZ6:BK6)/cohort_size</f>
        <v/>
      </c>
    </row>
    <row r="33">
      <c r="A33" s="25" t="inlineStr">
        <is>
          <t>Contribution per activated saver (₹)</t>
        </is>
      </c>
      <c r="B33" s="40">
        <f>SUM('Cohort total'!D8:O8)/cohort_size</f>
        <v/>
      </c>
      <c r="C33" s="40">
        <f>SUM('Cohort total'!P8:AA8)/cohort_size</f>
        <v/>
      </c>
      <c r="D33" s="40">
        <f>SUM('Cohort total'!AB8:AM8)/cohort_size</f>
        <v/>
      </c>
      <c r="E33" s="40">
        <f>SUM('Cohort total'!AN8:AY8)/cohort_size</f>
        <v/>
      </c>
      <c r="F33" s="40">
        <f>SUM('Cohort total'!AZ8:BK8)/cohort_size</f>
        <v/>
      </c>
    </row>
    <row r="34">
      <c r="A34" s="25" t="inlineStr">
        <is>
          <t>Capital locked per activated saver, average in year (₹)</t>
        </is>
      </c>
      <c r="B34" s="50">
        <f>SUM('Cohort total'!D9:O9)/12/cohort_size</f>
        <v/>
      </c>
      <c r="C34" s="50">
        <f>SUM('Cohort total'!P9:AA9)/12/cohort_size</f>
        <v/>
      </c>
      <c r="D34" s="50">
        <f>SUM('Cohort total'!AB9:AM9)/12/cohort_size</f>
        <v/>
      </c>
      <c r="E34" s="50">
        <f>SUM('Cohort total'!AN9:AY9)/12/cohort_size</f>
        <v/>
      </c>
      <c r="F34" s="50">
        <f>SUM('Cohort total'!AZ9:BK9)/12/cohort_size</f>
        <v/>
      </c>
    </row>
    <row r="35">
      <c r="A35" s="25" t="inlineStr">
        <is>
          <t>Average active savers per activated saver</t>
        </is>
      </c>
      <c r="B35" s="50">
        <f>SUM('Cohort total'!D5:O5)/12/cohort_size</f>
        <v/>
      </c>
      <c r="C35" s="50">
        <f>SUM('Cohort total'!P5:AA5)/12/cohort_size</f>
        <v/>
      </c>
      <c r="D35" s="50">
        <f>SUM('Cohort total'!AB5:AM5)/12/cohort_size</f>
        <v/>
      </c>
      <c r="E35" s="50">
        <f>SUM('Cohort total'!AN5:AY5)/12/cohort_size</f>
        <v/>
      </c>
      <c r="F35" s="50">
        <f>SUM('Cohort total'!AZ5:BK5)/12/cohort_size</f>
        <v/>
      </c>
    </row>
    <row r="38">
      <c r="A38" s="2" t="inlineStr">
        <is>
          <t>By segment (per activated saver of that segment, base on the scenario switch)</t>
        </is>
      </c>
    </row>
    <row r="39">
      <c r="A39" s="5" t="inlineStr">
        <is>
          <t>Metric</t>
        </is>
      </c>
      <c r="B39" s="5" t="inlineStr">
        <is>
          <t>Gig</t>
        </is>
      </c>
      <c r="C39" s="5" t="inlineStr">
        <is>
          <t>Non-gig</t>
        </is>
      </c>
    </row>
    <row r="40">
      <c r="A40" s="25" t="inlineStr">
        <is>
          <t>CAC (₹)</t>
        </is>
      </c>
      <c r="B40" s="40">
        <f>cac_gig</f>
        <v/>
      </c>
      <c r="C40" s="40">
        <f>cac_ng</f>
        <v/>
      </c>
    </row>
    <row r="41">
      <c r="A41" s="25" t="inlineStr">
        <is>
          <t>LTV, 60 months (₹)</t>
        </is>
      </c>
      <c r="B41" s="40">
        <f>SUM('Cohort gig'!D76:BK76)</f>
        <v/>
      </c>
      <c r="C41" s="40">
        <f>SUM('Cohort non-gig'!D76:BK76)</f>
        <v/>
      </c>
    </row>
    <row r="42">
      <c r="A42" s="25" t="inlineStr">
        <is>
          <t>LTV/CAC, 60 months</t>
        </is>
      </c>
      <c r="B42" s="56">
        <f>B41/B40</f>
        <v/>
      </c>
      <c r="C42" s="56">
        <f>C41/C40</f>
        <v/>
      </c>
    </row>
    <row r="43">
      <c r="A43" s="25" t="inlineStr">
        <is>
          <t>CAC payback (months)</t>
        </is>
      </c>
      <c r="B43" s="54">
        <f>IF(MIN('Cohort gig'!D77:BK77)=999,"not within 60 months",MIN('Cohort gig'!D77:BK77))</f>
        <v/>
      </c>
      <c r="C43" s="54">
        <f>IF(MIN('Cohort non-gig'!D77:BK77)=999,"not within 60 months",MIN('Cohort non-gig'!D77:BK77))</f>
        <v/>
      </c>
    </row>
    <row r="44">
      <c r="A44" s="25" t="inlineStr">
        <is>
          <t>Revenue per active saver, year 2 (₹)</t>
        </is>
      </c>
      <c r="B44" s="40">
        <f>SUM('Cohort gig'!P63:AA63)/(SUM('Cohort gig'!P7:AA7)/12)</f>
        <v/>
      </c>
      <c r="C44" s="40">
        <f>SUM('Cohort non-gig'!P63:AA63)/(SUM('Cohort non-gig'!P7:AA7)/12)</f>
        <v/>
      </c>
    </row>
    <row r="45">
      <c r="A45" s="25" t="inlineStr">
        <is>
          <t>Still saving at month 12</t>
        </is>
      </c>
      <c r="B45" s="58">
        <f>'Cohort gig'!O6</f>
        <v/>
      </c>
      <c r="C45" s="58">
        <f>'Cohort non-gig'!O6</f>
        <v/>
      </c>
    </row>
    <row r="47">
      <c r="A47" s="2" t="inlineStr">
        <is>
          <t>Path to $100M (see that tab)</t>
        </is>
      </c>
    </row>
    <row r="48">
      <c r="A48" s="25" t="inlineStr">
        <is>
          <t>First year revenue reaches $100M</t>
        </is>
      </c>
      <c r="B48" s="54">
        <f>path_year_100m</f>
        <v/>
      </c>
    </row>
    <row r="49">
      <c r="A49" s="25" t="inlineStr">
        <is>
          <t>Revenue in year 5 ($ million)</t>
        </is>
      </c>
      <c r="B49" s="59">
        <f>path_rev_usd_y5</f>
        <v/>
      </c>
    </row>
    <row r="50">
      <c r="A50" s="25" t="inlineStr">
        <is>
          <t>Revenue in year 10 ($ million)</t>
        </is>
      </c>
      <c r="B50" s="59">
        <f>path_rev_usd_y10</f>
        <v/>
      </c>
    </row>
    <row r="51">
      <c r="A51" s="25" t="inlineStr">
        <is>
          <t>Active savers in year 10 (million)</t>
        </is>
      </c>
      <c r="B51" s="50">
        <f>path_active_y10</f>
        <v/>
      </c>
    </row>
    <row r="52">
      <c r="A52" s="25" t="inlineStr">
        <is>
          <t>Capital needed to reach year 2 (₹ crore)</t>
        </is>
      </c>
      <c r="B52" s="59">
        <f>path_need_y2</f>
        <v/>
      </c>
    </row>
    <row r="53">
      <c r="A53" s="25" t="inlineStr">
        <is>
          <t>Capital needed to reach year 5 (₹ crore)</t>
        </is>
      </c>
      <c r="B53" s="59">
        <f>path_need_y5</f>
        <v/>
      </c>
    </row>
    <row r="54">
      <c r="A54" s="25" t="inlineStr">
        <is>
          <t>Peak capital needed over 10 years (₹ crore)</t>
        </is>
      </c>
      <c r="B54" s="59">
        <f>path_peak_capital</f>
        <v/>
      </c>
    </row>
    <row r="57">
      <c r="A57" s="2" t="inlineStr">
        <is>
          <t>Story deck: what an active saver costs us per year (₹), by line and cohort year</t>
        </is>
      </c>
    </row>
    <row r="58">
      <c r="A58" s="5" t="inlineStr">
        <is>
          <t>Cost line</t>
        </is>
      </c>
      <c r="B58" s="5" t="inlineStr">
        <is>
          <t>Year 1</t>
        </is>
      </c>
      <c r="C58" s="5" t="inlineStr">
        <is>
          <t>Year 2</t>
        </is>
      </c>
      <c r="D58" s="5" t="inlineStr">
        <is>
          <t>Year 3</t>
        </is>
      </c>
      <c r="E58" s="5" t="inlineStr">
        <is>
          <t>Year 4</t>
        </is>
      </c>
      <c r="F58" s="5" t="inlineStr">
        <is>
          <t>Year 5</t>
        </is>
      </c>
      <c r="G58" s="5" t="inlineStr"/>
      <c r="H58" s="5" t="inlineStr">
        <is>
          <t>Population</t>
        </is>
      </c>
    </row>
    <row r="59">
      <c r="A59" s="25" t="inlineStr">
        <is>
          <t>Debits, notices, failed debits</t>
        </is>
      </c>
      <c r="B59" s="40">
        <f>'Cost to serve'!D16</f>
        <v/>
      </c>
      <c r="C59" s="40">
        <f>'Cost to serve'!E16</f>
        <v/>
      </c>
      <c r="D59" s="40">
        <f>'Cost to serve'!F16</f>
        <v/>
      </c>
      <c r="E59" s="40">
        <f>'Cost to serve'!G16</f>
        <v/>
      </c>
      <c r="F59" s="40">
        <f>'Cost to serve'!H16</f>
        <v/>
      </c>
      <c r="H59" s="28" t="inlineStr">
        <is>
          <t>per active saver, cohort year</t>
        </is>
      </c>
    </row>
    <row r="60">
      <c r="A60" s="25" t="inlineStr">
        <is>
          <t>Support, tech, streak rewards</t>
        </is>
      </c>
      <c r="B60" s="40">
        <f>'Cost to serve'!D17</f>
        <v/>
      </c>
      <c r="C60" s="40">
        <f>'Cost to serve'!E17</f>
        <v/>
      </c>
      <c r="D60" s="40">
        <f>'Cost to serve'!F17</f>
        <v/>
      </c>
      <c r="E60" s="40">
        <f>'Cost to serve'!G17</f>
        <v/>
      </c>
      <c r="F60" s="40">
        <f>'Cost to serve'!H17</f>
        <v/>
      </c>
      <c r="H60" s="28" t="inlineStr">
        <is>
          <t>per active saver, cohort year</t>
        </is>
      </c>
    </row>
    <row r="61">
      <c r="A61" s="25" t="inlineStr">
        <is>
          <t>Fraud</t>
        </is>
      </c>
      <c r="B61" s="40">
        <f>'Cost to serve'!D18</f>
        <v/>
      </c>
      <c r="C61" s="40">
        <f>'Cost to serve'!E18</f>
        <v/>
      </c>
      <c r="D61" s="40">
        <f>'Cost to serve'!F18</f>
        <v/>
      </c>
      <c r="E61" s="40">
        <f>'Cost to serve'!G18</f>
        <v/>
      </c>
      <c r="F61" s="40">
        <f>'Cost to serve'!H18</f>
        <v/>
      </c>
      <c r="H61" s="28" t="inlineStr">
        <is>
          <t>per active saver, cohort year</t>
        </is>
      </c>
    </row>
    <row r="62">
      <c r="A62" s="25" t="inlineStr">
        <is>
          <t>Loans: our cost</t>
        </is>
      </c>
      <c r="B62" s="40">
        <f>'Cost to serve'!D19</f>
        <v/>
      </c>
      <c r="C62" s="40">
        <f>'Cost to serve'!E19</f>
        <v/>
      </c>
      <c r="D62" s="40">
        <f>'Cost to serve'!F19</f>
        <v/>
      </c>
      <c r="E62" s="40">
        <f>'Cost to serve'!G19</f>
        <v/>
      </c>
      <c r="F62" s="40">
        <f>'Cost to serve'!H19</f>
        <v/>
      </c>
      <c r="H62" s="28" t="inlineStr">
        <is>
          <t>per active saver, cohort year</t>
        </is>
      </c>
    </row>
    <row r="63">
      <c r="A63" s="25" t="inlineStr">
        <is>
          <t>Cards: our cost</t>
        </is>
      </c>
      <c r="B63" s="40">
        <f>'Cost to serve'!D20</f>
        <v/>
      </c>
      <c r="C63" s="40">
        <f>'Cost to serve'!E20</f>
        <v/>
      </c>
      <c r="D63" s="40">
        <f>'Cost to serve'!F20</f>
        <v/>
      </c>
      <c r="E63" s="40">
        <f>'Cost to serve'!G20</f>
        <v/>
      </c>
      <c r="F63" s="40">
        <f>'Cost to serve'!H20</f>
        <v/>
      </c>
      <c r="H63" s="28" t="inlineStr">
        <is>
          <t>per active saver, cohort year</t>
        </is>
      </c>
    </row>
    <row r="64">
      <c r="A64" s="25" t="inlineStr">
        <is>
          <t>Insurance: our cost</t>
        </is>
      </c>
      <c r="B64" s="40">
        <f>'Cost to serve'!D21</f>
        <v/>
      </c>
      <c r="C64" s="40">
        <f>'Cost to serve'!E21</f>
        <v/>
      </c>
      <c r="D64" s="40">
        <f>'Cost to serve'!F21</f>
        <v/>
      </c>
      <c r="E64" s="40">
        <f>'Cost to serve'!G21</f>
        <v/>
      </c>
      <c r="F64" s="40">
        <f>'Cost to serve'!H21</f>
        <v/>
      </c>
      <c r="H64" s="28" t="inlineStr">
        <is>
          <t>per active saver, cohort year</t>
        </is>
      </c>
    </row>
    <row r="67">
      <c r="A67" s="2" t="inlineStr">
        <is>
          <t>Story deck: how many savers ever borrow, and what each borrower costs to find</t>
        </is>
      </c>
    </row>
    <row r="68">
      <c r="A68" s="5" t="inlineStr">
        <is>
          <t>Metric</t>
        </is>
      </c>
      <c r="B68" s="5" t="inlineStr">
        <is>
          <t>Value</t>
        </is>
      </c>
      <c r="C68" s="5" t="inlineStr"/>
      <c r="D68" s="5" t="inlineStr"/>
      <c r="E68" s="5" t="inlineStr"/>
      <c r="F68" s="5" t="inlineStr"/>
      <c r="G68" s="5" t="inlineStr"/>
      <c r="H68" s="5" t="inlineStr">
        <is>
          <t>Population / definition</t>
        </is>
      </c>
    </row>
    <row r="69">
      <c r="A69" s="25" t="inlineStr">
        <is>
          <t>Activated savers who took a first loan by month 12</t>
        </is>
      </c>
      <c r="B69" s="58">
        <f>(SUM('Cohort gig'!D24:O24)+SUM('Cohort non-gig'!D24:O24))/cohort_size</f>
        <v/>
      </c>
      <c r="H69" s="28" t="inlineStr">
        <is>
          <t>first loans ÷ activated savers (both halves)</t>
        </is>
      </c>
    </row>
    <row r="70">
      <c r="A70" s="25" t="inlineStr">
        <is>
          <t>Activated savers who took a first loan by month 24</t>
        </is>
      </c>
      <c r="B70" s="58">
        <f>(SUM('Cohort gig'!D24:AA24)+SUM('Cohort non-gig'!D24:AA24))/cohort_size</f>
        <v/>
      </c>
      <c r="H70" s="28" t="inlineStr">
        <is>
          <t>first loans ÷ activated savers (both halves)</t>
        </is>
      </c>
    </row>
    <row r="71">
      <c r="A71" s="25" t="inlineStr">
        <is>
          <t>Activated savers who took a first loan by month 60</t>
        </is>
      </c>
      <c r="B71" s="58">
        <f>(SUM('Cohort gig'!D24:BK24)+SUM('Cohort non-gig'!D24:BK24))/cohort_size</f>
        <v/>
      </c>
      <c r="H71" s="28" t="inlineStr">
        <is>
          <t>first loans ÷ activated savers (both halves)</t>
        </is>
      </c>
    </row>
    <row r="72">
      <c r="A72" s="25" t="inlineStr">
        <is>
          <t>CAC per saver who ever borrows (₹)</t>
        </is>
      </c>
      <c r="B72" s="40">
        <f>cac_blended/B71</f>
        <v/>
      </c>
      <c r="H72" s="28" t="inlineStr">
        <is>
          <t>CAC per activated saver ÷ share who took a first loan within 60 months</t>
        </is>
      </c>
    </row>
    <row r="73">
      <c r="A73" s="25" t="inlineStr">
        <is>
          <t>Activated savers who reached loan 3 (part secured) within 60 months</t>
        </is>
      </c>
      <c r="B73" s="58">
        <f>(SUM('Cohort gig'!D26:BK26)+SUM('Cohort non-gig'!D26:BK26))/cohort_size</f>
        <v/>
      </c>
      <c r="H73" s="28" t="inlineStr">
        <is>
          <t>loans on that rung ÷ activated savers (both halves)</t>
        </is>
      </c>
    </row>
    <row r="74">
      <c r="A74" s="25" t="inlineStr">
        <is>
          <t>Activated savers who reached loan 5 (first unsecured) within 60 months</t>
        </is>
      </c>
      <c r="B74" s="58">
        <f>(SUM('Cohort gig'!D28:BK28)+SUM('Cohort non-gig'!D28:BK28))/cohort_size</f>
        <v/>
      </c>
      <c r="H74" s="28" t="inlineStr">
        <is>
          <t>loans on that rung ÷ activated savers (both halves)</t>
        </is>
      </c>
    </row>
    <row r="75">
      <c r="A75" s="25" t="inlineStr">
        <is>
          <t>Secured loan size when loans start (₹, average active saver)</t>
        </is>
      </c>
      <c r="B75" s="40">
        <f>(INDEX('Cohort gig'!$D$33:$BK$33,1,loan_start)*INDEX('Cohort gig'!$D$7:$BK$7,1,loan_start)+INDEX('Cohort non-gig'!$D$33:$BK$33,1,loan_start)*INDEX('Cohort non-gig'!$D$7:$BK$7,1,loan_start))/(INDEX('Cohort gig'!$D$7:$BK$7,1,loan_start)+INDEX('Cohort non-gig'!$D$7:$BK$7,1,loan_start))</f>
        <v/>
      </c>
      <c r="H75" s="28" t="inlineStr">
        <is>
          <t>secured_ltv × fund + FD money per active saver, active-weighted across halves</t>
        </is>
      </c>
    </row>
    <row r="76">
      <c r="A76" s="25" t="inlineStr">
        <is>
          <t>Secured loan size at month 12 (₹, average active saver)</t>
        </is>
      </c>
      <c r="B76" s="40">
        <f>(INDEX('Cohort gig'!$D$33:$BK$33,1,12)*INDEX('Cohort gig'!$D$7:$BK$7,1,12)+INDEX('Cohort non-gig'!$D$33:$BK$33,1,12)*INDEX('Cohort non-gig'!$D$7:$BK$7,1,12))/(INDEX('Cohort gig'!$D$7:$BK$7,1,12)+INDEX('Cohort non-gig'!$D$7:$BK$7,1,12))</f>
        <v/>
      </c>
      <c r="H76" s="28" t="inlineStr">
        <is>
          <t>secured_ltv × fund + FD money per active saver, active-weighted across halves</t>
        </is>
      </c>
    </row>
    <row r="77">
      <c r="A77" s="25" t="inlineStr">
        <is>
          <t>Share of 60-month revenue from digital gold</t>
        </is>
      </c>
      <c r="B77" s="58">
        <f>(SUM('Cohort gig'!D57:BK57)+SUM('Cohort non-gig'!D57:BK57))/(SUM('Cohort gig'!D63:BK63)+SUM('Cohort non-gig'!D63:BK63))</f>
        <v/>
      </c>
      <c r="H77" s="28" t="inlineStr">
        <is>
          <t>cohort revenue over 60 months, undiscounted</t>
        </is>
      </c>
    </row>
    <row r="78">
      <c r="A78" s="25" t="inlineStr">
        <is>
          <t>Share of 60-month revenue from loans</t>
        </is>
      </c>
      <c r="B78" s="58">
        <f>(SUM('Cohort gig'!D58:BK58)+SUM('Cohort non-gig'!D58:BK58))/(SUM('Cohort gig'!D63:BK63)+SUM('Cohort non-gig'!D63:BK63))</f>
        <v/>
      </c>
      <c r="H78" s="28" t="inlineStr">
        <is>
          <t>cohort revenue over 60 months, undiscounted</t>
        </is>
      </c>
    </row>
    <row r="79">
      <c r="A79" s="25" t="inlineStr">
        <is>
          <t>Share of 60-month revenue from insurance</t>
        </is>
      </c>
      <c r="B79" s="58">
        <f>(SUM('Cohort gig'!D62:BK62)+SUM('Cohort non-gig'!D62:BK62))/(SUM('Cohort gig'!D63:BK63)+SUM('Cohort non-gig'!D63:BK63))</f>
        <v/>
      </c>
      <c r="H79" s="28" t="inlineStr">
        <is>
          <t>cohort revenue over 60 months, undiscounted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K3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52"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 t="inlineStr">
        <is>
          <t>Lending-first comparison: a Bueno-style cohort of 1,000 applicants, from founder data</t>
        </is>
      </c>
    </row>
    <row r="2" ht="30" customHeight="1">
      <c r="A2" s="4" t="inlineStr">
        <is>
          <t>As Bueno ran it: a partner NBFC lent, we paid it a fixed yearly return and bore ALL default losses. RBI now caps a loan service provider's loss guarantee at 5% of the portfolio, so this exact structure would need our own NBFC today (see capital row).</t>
        </is>
      </c>
    </row>
    <row r="4">
      <c r="A4" s="6" t="inlineStr">
        <is>
          <t>Per-loan economics (scenario from Inputs!C2)</t>
        </is>
      </c>
      <c r="B4" s="7" t="n"/>
      <c r="C4" s="7" t="n"/>
    </row>
    <row r="5">
      <c r="A5" s="25" t="inlineStr">
        <is>
          <t>Borrowers (applicants × approval)</t>
        </is>
      </c>
      <c r="B5" s="32">
        <f>lf_applicants*lf_approval</f>
        <v/>
      </c>
    </row>
    <row r="6">
      <c r="A6" s="25" t="inlineStr">
        <is>
          <t>Interest and fees per loan, contract (₹)</t>
        </is>
      </c>
      <c r="B6" s="32">
        <f>PMT(lf_irr/12,lf_tenor,-lf_ticket)*lf_tenor-lf_ticket</f>
        <v/>
      </c>
    </row>
    <row r="7">
      <c r="A7" s="25" t="inlineStr">
        <is>
          <t>Paid to NBFC per loan (₹)</t>
        </is>
      </c>
      <c r="B7" s="32">
        <f>PMT(lf_cof/12,lf_tenor,-lf_ticket)*lf_tenor-lf_ticket</f>
        <v/>
      </c>
    </row>
    <row r="8">
      <c r="A8" s="25" t="inlineStr">
        <is>
          <t>Average balance as share of loan</t>
        </is>
      </c>
      <c r="B8" s="31">
        <f>((1+lf_irr/12)^lf_tenor-((1+lf_irr/12)^lf_tenor-1)/(lf_tenor*lf_irr/12))/((1+lf_irr/12)^lf_tenor-1)</f>
        <v/>
      </c>
    </row>
    <row r="9">
      <c r="A9" s="25" t="inlineStr">
        <is>
          <t>Fixed cost per loan: collection + ops + platform fee (₹)</t>
        </is>
      </c>
      <c r="B9" s="32">
        <f>lf_collection+lf_ops_cost+lf_platform_share*lf_platform_fee</f>
        <v/>
      </c>
    </row>
    <row r="10">
      <c r="A10" s="25" t="inlineStr">
        <is>
          <t>Contribution of a FIRST loan (₹)</t>
        </is>
      </c>
      <c r="B10" s="27">
        <f>lf_interest*(1-lf_dpd90_first)-lf_cof_loan-lf_dpd90_first*lf_ead*lf_lgd*lf_ticket*lf_risk_share-lf_fixed</f>
        <v/>
      </c>
    </row>
    <row r="11">
      <c r="A11" s="25" t="inlineStr">
        <is>
          <t>Contribution of a REPEAT loan (₹)</t>
        </is>
      </c>
      <c r="B11" s="32">
        <f>lf_interest*(1-lf_dpd90_repeat)-lf_cof_loan-lf_dpd90_repeat*lf_ead*lf_lgd*lf_ticket*lf_risk_share-lf_fixed</f>
        <v/>
      </c>
    </row>
    <row r="12">
      <c r="A12" s="25" t="inlineStr">
        <is>
          <t>CAC per applicant, fully loaded (₹)</t>
        </is>
      </c>
      <c r="B12" s="32">
        <f>lf_cost_per_applicant+lf_underwrite_cost</f>
        <v/>
      </c>
    </row>
    <row r="13">
      <c r="A13" s="25" t="inlineStr">
        <is>
          <t>CAC per disbursed borrower (₹)</t>
        </is>
      </c>
      <c r="B13" s="27">
        <f>lf_cac_app/lf_approval</f>
        <v/>
      </c>
    </row>
    <row r="14">
      <c r="A14" s="25" t="inlineStr">
        <is>
          <t>CAC per good borrower (₹) = CAC per applicant ÷ (approval × share who repay)</t>
        </is>
      </c>
      <c r="B14" s="32">
        <f>lf_cac_app/(lf_approval*(1-lf_dpd90_first))</f>
        <v/>
      </c>
    </row>
    <row r="16">
      <c r="A16" s="2" t="inlineStr">
        <is>
          <t>Monthly cohort (month 0 in column C)</t>
        </is>
      </c>
    </row>
    <row r="17">
      <c r="A17" s="25" t="inlineStr">
        <is>
          <t>Month</t>
        </is>
      </c>
      <c r="C17" s="41" t="n">
        <v>0</v>
      </c>
      <c r="D17" s="41" t="n">
        <v>1</v>
      </c>
      <c r="E17" s="41" t="n">
        <v>2</v>
      </c>
      <c r="F17" s="41" t="n">
        <v>3</v>
      </c>
      <c r="G17" s="41" t="n">
        <v>4</v>
      </c>
      <c r="H17" s="41" t="n">
        <v>5</v>
      </c>
      <c r="I17" s="41" t="n">
        <v>6</v>
      </c>
      <c r="J17" s="41" t="n">
        <v>7</v>
      </c>
      <c r="K17" s="41" t="n">
        <v>8</v>
      </c>
      <c r="L17" s="41" t="n">
        <v>9</v>
      </c>
      <c r="M17" s="41" t="n">
        <v>10</v>
      </c>
      <c r="N17" s="41" t="n">
        <v>11</v>
      </c>
      <c r="O17" s="41" t="n">
        <v>12</v>
      </c>
      <c r="P17" s="41" t="n">
        <v>13</v>
      </c>
      <c r="Q17" s="41" t="n">
        <v>14</v>
      </c>
      <c r="R17" s="41" t="n">
        <v>15</v>
      </c>
      <c r="S17" s="41" t="n">
        <v>16</v>
      </c>
      <c r="T17" s="41" t="n">
        <v>17</v>
      </c>
      <c r="U17" s="41" t="n">
        <v>18</v>
      </c>
      <c r="V17" s="41" t="n">
        <v>19</v>
      </c>
      <c r="W17" s="41" t="n">
        <v>20</v>
      </c>
      <c r="X17" s="41" t="n">
        <v>21</v>
      </c>
      <c r="Y17" s="41" t="n">
        <v>22</v>
      </c>
      <c r="Z17" s="41" t="n">
        <v>23</v>
      </c>
      <c r="AA17" s="41" t="n">
        <v>24</v>
      </c>
      <c r="AB17" s="41" t="n">
        <v>25</v>
      </c>
      <c r="AC17" s="41" t="n">
        <v>26</v>
      </c>
      <c r="AD17" s="41" t="n">
        <v>27</v>
      </c>
      <c r="AE17" s="41" t="n">
        <v>28</v>
      </c>
      <c r="AF17" s="41" t="n">
        <v>29</v>
      </c>
      <c r="AG17" s="41" t="n">
        <v>30</v>
      </c>
      <c r="AH17" s="41" t="n">
        <v>31</v>
      </c>
      <c r="AI17" s="41" t="n">
        <v>32</v>
      </c>
      <c r="AJ17" s="41" t="n">
        <v>33</v>
      </c>
      <c r="AK17" s="41" t="n">
        <v>34</v>
      </c>
      <c r="AL17" s="41" t="n">
        <v>35</v>
      </c>
      <c r="AM17" s="41" t="n">
        <v>36</v>
      </c>
      <c r="AN17" s="41" t="n">
        <v>37</v>
      </c>
      <c r="AO17" s="41" t="n">
        <v>38</v>
      </c>
      <c r="AP17" s="41" t="n">
        <v>39</v>
      </c>
      <c r="AQ17" s="41" t="n">
        <v>40</v>
      </c>
      <c r="AR17" s="41" t="n">
        <v>41</v>
      </c>
      <c r="AS17" s="41" t="n">
        <v>42</v>
      </c>
      <c r="AT17" s="41" t="n">
        <v>43</v>
      </c>
      <c r="AU17" s="41" t="n">
        <v>44</v>
      </c>
      <c r="AV17" s="41" t="n">
        <v>45</v>
      </c>
      <c r="AW17" s="41" t="n">
        <v>46</v>
      </c>
      <c r="AX17" s="41" t="n">
        <v>47</v>
      </c>
      <c r="AY17" s="41" t="n">
        <v>48</v>
      </c>
      <c r="AZ17" s="41" t="n">
        <v>49</v>
      </c>
      <c r="BA17" s="41" t="n">
        <v>50</v>
      </c>
      <c r="BB17" s="41" t="n">
        <v>51</v>
      </c>
      <c r="BC17" s="41" t="n">
        <v>52</v>
      </c>
      <c r="BD17" s="41" t="n">
        <v>53</v>
      </c>
      <c r="BE17" s="41" t="n">
        <v>54</v>
      </c>
      <c r="BF17" s="41" t="n">
        <v>55</v>
      </c>
      <c r="BG17" s="41" t="n">
        <v>56</v>
      </c>
      <c r="BH17" s="41" t="n">
        <v>57</v>
      </c>
      <c r="BI17" s="41" t="n">
        <v>58</v>
      </c>
      <c r="BJ17" s="41" t="n">
        <v>59</v>
      </c>
      <c r="BK17" s="41" t="n">
        <v>60</v>
      </c>
    </row>
    <row r="18">
      <c r="A18" s="25" t="inlineStr">
        <is>
          <t>First loans</t>
        </is>
      </c>
      <c r="C18" s="60" t="n">
        <v>0</v>
      </c>
      <c r="D18" s="38">
        <f>IF(D$17=1,borrowers_lf,0)</f>
        <v/>
      </c>
      <c r="E18" s="38">
        <f>IF(E$17=1,borrowers_lf,0)</f>
        <v/>
      </c>
      <c r="F18" s="38">
        <f>IF(F$17=1,borrowers_lf,0)</f>
        <v/>
      </c>
      <c r="G18" s="38">
        <f>IF(G$17=1,borrowers_lf,0)</f>
        <v/>
      </c>
      <c r="H18" s="38">
        <f>IF(H$17=1,borrowers_lf,0)</f>
        <v/>
      </c>
      <c r="I18" s="38">
        <f>IF(I$17=1,borrowers_lf,0)</f>
        <v/>
      </c>
      <c r="J18" s="38">
        <f>IF(J$17=1,borrowers_lf,0)</f>
        <v/>
      </c>
      <c r="K18" s="38">
        <f>IF(K$17=1,borrowers_lf,0)</f>
        <v/>
      </c>
      <c r="L18" s="38">
        <f>IF(L$17=1,borrowers_lf,0)</f>
        <v/>
      </c>
      <c r="M18" s="38">
        <f>IF(M$17=1,borrowers_lf,0)</f>
        <v/>
      </c>
      <c r="N18" s="38">
        <f>IF(N$17=1,borrowers_lf,0)</f>
        <v/>
      </c>
      <c r="O18" s="38">
        <f>IF(O$17=1,borrowers_lf,0)</f>
        <v/>
      </c>
      <c r="P18" s="38">
        <f>IF(P$17=1,borrowers_lf,0)</f>
        <v/>
      </c>
      <c r="Q18" s="38">
        <f>IF(Q$17=1,borrowers_lf,0)</f>
        <v/>
      </c>
      <c r="R18" s="38">
        <f>IF(R$17=1,borrowers_lf,0)</f>
        <v/>
      </c>
      <c r="S18" s="38">
        <f>IF(S$17=1,borrowers_lf,0)</f>
        <v/>
      </c>
      <c r="T18" s="38">
        <f>IF(T$17=1,borrowers_lf,0)</f>
        <v/>
      </c>
      <c r="U18" s="38">
        <f>IF(U$17=1,borrowers_lf,0)</f>
        <v/>
      </c>
      <c r="V18" s="38">
        <f>IF(V$17=1,borrowers_lf,0)</f>
        <v/>
      </c>
      <c r="W18" s="38">
        <f>IF(W$17=1,borrowers_lf,0)</f>
        <v/>
      </c>
      <c r="X18" s="38">
        <f>IF(X$17=1,borrowers_lf,0)</f>
        <v/>
      </c>
      <c r="Y18" s="38">
        <f>IF(Y$17=1,borrowers_lf,0)</f>
        <v/>
      </c>
      <c r="Z18" s="38">
        <f>IF(Z$17=1,borrowers_lf,0)</f>
        <v/>
      </c>
      <c r="AA18" s="38">
        <f>IF(AA$17=1,borrowers_lf,0)</f>
        <v/>
      </c>
      <c r="AB18" s="38">
        <f>IF(AB$17=1,borrowers_lf,0)</f>
        <v/>
      </c>
      <c r="AC18" s="38">
        <f>IF(AC$17=1,borrowers_lf,0)</f>
        <v/>
      </c>
      <c r="AD18" s="38">
        <f>IF(AD$17=1,borrowers_lf,0)</f>
        <v/>
      </c>
      <c r="AE18" s="38">
        <f>IF(AE$17=1,borrowers_lf,0)</f>
        <v/>
      </c>
      <c r="AF18" s="38">
        <f>IF(AF$17=1,borrowers_lf,0)</f>
        <v/>
      </c>
      <c r="AG18" s="38">
        <f>IF(AG$17=1,borrowers_lf,0)</f>
        <v/>
      </c>
      <c r="AH18" s="38">
        <f>IF(AH$17=1,borrowers_lf,0)</f>
        <v/>
      </c>
      <c r="AI18" s="38">
        <f>IF(AI$17=1,borrowers_lf,0)</f>
        <v/>
      </c>
      <c r="AJ18" s="38">
        <f>IF(AJ$17=1,borrowers_lf,0)</f>
        <v/>
      </c>
      <c r="AK18" s="38">
        <f>IF(AK$17=1,borrowers_lf,0)</f>
        <v/>
      </c>
      <c r="AL18" s="38">
        <f>IF(AL$17=1,borrowers_lf,0)</f>
        <v/>
      </c>
      <c r="AM18" s="38">
        <f>IF(AM$17=1,borrowers_lf,0)</f>
        <v/>
      </c>
      <c r="AN18" s="38">
        <f>IF(AN$17=1,borrowers_lf,0)</f>
        <v/>
      </c>
      <c r="AO18" s="38">
        <f>IF(AO$17=1,borrowers_lf,0)</f>
        <v/>
      </c>
      <c r="AP18" s="38">
        <f>IF(AP$17=1,borrowers_lf,0)</f>
        <v/>
      </c>
      <c r="AQ18" s="38">
        <f>IF(AQ$17=1,borrowers_lf,0)</f>
        <v/>
      </c>
      <c r="AR18" s="38">
        <f>IF(AR$17=1,borrowers_lf,0)</f>
        <v/>
      </c>
      <c r="AS18" s="38">
        <f>IF(AS$17=1,borrowers_lf,0)</f>
        <v/>
      </c>
      <c r="AT18" s="38">
        <f>IF(AT$17=1,borrowers_lf,0)</f>
        <v/>
      </c>
      <c r="AU18" s="38">
        <f>IF(AU$17=1,borrowers_lf,0)</f>
        <v/>
      </c>
      <c r="AV18" s="38">
        <f>IF(AV$17=1,borrowers_lf,0)</f>
        <v/>
      </c>
      <c r="AW18" s="38">
        <f>IF(AW$17=1,borrowers_lf,0)</f>
        <v/>
      </c>
      <c r="AX18" s="38">
        <f>IF(AX$17=1,borrowers_lf,0)</f>
        <v/>
      </c>
      <c r="AY18" s="38">
        <f>IF(AY$17=1,borrowers_lf,0)</f>
        <v/>
      </c>
      <c r="AZ18" s="38">
        <f>IF(AZ$17=1,borrowers_lf,0)</f>
        <v/>
      </c>
      <c r="BA18" s="38">
        <f>IF(BA$17=1,borrowers_lf,0)</f>
        <v/>
      </c>
      <c r="BB18" s="38">
        <f>IF(BB$17=1,borrowers_lf,0)</f>
        <v/>
      </c>
      <c r="BC18" s="38">
        <f>IF(BC$17=1,borrowers_lf,0)</f>
        <v/>
      </c>
      <c r="BD18" s="38">
        <f>IF(BD$17=1,borrowers_lf,0)</f>
        <v/>
      </c>
      <c r="BE18" s="38">
        <f>IF(BE$17=1,borrowers_lf,0)</f>
        <v/>
      </c>
      <c r="BF18" s="38">
        <f>IF(BF$17=1,borrowers_lf,0)</f>
        <v/>
      </c>
      <c r="BG18" s="38">
        <f>IF(BG$17=1,borrowers_lf,0)</f>
        <v/>
      </c>
      <c r="BH18" s="38">
        <f>IF(BH$17=1,borrowers_lf,0)</f>
        <v/>
      </c>
      <c r="BI18" s="38">
        <f>IF(BI$17=1,borrowers_lf,0)</f>
        <v/>
      </c>
      <c r="BJ18" s="38">
        <f>IF(BJ$17=1,borrowers_lf,0)</f>
        <v/>
      </c>
      <c r="BK18" s="38">
        <f>IF(BK$17=1,borrowers_lf,0)</f>
        <v/>
      </c>
    </row>
    <row r="19">
      <c r="A19" s="25" t="inlineStr">
        <is>
          <t>Repeat loans</t>
        </is>
      </c>
      <c r="C19" s="60" t="n">
        <v>0</v>
      </c>
      <c r="D19" s="38">
        <f>IF(D$17&gt;lf_tenor,lf_repeat*((1-lf_dpd90_first)*INDEX($C$18:C$18,1,D$17-lf_tenor+1)+(1-lf_dpd90_repeat)*INDEX($C$19:C$19,1,D$17-lf_tenor+1)),0)</f>
        <v/>
      </c>
      <c r="E19" s="38">
        <f>IF(E$17&gt;lf_tenor,lf_repeat*((1-lf_dpd90_first)*INDEX($C$18:D$18,1,E$17-lf_tenor+1)+(1-lf_dpd90_repeat)*INDEX($C$19:D$19,1,E$17-lf_tenor+1)),0)</f>
        <v/>
      </c>
      <c r="F19" s="38">
        <f>IF(F$17&gt;lf_tenor,lf_repeat*((1-lf_dpd90_first)*INDEX($C$18:E$18,1,F$17-lf_tenor+1)+(1-lf_dpd90_repeat)*INDEX($C$19:E$19,1,F$17-lf_tenor+1)),0)</f>
        <v/>
      </c>
      <c r="G19" s="38">
        <f>IF(G$17&gt;lf_tenor,lf_repeat*((1-lf_dpd90_first)*INDEX($C$18:F$18,1,G$17-lf_tenor+1)+(1-lf_dpd90_repeat)*INDEX($C$19:F$19,1,G$17-lf_tenor+1)),0)</f>
        <v/>
      </c>
      <c r="H19" s="38">
        <f>IF(H$17&gt;lf_tenor,lf_repeat*((1-lf_dpd90_first)*INDEX($C$18:G$18,1,H$17-lf_tenor+1)+(1-lf_dpd90_repeat)*INDEX($C$19:G$19,1,H$17-lf_tenor+1)),0)</f>
        <v/>
      </c>
      <c r="I19" s="38">
        <f>IF(I$17&gt;lf_tenor,lf_repeat*((1-lf_dpd90_first)*INDEX($C$18:H$18,1,I$17-lf_tenor+1)+(1-lf_dpd90_repeat)*INDEX($C$19:H$19,1,I$17-lf_tenor+1)),0)</f>
        <v/>
      </c>
      <c r="J19" s="38">
        <f>IF(J$17&gt;lf_tenor,lf_repeat*((1-lf_dpd90_first)*INDEX($C$18:I$18,1,J$17-lf_tenor+1)+(1-lf_dpd90_repeat)*INDEX($C$19:I$19,1,J$17-lf_tenor+1)),0)</f>
        <v/>
      </c>
      <c r="K19" s="38">
        <f>IF(K$17&gt;lf_tenor,lf_repeat*((1-lf_dpd90_first)*INDEX($C$18:J$18,1,K$17-lf_tenor+1)+(1-lf_dpd90_repeat)*INDEX($C$19:J$19,1,K$17-lf_tenor+1)),0)</f>
        <v/>
      </c>
      <c r="L19" s="38">
        <f>IF(L$17&gt;lf_tenor,lf_repeat*((1-lf_dpd90_first)*INDEX($C$18:K$18,1,L$17-lf_tenor+1)+(1-lf_dpd90_repeat)*INDEX($C$19:K$19,1,L$17-lf_tenor+1)),0)</f>
        <v/>
      </c>
      <c r="M19" s="38">
        <f>IF(M$17&gt;lf_tenor,lf_repeat*((1-lf_dpd90_first)*INDEX($C$18:L$18,1,M$17-lf_tenor+1)+(1-lf_dpd90_repeat)*INDEX($C$19:L$19,1,M$17-lf_tenor+1)),0)</f>
        <v/>
      </c>
      <c r="N19" s="38">
        <f>IF(N$17&gt;lf_tenor,lf_repeat*((1-lf_dpd90_first)*INDEX($C$18:M$18,1,N$17-lf_tenor+1)+(1-lf_dpd90_repeat)*INDEX($C$19:M$19,1,N$17-lf_tenor+1)),0)</f>
        <v/>
      </c>
      <c r="O19" s="38">
        <f>IF(O$17&gt;lf_tenor,lf_repeat*((1-lf_dpd90_first)*INDEX($C$18:N$18,1,O$17-lf_tenor+1)+(1-lf_dpd90_repeat)*INDEX($C$19:N$19,1,O$17-lf_tenor+1)),0)</f>
        <v/>
      </c>
      <c r="P19" s="38">
        <f>IF(P$17&gt;lf_tenor,lf_repeat*((1-lf_dpd90_first)*INDEX($C$18:O$18,1,P$17-lf_tenor+1)+(1-lf_dpd90_repeat)*INDEX($C$19:O$19,1,P$17-lf_tenor+1)),0)</f>
        <v/>
      </c>
      <c r="Q19" s="38">
        <f>IF(Q$17&gt;lf_tenor,lf_repeat*((1-lf_dpd90_first)*INDEX($C$18:P$18,1,Q$17-lf_tenor+1)+(1-lf_dpd90_repeat)*INDEX($C$19:P$19,1,Q$17-lf_tenor+1)),0)</f>
        <v/>
      </c>
      <c r="R19" s="38">
        <f>IF(R$17&gt;lf_tenor,lf_repeat*((1-lf_dpd90_first)*INDEX($C$18:Q$18,1,R$17-lf_tenor+1)+(1-lf_dpd90_repeat)*INDEX($C$19:Q$19,1,R$17-lf_tenor+1)),0)</f>
        <v/>
      </c>
      <c r="S19" s="38">
        <f>IF(S$17&gt;lf_tenor,lf_repeat*((1-lf_dpd90_first)*INDEX($C$18:R$18,1,S$17-lf_tenor+1)+(1-lf_dpd90_repeat)*INDEX($C$19:R$19,1,S$17-lf_tenor+1)),0)</f>
        <v/>
      </c>
      <c r="T19" s="38">
        <f>IF(T$17&gt;lf_tenor,lf_repeat*((1-lf_dpd90_first)*INDEX($C$18:S$18,1,T$17-lf_tenor+1)+(1-lf_dpd90_repeat)*INDEX($C$19:S$19,1,T$17-lf_tenor+1)),0)</f>
        <v/>
      </c>
      <c r="U19" s="38">
        <f>IF(U$17&gt;lf_tenor,lf_repeat*((1-lf_dpd90_first)*INDEX($C$18:T$18,1,U$17-lf_tenor+1)+(1-lf_dpd90_repeat)*INDEX($C$19:T$19,1,U$17-lf_tenor+1)),0)</f>
        <v/>
      </c>
      <c r="V19" s="38">
        <f>IF(V$17&gt;lf_tenor,lf_repeat*((1-lf_dpd90_first)*INDEX($C$18:U$18,1,V$17-lf_tenor+1)+(1-lf_dpd90_repeat)*INDEX($C$19:U$19,1,V$17-lf_tenor+1)),0)</f>
        <v/>
      </c>
      <c r="W19" s="38">
        <f>IF(W$17&gt;lf_tenor,lf_repeat*((1-lf_dpd90_first)*INDEX($C$18:V$18,1,W$17-lf_tenor+1)+(1-lf_dpd90_repeat)*INDEX($C$19:V$19,1,W$17-lf_tenor+1)),0)</f>
        <v/>
      </c>
      <c r="X19" s="38">
        <f>IF(X$17&gt;lf_tenor,lf_repeat*((1-lf_dpd90_first)*INDEX($C$18:W$18,1,X$17-lf_tenor+1)+(1-lf_dpd90_repeat)*INDEX($C$19:W$19,1,X$17-lf_tenor+1)),0)</f>
        <v/>
      </c>
      <c r="Y19" s="38">
        <f>IF(Y$17&gt;lf_tenor,lf_repeat*((1-lf_dpd90_first)*INDEX($C$18:X$18,1,Y$17-lf_tenor+1)+(1-lf_dpd90_repeat)*INDEX($C$19:X$19,1,Y$17-lf_tenor+1)),0)</f>
        <v/>
      </c>
      <c r="Z19" s="38">
        <f>IF(Z$17&gt;lf_tenor,lf_repeat*((1-lf_dpd90_first)*INDEX($C$18:Y$18,1,Z$17-lf_tenor+1)+(1-lf_dpd90_repeat)*INDEX($C$19:Y$19,1,Z$17-lf_tenor+1)),0)</f>
        <v/>
      </c>
      <c r="AA19" s="38">
        <f>IF(AA$17&gt;lf_tenor,lf_repeat*((1-lf_dpd90_first)*INDEX($C$18:Z$18,1,AA$17-lf_tenor+1)+(1-lf_dpd90_repeat)*INDEX($C$19:Z$19,1,AA$17-lf_tenor+1)),0)</f>
        <v/>
      </c>
      <c r="AB19" s="38">
        <f>IF(AB$17&gt;lf_tenor,lf_repeat*((1-lf_dpd90_first)*INDEX($C$18:AA$18,1,AB$17-lf_tenor+1)+(1-lf_dpd90_repeat)*INDEX($C$19:AA$19,1,AB$17-lf_tenor+1)),0)</f>
        <v/>
      </c>
      <c r="AC19" s="38">
        <f>IF(AC$17&gt;lf_tenor,lf_repeat*((1-lf_dpd90_first)*INDEX($C$18:AB$18,1,AC$17-lf_tenor+1)+(1-lf_dpd90_repeat)*INDEX($C$19:AB$19,1,AC$17-lf_tenor+1)),0)</f>
        <v/>
      </c>
      <c r="AD19" s="38">
        <f>IF(AD$17&gt;lf_tenor,lf_repeat*((1-lf_dpd90_first)*INDEX($C$18:AC$18,1,AD$17-lf_tenor+1)+(1-lf_dpd90_repeat)*INDEX($C$19:AC$19,1,AD$17-lf_tenor+1)),0)</f>
        <v/>
      </c>
      <c r="AE19" s="38">
        <f>IF(AE$17&gt;lf_tenor,lf_repeat*((1-lf_dpd90_first)*INDEX($C$18:AD$18,1,AE$17-lf_tenor+1)+(1-lf_dpd90_repeat)*INDEX($C$19:AD$19,1,AE$17-lf_tenor+1)),0)</f>
        <v/>
      </c>
      <c r="AF19" s="38">
        <f>IF(AF$17&gt;lf_tenor,lf_repeat*((1-lf_dpd90_first)*INDEX($C$18:AE$18,1,AF$17-lf_tenor+1)+(1-lf_dpd90_repeat)*INDEX($C$19:AE$19,1,AF$17-lf_tenor+1)),0)</f>
        <v/>
      </c>
      <c r="AG19" s="38">
        <f>IF(AG$17&gt;lf_tenor,lf_repeat*((1-lf_dpd90_first)*INDEX($C$18:AF$18,1,AG$17-lf_tenor+1)+(1-lf_dpd90_repeat)*INDEX($C$19:AF$19,1,AG$17-lf_tenor+1)),0)</f>
        <v/>
      </c>
      <c r="AH19" s="38">
        <f>IF(AH$17&gt;lf_tenor,lf_repeat*((1-lf_dpd90_first)*INDEX($C$18:AG$18,1,AH$17-lf_tenor+1)+(1-lf_dpd90_repeat)*INDEX($C$19:AG$19,1,AH$17-lf_tenor+1)),0)</f>
        <v/>
      </c>
      <c r="AI19" s="38">
        <f>IF(AI$17&gt;lf_tenor,lf_repeat*((1-lf_dpd90_first)*INDEX($C$18:AH$18,1,AI$17-lf_tenor+1)+(1-lf_dpd90_repeat)*INDEX($C$19:AH$19,1,AI$17-lf_tenor+1)),0)</f>
        <v/>
      </c>
      <c r="AJ19" s="38">
        <f>IF(AJ$17&gt;lf_tenor,lf_repeat*((1-lf_dpd90_first)*INDEX($C$18:AI$18,1,AJ$17-lf_tenor+1)+(1-lf_dpd90_repeat)*INDEX($C$19:AI$19,1,AJ$17-lf_tenor+1)),0)</f>
        <v/>
      </c>
      <c r="AK19" s="38">
        <f>IF(AK$17&gt;lf_tenor,lf_repeat*((1-lf_dpd90_first)*INDEX($C$18:AJ$18,1,AK$17-lf_tenor+1)+(1-lf_dpd90_repeat)*INDEX($C$19:AJ$19,1,AK$17-lf_tenor+1)),0)</f>
        <v/>
      </c>
      <c r="AL19" s="38">
        <f>IF(AL$17&gt;lf_tenor,lf_repeat*((1-lf_dpd90_first)*INDEX($C$18:AK$18,1,AL$17-lf_tenor+1)+(1-lf_dpd90_repeat)*INDEX($C$19:AK$19,1,AL$17-lf_tenor+1)),0)</f>
        <v/>
      </c>
      <c r="AM19" s="38">
        <f>IF(AM$17&gt;lf_tenor,lf_repeat*((1-lf_dpd90_first)*INDEX($C$18:AL$18,1,AM$17-lf_tenor+1)+(1-lf_dpd90_repeat)*INDEX($C$19:AL$19,1,AM$17-lf_tenor+1)),0)</f>
        <v/>
      </c>
      <c r="AN19" s="38">
        <f>IF(AN$17&gt;lf_tenor,lf_repeat*((1-lf_dpd90_first)*INDEX($C$18:AM$18,1,AN$17-lf_tenor+1)+(1-lf_dpd90_repeat)*INDEX($C$19:AM$19,1,AN$17-lf_tenor+1)),0)</f>
        <v/>
      </c>
      <c r="AO19" s="38">
        <f>IF(AO$17&gt;lf_tenor,lf_repeat*((1-lf_dpd90_first)*INDEX($C$18:AN$18,1,AO$17-lf_tenor+1)+(1-lf_dpd90_repeat)*INDEX($C$19:AN$19,1,AO$17-lf_tenor+1)),0)</f>
        <v/>
      </c>
      <c r="AP19" s="38">
        <f>IF(AP$17&gt;lf_tenor,lf_repeat*((1-lf_dpd90_first)*INDEX($C$18:AO$18,1,AP$17-lf_tenor+1)+(1-lf_dpd90_repeat)*INDEX($C$19:AO$19,1,AP$17-lf_tenor+1)),0)</f>
        <v/>
      </c>
      <c r="AQ19" s="38">
        <f>IF(AQ$17&gt;lf_tenor,lf_repeat*((1-lf_dpd90_first)*INDEX($C$18:AP$18,1,AQ$17-lf_tenor+1)+(1-lf_dpd90_repeat)*INDEX($C$19:AP$19,1,AQ$17-lf_tenor+1)),0)</f>
        <v/>
      </c>
      <c r="AR19" s="38">
        <f>IF(AR$17&gt;lf_tenor,lf_repeat*((1-lf_dpd90_first)*INDEX($C$18:AQ$18,1,AR$17-lf_tenor+1)+(1-lf_dpd90_repeat)*INDEX($C$19:AQ$19,1,AR$17-lf_tenor+1)),0)</f>
        <v/>
      </c>
      <c r="AS19" s="38">
        <f>IF(AS$17&gt;lf_tenor,lf_repeat*((1-lf_dpd90_first)*INDEX($C$18:AR$18,1,AS$17-lf_tenor+1)+(1-lf_dpd90_repeat)*INDEX($C$19:AR$19,1,AS$17-lf_tenor+1)),0)</f>
        <v/>
      </c>
      <c r="AT19" s="38">
        <f>IF(AT$17&gt;lf_tenor,lf_repeat*((1-lf_dpd90_first)*INDEX($C$18:AS$18,1,AT$17-lf_tenor+1)+(1-lf_dpd90_repeat)*INDEX($C$19:AS$19,1,AT$17-lf_tenor+1)),0)</f>
        <v/>
      </c>
      <c r="AU19" s="38">
        <f>IF(AU$17&gt;lf_tenor,lf_repeat*((1-lf_dpd90_first)*INDEX($C$18:AT$18,1,AU$17-lf_tenor+1)+(1-lf_dpd90_repeat)*INDEX($C$19:AT$19,1,AU$17-lf_tenor+1)),0)</f>
        <v/>
      </c>
      <c r="AV19" s="38">
        <f>IF(AV$17&gt;lf_tenor,lf_repeat*((1-lf_dpd90_first)*INDEX($C$18:AU$18,1,AV$17-lf_tenor+1)+(1-lf_dpd90_repeat)*INDEX($C$19:AU$19,1,AV$17-lf_tenor+1)),0)</f>
        <v/>
      </c>
      <c r="AW19" s="38">
        <f>IF(AW$17&gt;lf_tenor,lf_repeat*((1-lf_dpd90_first)*INDEX($C$18:AV$18,1,AW$17-lf_tenor+1)+(1-lf_dpd90_repeat)*INDEX($C$19:AV$19,1,AW$17-lf_tenor+1)),0)</f>
        <v/>
      </c>
      <c r="AX19" s="38">
        <f>IF(AX$17&gt;lf_tenor,lf_repeat*((1-lf_dpd90_first)*INDEX($C$18:AW$18,1,AX$17-lf_tenor+1)+(1-lf_dpd90_repeat)*INDEX($C$19:AW$19,1,AX$17-lf_tenor+1)),0)</f>
        <v/>
      </c>
      <c r="AY19" s="38">
        <f>IF(AY$17&gt;lf_tenor,lf_repeat*((1-lf_dpd90_first)*INDEX($C$18:AX$18,1,AY$17-lf_tenor+1)+(1-lf_dpd90_repeat)*INDEX($C$19:AX$19,1,AY$17-lf_tenor+1)),0)</f>
        <v/>
      </c>
      <c r="AZ19" s="38">
        <f>IF(AZ$17&gt;lf_tenor,lf_repeat*((1-lf_dpd90_first)*INDEX($C$18:AY$18,1,AZ$17-lf_tenor+1)+(1-lf_dpd90_repeat)*INDEX($C$19:AY$19,1,AZ$17-lf_tenor+1)),0)</f>
        <v/>
      </c>
      <c r="BA19" s="38">
        <f>IF(BA$17&gt;lf_tenor,lf_repeat*((1-lf_dpd90_first)*INDEX($C$18:AZ$18,1,BA$17-lf_tenor+1)+(1-lf_dpd90_repeat)*INDEX($C$19:AZ$19,1,BA$17-lf_tenor+1)),0)</f>
        <v/>
      </c>
      <c r="BB19" s="38">
        <f>IF(BB$17&gt;lf_tenor,lf_repeat*((1-lf_dpd90_first)*INDEX($C$18:BA$18,1,BB$17-lf_tenor+1)+(1-lf_dpd90_repeat)*INDEX($C$19:BA$19,1,BB$17-lf_tenor+1)),0)</f>
        <v/>
      </c>
      <c r="BC19" s="38">
        <f>IF(BC$17&gt;lf_tenor,lf_repeat*((1-lf_dpd90_first)*INDEX($C$18:BB$18,1,BC$17-lf_tenor+1)+(1-lf_dpd90_repeat)*INDEX($C$19:BB$19,1,BC$17-lf_tenor+1)),0)</f>
        <v/>
      </c>
      <c r="BD19" s="38">
        <f>IF(BD$17&gt;lf_tenor,lf_repeat*((1-lf_dpd90_first)*INDEX($C$18:BC$18,1,BD$17-lf_tenor+1)+(1-lf_dpd90_repeat)*INDEX($C$19:BC$19,1,BD$17-lf_tenor+1)),0)</f>
        <v/>
      </c>
      <c r="BE19" s="38">
        <f>IF(BE$17&gt;lf_tenor,lf_repeat*((1-lf_dpd90_first)*INDEX($C$18:BD$18,1,BE$17-lf_tenor+1)+(1-lf_dpd90_repeat)*INDEX($C$19:BD$19,1,BE$17-lf_tenor+1)),0)</f>
        <v/>
      </c>
      <c r="BF19" s="38">
        <f>IF(BF$17&gt;lf_tenor,lf_repeat*((1-lf_dpd90_first)*INDEX($C$18:BE$18,1,BF$17-lf_tenor+1)+(1-lf_dpd90_repeat)*INDEX($C$19:BE$19,1,BF$17-lf_tenor+1)),0)</f>
        <v/>
      </c>
      <c r="BG19" s="38">
        <f>IF(BG$17&gt;lf_tenor,lf_repeat*((1-lf_dpd90_first)*INDEX($C$18:BF$18,1,BG$17-lf_tenor+1)+(1-lf_dpd90_repeat)*INDEX($C$19:BF$19,1,BG$17-lf_tenor+1)),0)</f>
        <v/>
      </c>
      <c r="BH19" s="38">
        <f>IF(BH$17&gt;lf_tenor,lf_repeat*((1-lf_dpd90_first)*INDEX($C$18:BG$18,1,BH$17-lf_tenor+1)+(1-lf_dpd90_repeat)*INDEX($C$19:BG$19,1,BH$17-lf_tenor+1)),0)</f>
        <v/>
      </c>
      <c r="BI19" s="38">
        <f>IF(BI$17&gt;lf_tenor,lf_repeat*((1-lf_dpd90_first)*INDEX($C$18:BH$18,1,BI$17-lf_tenor+1)+(1-lf_dpd90_repeat)*INDEX($C$19:BH$19,1,BI$17-lf_tenor+1)),0)</f>
        <v/>
      </c>
      <c r="BJ19" s="38">
        <f>IF(BJ$17&gt;lf_tenor,lf_repeat*((1-lf_dpd90_first)*INDEX($C$18:BI$18,1,BJ$17-lf_tenor+1)+(1-lf_dpd90_repeat)*INDEX($C$19:BI$19,1,BJ$17-lf_tenor+1)),0)</f>
        <v/>
      </c>
      <c r="BK19" s="38">
        <f>IF(BK$17&gt;lf_tenor,lf_repeat*((1-lf_dpd90_first)*INDEX($C$18:BJ$18,1,BK$17-lf_tenor+1)+(1-lf_dpd90_repeat)*INDEX($C$19:BJ$19,1,BK$17-lf_tenor+1)),0)</f>
        <v/>
      </c>
    </row>
    <row r="20">
      <c r="A20" s="25" t="inlineStr">
        <is>
          <t>Net revenue (interest and fees received − paid to NBFC)</t>
        </is>
      </c>
      <c r="C20" s="60" t="n">
        <v>0</v>
      </c>
      <c r="D20" s="38">
        <f>D18*(lf_interest*(1-lf_dpd90_first)-lf_cof_loan)+D19*(lf_interest*(1-lf_dpd90_repeat)-lf_cof_loan)</f>
        <v/>
      </c>
      <c r="E20" s="38">
        <f>E18*(lf_interest*(1-lf_dpd90_first)-lf_cof_loan)+E19*(lf_interest*(1-lf_dpd90_repeat)-lf_cof_loan)</f>
        <v/>
      </c>
      <c r="F20" s="38">
        <f>F18*(lf_interest*(1-lf_dpd90_first)-lf_cof_loan)+F19*(lf_interest*(1-lf_dpd90_repeat)-lf_cof_loan)</f>
        <v/>
      </c>
      <c r="G20" s="38">
        <f>G18*(lf_interest*(1-lf_dpd90_first)-lf_cof_loan)+G19*(lf_interest*(1-lf_dpd90_repeat)-lf_cof_loan)</f>
        <v/>
      </c>
      <c r="H20" s="38">
        <f>H18*(lf_interest*(1-lf_dpd90_first)-lf_cof_loan)+H19*(lf_interest*(1-lf_dpd90_repeat)-lf_cof_loan)</f>
        <v/>
      </c>
      <c r="I20" s="38">
        <f>I18*(lf_interest*(1-lf_dpd90_first)-lf_cof_loan)+I19*(lf_interest*(1-lf_dpd90_repeat)-lf_cof_loan)</f>
        <v/>
      </c>
      <c r="J20" s="38">
        <f>J18*(lf_interest*(1-lf_dpd90_first)-lf_cof_loan)+J19*(lf_interest*(1-lf_dpd90_repeat)-lf_cof_loan)</f>
        <v/>
      </c>
      <c r="K20" s="38">
        <f>K18*(lf_interest*(1-lf_dpd90_first)-lf_cof_loan)+K19*(lf_interest*(1-lf_dpd90_repeat)-lf_cof_loan)</f>
        <v/>
      </c>
      <c r="L20" s="38">
        <f>L18*(lf_interest*(1-lf_dpd90_first)-lf_cof_loan)+L19*(lf_interest*(1-lf_dpd90_repeat)-lf_cof_loan)</f>
        <v/>
      </c>
      <c r="M20" s="38">
        <f>M18*(lf_interest*(1-lf_dpd90_first)-lf_cof_loan)+M19*(lf_interest*(1-lf_dpd90_repeat)-lf_cof_loan)</f>
        <v/>
      </c>
      <c r="N20" s="38">
        <f>N18*(lf_interest*(1-lf_dpd90_first)-lf_cof_loan)+N19*(lf_interest*(1-lf_dpd90_repeat)-lf_cof_loan)</f>
        <v/>
      </c>
      <c r="O20" s="38">
        <f>O18*(lf_interest*(1-lf_dpd90_first)-lf_cof_loan)+O19*(lf_interest*(1-lf_dpd90_repeat)-lf_cof_loan)</f>
        <v/>
      </c>
      <c r="P20" s="38">
        <f>P18*(lf_interest*(1-lf_dpd90_first)-lf_cof_loan)+P19*(lf_interest*(1-lf_dpd90_repeat)-lf_cof_loan)</f>
        <v/>
      </c>
      <c r="Q20" s="38">
        <f>Q18*(lf_interest*(1-lf_dpd90_first)-lf_cof_loan)+Q19*(lf_interest*(1-lf_dpd90_repeat)-lf_cof_loan)</f>
        <v/>
      </c>
      <c r="R20" s="38">
        <f>R18*(lf_interest*(1-lf_dpd90_first)-lf_cof_loan)+R19*(lf_interest*(1-lf_dpd90_repeat)-lf_cof_loan)</f>
        <v/>
      </c>
      <c r="S20" s="38">
        <f>S18*(lf_interest*(1-lf_dpd90_first)-lf_cof_loan)+S19*(lf_interest*(1-lf_dpd90_repeat)-lf_cof_loan)</f>
        <v/>
      </c>
      <c r="T20" s="38">
        <f>T18*(lf_interest*(1-lf_dpd90_first)-lf_cof_loan)+T19*(lf_interest*(1-lf_dpd90_repeat)-lf_cof_loan)</f>
        <v/>
      </c>
      <c r="U20" s="38">
        <f>U18*(lf_interest*(1-lf_dpd90_first)-lf_cof_loan)+U19*(lf_interest*(1-lf_dpd90_repeat)-lf_cof_loan)</f>
        <v/>
      </c>
      <c r="V20" s="38">
        <f>V18*(lf_interest*(1-lf_dpd90_first)-lf_cof_loan)+V19*(lf_interest*(1-lf_dpd90_repeat)-lf_cof_loan)</f>
        <v/>
      </c>
      <c r="W20" s="38">
        <f>W18*(lf_interest*(1-lf_dpd90_first)-lf_cof_loan)+W19*(lf_interest*(1-lf_dpd90_repeat)-lf_cof_loan)</f>
        <v/>
      </c>
      <c r="X20" s="38">
        <f>X18*(lf_interest*(1-lf_dpd90_first)-lf_cof_loan)+X19*(lf_interest*(1-lf_dpd90_repeat)-lf_cof_loan)</f>
        <v/>
      </c>
      <c r="Y20" s="38">
        <f>Y18*(lf_interest*(1-lf_dpd90_first)-lf_cof_loan)+Y19*(lf_interest*(1-lf_dpd90_repeat)-lf_cof_loan)</f>
        <v/>
      </c>
      <c r="Z20" s="38">
        <f>Z18*(lf_interest*(1-lf_dpd90_first)-lf_cof_loan)+Z19*(lf_interest*(1-lf_dpd90_repeat)-lf_cof_loan)</f>
        <v/>
      </c>
      <c r="AA20" s="38">
        <f>AA18*(lf_interest*(1-lf_dpd90_first)-lf_cof_loan)+AA19*(lf_interest*(1-lf_dpd90_repeat)-lf_cof_loan)</f>
        <v/>
      </c>
      <c r="AB20" s="38">
        <f>AB18*(lf_interest*(1-lf_dpd90_first)-lf_cof_loan)+AB19*(lf_interest*(1-lf_dpd90_repeat)-lf_cof_loan)</f>
        <v/>
      </c>
      <c r="AC20" s="38">
        <f>AC18*(lf_interest*(1-lf_dpd90_first)-lf_cof_loan)+AC19*(lf_interest*(1-lf_dpd90_repeat)-lf_cof_loan)</f>
        <v/>
      </c>
      <c r="AD20" s="38">
        <f>AD18*(lf_interest*(1-lf_dpd90_first)-lf_cof_loan)+AD19*(lf_interest*(1-lf_dpd90_repeat)-lf_cof_loan)</f>
        <v/>
      </c>
      <c r="AE20" s="38">
        <f>AE18*(lf_interest*(1-lf_dpd90_first)-lf_cof_loan)+AE19*(lf_interest*(1-lf_dpd90_repeat)-lf_cof_loan)</f>
        <v/>
      </c>
      <c r="AF20" s="38">
        <f>AF18*(lf_interest*(1-lf_dpd90_first)-lf_cof_loan)+AF19*(lf_interest*(1-lf_dpd90_repeat)-lf_cof_loan)</f>
        <v/>
      </c>
      <c r="AG20" s="38">
        <f>AG18*(lf_interest*(1-lf_dpd90_first)-lf_cof_loan)+AG19*(lf_interest*(1-lf_dpd90_repeat)-lf_cof_loan)</f>
        <v/>
      </c>
      <c r="AH20" s="38">
        <f>AH18*(lf_interest*(1-lf_dpd90_first)-lf_cof_loan)+AH19*(lf_interest*(1-lf_dpd90_repeat)-lf_cof_loan)</f>
        <v/>
      </c>
      <c r="AI20" s="38">
        <f>AI18*(lf_interest*(1-lf_dpd90_first)-lf_cof_loan)+AI19*(lf_interest*(1-lf_dpd90_repeat)-lf_cof_loan)</f>
        <v/>
      </c>
      <c r="AJ20" s="38">
        <f>AJ18*(lf_interest*(1-lf_dpd90_first)-lf_cof_loan)+AJ19*(lf_interest*(1-lf_dpd90_repeat)-lf_cof_loan)</f>
        <v/>
      </c>
      <c r="AK20" s="38">
        <f>AK18*(lf_interest*(1-lf_dpd90_first)-lf_cof_loan)+AK19*(lf_interest*(1-lf_dpd90_repeat)-lf_cof_loan)</f>
        <v/>
      </c>
      <c r="AL20" s="38">
        <f>AL18*(lf_interest*(1-lf_dpd90_first)-lf_cof_loan)+AL19*(lf_interest*(1-lf_dpd90_repeat)-lf_cof_loan)</f>
        <v/>
      </c>
      <c r="AM20" s="38">
        <f>AM18*(lf_interest*(1-lf_dpd90_first)-lf_cof_loan)+AM19*(lf_interest*(1-lf_dpd90_repeat)-lf_cof_loan)</f>
        <v/>
      </c>
      <c r="AN20" s="38">
        <f>AN18*(lf_interest*(1-lf_dpd90_first)-lf_cof_loan)+AN19*(lf_interest*(1-lf_dpd90_repeat)-lf_cof_loan)</f>
        <v/>
      </c>
      <c r="AO20" s="38">
        <f>AO18*(lf_interest*(1-lf_dpd90_first)-lf_cof_loan)+AO19*(lf_interest*(1-lf_dpd90_repeat)-lf_cof_loan)</f>
        <v/>
      </c>
      <c r="AP20" s="38">
        <f>AP18*(lf_interest*(1-lf_dpd90_first)-lf_cof_loan)+AP19*(lf_interest*(1-lf_dpd90_repeat)-lf_cof_loan)</f>
        <v/>
      </c>
      <c r="AQ20" s="38">
        <f>AQ18*(lf_interest*(1-lf_dpd90_first)-lf_cof_loan)+AQ19*(lf_interest*(1-lf_dpd90_repeat)-lf_cof_loan)</f>
        <v/>
      </c>
      <c r="AR20" s="38">
        <f>AR18*(lf_interest*(1-lf_dpd90_first)-lf_cof_loan)+AR19*(lf_interest*(1-lf_dpd90_repeat)-lf_cof_loan)</f>
        <v/>
      </c>
      <c r="AS20" s="38">
        <f>AS18*(lf_interest*(1-lf_dpd90_first)-lf_cof_loan)+AS19*(lf_interest*(1-lf_dpd90_repeat)-lf_cof_loan)</f>
        <v/>
      </c>
      <c r="AT20" s="38">
        <f>AT18*(lf_interest*(1-lf_dpd90_first)-lf_cof_loan)+AT19*(lf_interest*(1-lf_dpd90_repeat)-lf_cof_loan)</f>
        <v/>
      </c>
      <c r="AU20" s="38">
        <f>AU18*(lf_interest*(1-lf_dpd90_first)-lf_cof_loan)+AU19*(lf_interest*(1-lf_dpd90_repeat)-lf_cof_loan)</f>
        <v/>
      </c>
      <c r="AV20" s="38">
        <f>AV18*(lf_interest*(1-lf_dpd90_first)-lf_cof_loan)+AV19*(lf_interest*(1-lf_dpd90_repeat)-lf_cof_loan)</f>
        <v/>
      </c>
      <c r="AW20" s="38">
        <f>AW18*(lf_interest*(1-lf_dpd90_first)-lf_cof_loan)+AW19*(lf_interest*(1-lf_dpd90_repeat)-lf_cof_loan)</f>
        <v/>
      </c>
      <c r="AX20" s="38">
        <f>AX18*(lf_interest*(1-lf_dpd90_first)-lf_cof_loan)+AX19*(lf_interest*(1-lf_dpd90_repeat)-lf_cof_loan)</f>
        <v/>
      </c>
      <c r="AY20" s="38">
        <f>AY18*(lf_interest*(1-lf_dpd90_first)-lf_cof_loan)+AY19*(lf_interest*(1-lf_dpd90_repeat)-lf_cof_loan)</f>
        <v/>
      </c>
      <c r="AZ20" s="38">
        <f>AZ18*(lf_interest*(1-lf_dpd90_first)-lf_cof_loan)+AZ19*(lf_interest*(1-lf_dpd90_repeat)-lf_cof_loan)</f>
        <v/>
      </c>
      <c r="BA20" s="38">
        <f>BA18*(lf_interest*(1-lf_dpd90_first)-lf_cof_loan)+BA19*(lf_interest*(1-lf_dpd90_repeat)-lf_cof_loan)</f>
        <v/>
      </c>
      <c r="BB20" s="38">
        <f>BB18*(lf_interest*(1-lf_dpd90_first)-lf_cof_loan)+BB19*(lf_interest*(1-lf_dpd90_repeat)-lf_cof_loan)</f>
        <v/>
      </c>
      <c r="BC20" s="38">
        <f>BC18*(lf_interest*(1-lf_dpd90_first)-lf_cof_loan)+BC19*(lf_interest*(1-lf_dpd90_repeat)-lf_cof_loan)</f>
        <v/>
      </c>
      <c r="BD20" s="38">
        <f>BD18*(lf_interest*(1-lf_dpd90_first)-lf_cof_loan)+BD19*(lf_interest*(1-lf_dpd90_repeat)-lf_cof_loan)</f>
        <v/>
      </c>
      <c r="BE20" s="38">
        <f>BE18*(lf_interest*(1-lf_dpd90_first)-lf_cof_loan)+BE19*(lf_interest*(1-lf_dpd90_repeat)-lf_cof_loan)</f>
        <v/>
      </c>
      <c r="BF20" s="38">
        <f>BF18*(lf_interest*(1-lf_dpd90_first)-lf_cof_loan)+BF19*(lf_interest*(1-lf_dpd90_repeat)-lf_cof_loan)</f>
        <v/>
      </c>
      <c r="BG20" s="38">
        <f>BG18*(lf_interest*(1-lf_dpd90_first)-lf_cof_loan)+BG19*(lf_interest*(1-lf_dpd90_repeat)-lf_cof_loan)</f>
        <v/>
      </c>
      <c r="BH20" s="38">
        <f>BH18*(lf_interest*(1-lf_dpd90_first)-lf_cof_loan)+BH19*(lf_interest*(1-lf_dpd90_repeat)-lf_cof_loan)</f>
        <v/>
      </c>
      <c r="BI20" s="38">
        <f>BI18*(lf_interest*(1-lf_dpd90_first)-lf_cof_loan)+BI19*(lf_interest*(1-lf_dpd90_repeat)-lf_cof_loan)</f>
        <v/>
      </c>
      <c r="BJ20" s="38">
        <f>BJ18*(lf_interest*(1-lf_dpd90_first)-lf_cof_loan)+BJ19*(lf_interest*(1-lf_dpd90_repeat)-lf_cof_loan)</f>
        <v/>
      </c>
      <c r="BK20" s="38">
        <f>BK18*(lf_interest*(1-lf_dpd90_first)-lf_cof_loan)+BK19*(lf_interest*(1-lf_dpd90_repeat)-lf_cof_loan)</f>
        <v/>
      </c>
    </row>
    <row r="21">
      <c r="A21" s="25" t="inlineStr">
        <is>
          <t>Default losses we bear</t>
        </is>
      </c>
      <c r="C21" s="60" t="n">
        <v>0</v>
      </c>
      <c r="D21" s="38">
        <f>(D18*lf_dpd90_first+D19*lf_dpd90_repeat)*lf_ead*lf_lgd*lf_ticket*lf_risk_share</f>
        <v/>
      </c>
      <c r="E21" s="38">
        <f>(E18*lf_dpd90_first+E19*lf_dpd90_repeat)*lf_ead*lf_lgd*lf_ticket*lf_risk_share</f>
        <v/>
      </c>
      <c r="F21" s="38">
        <f>(F18*lf_dpd90_first+F19*lf_dpd90_repeat)*lf_ead*lf_lgd*lf_ticket*lf_risk_share</f>
        <v/>
      </c>
      <c r="G21" s="38">
        <f>(G18*lf_dpd90_first+G19*lf_dpd90_repeat)*lf_ead*lf_lgd*lf_ticket*lf_risk_share</f>
        <v/>
      </c>
      <c r="H21" s="38">
        <f>(H18*lf_dpd90_first+H19*lf_dpd90_repeat)*lf_ead*lf_lgd*lf_ticket*lf_risk_share</f>
        <v/>
      </c>
      <c r="I21" s="38">
        <f>(I18*lf_dpd90_first+I19*lf_dpd90_repeat)*lf_ead*lf_lgd*lf_ticket*lf_risk_share</f>
        <v/>
      </c>
      <c r="J21" s="38">
        <f>(J18*lf_dpd90_first+J19*lf_dpd90_repeat)*lf_ead*lf_lgd*lf_ticket*lf_risk_share</f>
        <v/>
      </c>
      <c r="K21" s="38">
        <f>(K18*lf_dpd90_first+K19*lf_dpd90_repeat)*lf_ead*lf_lgd*lf_ticket*lf_risk_share</f>
        <v/>
      </c>
      <c r="L21" s="38">
        <f>(L18*lf_dpd90_first+L19*lf_dpd90_repeat)*lf_ead*lf_lgd*lf_ticket*lf_risk_share</f>
        <v/>
      </c>
      <c r="M21" s="38">
        <f>(M18*lf_dpd90_first+M19*lf_dpd90_repeat)*lf_ead*lf_lgd*lf_ticket*lf_risk_share</f>
        <v/>
      </c>
      <c r="N21" s="38">
        <f>(N18*lf_dpd90_first+N19*lf_dpd90_repeat)*lf_ead*lf_lgd*lf_ticket*lf_risk_share</f>
        <v/>
      </c>
      <c r="O21" s="38">
        <f>(O18*lf_dpd90_first+O19*lf_dpd90_repeat)*lf_ead*lf_lgd*lf_ticket*lf_risk_share</f>
        <v/>
      </c>
      <c r="P21" s="38">
        <f>(P18*lf_dpd90_first+P19*lf_dpd90_repeat)*lf_ead*lf_lgd*lf_ticket*lf_risk_share</f>
        <v/>
      </c>
      <c r="Q21" s="38">
        <f>(Q18*lf_dpd90_first+Q19*lf_dpd90_repeat)*lf_ead*lf_lgd*lf_ticket*lf_risk_share</f>
        <v/>
      </c>
      <c r="R21" s="38">
        <f>(R18*lf_dpd90_first+R19*lf_dpd90_repeat)*lf_ead*lf_lgd*lf_ticket*lf_risk_share</f>
        <v/>
      </c>
      <c r="S21" s="38">
        <f>(S18*lf_dpd90_first+S19*lf_dpd90_repeat)*lf_ead*lf_lgd*lf_ticket*lf_risk_share</f>
        <v/>
      </c>
      <c r="T21" s="38">
        <f>(T18*lf_dpd90_first+T19*lf_dpd90_repeat)*lf_ead*lf_lgd*lf_ticket*lf_risk_share</f>
        <v/>
      </c>
      <c r="U21" s="38">
        <f>(U18*lf_dpd90_first+U19*lf_dpd90_repeat)*lf_ead*lf_lgd*lf_ticket*lf_risk_share</f>
        <v/>
      </c>
      <c r="V21" s="38">
        <f>(V18*lf_dpd90_first+V19*lf_dpd90_repeat)*lf_ead*lf_lgd*lf_ticket*lf_risk_share</f>
        <v/>
      </c>
      <c r="W21" s="38">
        <f>(W18*lf_dpd90_first+W19*lf_dpd90_repeat)*lf_ead*lf_lgd*lf_ticket*lf_risk_share</f>
        <v/>
      </c>
      <c r="X21" s="38">
        <f>(X18*lf_dpd90_first+X19*lf_dpd90_repeat)*lf_ead*lf_lgd*lf_ticket*lf_risk_share</f>
        <v/>
      </c>
      <c r="Y21" s="38">
        <f>(Y18*lf_dpd90_first+Y19*lf_dpd90_repeat)*lf_ead*lf_lgd*lf_ticket*lf_risk_share</f>
        <v/>
      </c>
      <c r="Z21" s="38">
        <f>(Z18*lf_dpd90_first+Z19*lf_dpd90_repeat)*lf_ead*lf_lgd*lf_ticket*lf_risk_share</f>
        <v/>
      </c>
      <c r="AA21" s="38">
        <f>(AA18*lf_dpd90_first+AA19*lf_dpd90_repeat)*lf_ead*lf_lgd*lf_ticket*lf_risk_share</f>
        <v/>
      </c>
      <c r="AB21" s="38">
        <f>(AB18*lf_dpd90_first+AB19*lf_dpd90_repeat)*lf_ead*lf_lgd*lf_ticket*lf_risk_share</f>
        <v/>
      </c>
      <c r="AC21" s="38">
        <f>(AC18*lf_dpd90_first+AC19*lf_dpd90_repeat)*lf_ead*lf_lgd*lf_ticket*lf_risk_share</f>
        <v/>
      </c>
      <c r="AD21" s="38">
        <f>(AD18*lf_dpd90_first+AD19*lf_dpd90_repeat)*lf_ead*lf_lgd*lf_ticket*lf_risk_share</f>
        <v/>
      </c>
      <c r="AE21" s="38">
        <f>(AE18*lf_dpd90_first+AE19*lf_dpd90_repeat)*lf_ead*lf_lgd*lf_ticket*lf_risk_share</f>
        <v/>
      </c>
      <c r="AF21" s="38">
        <f>(AF18*lf_dpd90_first+AF19*lf_dpd90_repeat)*lf_ead*lf_lgd*lf_ticket*lf_risk_share</f>
        <v/>
      </c>
      <c r="AG21" s="38">
        <f>(AG18*lf_dpd90_first+AG19*lf_dpd90_repeat)*lf_ead*lf_lgd*lf_ticket*lf_risk_share</f>
        <v/>
      </c>
      <c r="AH21" s="38">
        <f>(AH18*lf_dpd90_first+AH19*lf_dpd90_repeat)*lf_ead*lf_lgd*lf_ticket*lf_risk_share</f>
        <v/>
      </c>
      <c r="AI21" s="38">
        <f>(AI18*lf_dpd90_first+AI19*lf_dpd90_repeat)*lf_ead*lf_lgd*lf_ticket*lf_risk_share</f>
        <v/>
      </c>
      <c r="AJ21" s="38">
        <f>(AJ18*lf_dpd90_first+AJ19*lf_dpd90_repeat)*lf_ead*lf_lgd*lf_ticket*lf_risk_share</f>
        <v/>
      </c>
      <c r="AK21" s="38">
        <f>(AK18*lf_dpd90_first+AK19*lf_dpd90_repeat)*lf_ead*lf_lgd*lf_ticket*lf_risk_share</f>
        <v/>
      </c>
      <c r="AL21" s="38">
        <f>(AL18*lf_dpd90_first+AL19*lf_dpd90_repeat)*lf_ead*lf_lgd*lf_ticket*lf_risk_share</f>
        <v/>
      </c>
      <c r="AM21" s="38">
        <f>(AM18*lf_dpd90_first+AM19*lf_dpd90_repeat)*lf_ead*lf_lgd*lf_ticket*lf_risk_share</f>
        <v/>
      </c>
      <c r="AN21" s="38">
        <f>(AN18*lf_dpd90_first+AN19*lf_dpd90_repeat)*lf_ead*lf_lgd*lf_ticket*lf_risk_share</f>
        <v/>
      </c>
      <c r="AO21" s="38">
        <f>(AO18*lf_dpd90_first+AO19*lf_dpd90_repeat)*lf_ead*lf_lgd*lf_ticket*lf_risk_share</f>
        <v/>
      </c>
      <c r="AP21" s="38">
        <f>(AP18*lf_dpd90_first+AP19*lf_dpd90_repeat)*lf_ead*lf_lgd*lf_ticket*lf_risk_share</f>
        <v/>
      </c>
      <c r="AQ21" s="38">
        <f>(AQ18*lf_dpd90_first+AQ19*lf_dpd90_repeat)*lf_ead*lf_lgd*lf_ticket*lf_risk_share</f>
        <v/>
      </c>
      <c r="AR21" s="38">
        <f>(AR18*lf_dpd90_first+AR19*lf_dpd90_repeat)*lf_ead*lf_lgd*lf_ticket*lf_risk_share</f>
        <v/>
      </c>
      <c r="AS21" s="38">
        <f>(AS18*lf_dpd90_first+AS19*lf_dpd90_repeat)*lf_ead*lf_lgd*lf_ticket*lf_risk_share</f>
        <v/>
      </c>
      <c r="AT21" s="38">
        <f>(AT18*lf_dpd90_first+AT19*lf_dpd90_repeat)*lf_ead*lf_lgd*lf_ticket*lf_risk_share</f>
        <v/>
      </c>
      <c r="AU21" s="38">
        <f>(AU18*lf_dpd90_first+AU19*lf_dpd90_repeat)*lf_ead*lf_lgd*lf_ticket*lf_risk_share</f>
        <v/>
      </c>
      <c r="AV21" s="38">
        <f>(AV18*lf_dpd90_first+AV19*lf_dpd90_repeat)*lf_ead*lf_lgd*lf_ticket*lf_risk_share</f>
        <v/>
      </c>
      <c r="AW21" s="38">
        <f>(AW18*lf_dpd90_first+AW19*lf_dpd90_repeat)*lf_ead*lf_lgd*lf_ticket*lf_risk_share</f>
        <v/>
      </c>
      <c r="AX21" s="38">
        <f>(AX18*lf_dpd90_first+AX19*lf_dpd90_repeat)*lf_ead*lf_lgd*lf_ticket*lf_risk_share</f>
        <v/>
      </c>
      <c r="AY21" s="38">
        <f>(AY18*lf_dpd90_first+AY19*lf_dpd90_repeat)*lf_ead*lf_lgd*lf_ticket*lf_risk_share</f>
        <v/>
      </c>
      <c r="AZ21" s="38">
        <f>(AZ18*lf_dpd90_first+AZ19*lf_dpd90_repeat)*lf_ead*lf_lgd*lf_ticket*lf_risk_share</f>
        <v/>
      </c>
      <c r="BA21" s="38">
        <f>(BA18*lf_dpd90_first+BA19*lf_dpd90_repeat)*lf_ead*lf_lgd*lf_ticket*lf_risk_share</f>
        <v/>
      </c>
      <c r="BB21" s="38">
        <f>(BB18*lf_dpd90_first+BB19*lf_dpd90_repeat)*lf_ead*lf_lgd*lf_ticket*lf_risk_share</f>
        <v/>
      </c>
      <c r="BC21" s="38">
        <f>(BC18*lf_dpd90_first+BC19*lf_dpd90_repeat)*lf_ead*lf_lgd*lf_ticket*lf_risk_share</f>
        <v/>
      </c>
      <c r="BD21" s="38">
        <f>(BD18*lf_dpd90_first+BD19*lf_dpd90_repeat)*lf_ead*lf_lgd*lf_ticket*lf_risk_share</f>
        <v/>
      </c>
      <c r="BE21" s="38">
        <f>(BE18*lf_dpd90_first+BE19*lf_dpd90_repeat)*lf_ead*lf_lgd*lf_ticket*lf_risk_share</f>
        <v/>
      </c>
      <c r="BF21" s="38">
        <f>(BF18*lf_dpd90_first+BF19*lf_dpd90_repeat)*lf_ead*lf_lgd*lf_ticket*lf_risk_share</f>
        <v/>
      </c>
      <c r="BG21" s="38">
        <f>(BG18*lf_dpd90_first+BG19*lf_dpd90_repeat)*lf_ead*lf_lgd*lf_ticket*lf_risk_share</f>
        <v/>
      </c>
      <c r="BH21" s="38">
        <f>(BH18*lf_dpd90_first+BH19*lf_dpd90_repeat)*lf_ead*lf_lgd*lf_ticket*lf_risk_share</f>
        <v/>
      </c>
      <c r="BI21" s="38">
        <f>(BI18*lf_dpd90_first+BI19*lf_dpd90_repeat)*lf_ead*lf_lgd*lf_ticket*lf_risk_share</f>
        <v/>
      </c>
      <c r="BJ21" s="38">
        <f>(BJ18*lf_dpd90_first+BJ19*lf_dpd90_repeat)*lf_ead*lf_lgd*lf_ticket*lf_risk_share</f>
        <v/>
      </c>
      <c r="BK21" s="38">
        <f>(BK18*lf_dpd90_first+BK19*lf_dpd90_repeat)*lf_ead*lf_lgd*lf_ticket*lf_risk_share</f>
        <v/>
      </c>
    </row>
    <row r="22">
      <c r="A22" s="25" t="inlineStr">
        <is>
          <t>Total cost (losses + collection + ops + platform fee)</t>
        </is>
      </c>
      <c r="C22" s="60" t="n">
        <v>0</v>
      </c>
      <c r="D22" s="38">
        <f>D21+(D18+D19)*lf_fixed</f>
        <v/>
      </c>
      <c r="E22" s="38">
        <f>E21+(E18+E19)*lf_fixed</f>
        <v/>
      </c>
      <c r="F22" s="38">
        <f>F21+(F18+F19)*lf_fixed</f>
        <v/>
      </c>
      <c r="G22" s="38">
        <f>G21+(G18+G19)*lf_fixed</f>
        <v/>
      </c>
      <c r="H22" s="38">
        <f>H21+(H18+H19)*lf_fixed</f>
        <v/>
      </c>
      <c r="I22" s="38">
        <f>I21+(I18+I19)*lf_fixed</f>
        <v/>
      </c>
      <c r="J22" s="38">
        <f>J21+(J18+J19)*lf_fixed</f>
        <v/>
      </c>
      <c r="K22" s="38">
        <f>K21+(K18+K19)*lf_fixed</f>
        <v/>
      </c>
      <c r="L22" s="38">
        <f>L21+(L18+L19)*lf_fixed</f>
        <v/>
      </c>
      <c r="M22" s="38">
        <f>M21+(M18+M19)*lf_fixed</f>
        <v/>
      </c>
      <c r="N22" s="38">
        <f>N21+(N18+N19)*lf_fixed</f>
        <v/>
      </c>
      <c r="O22" s="38">
        <f>O21+(O18+O19)*lf_fixed</f>
        <v/>
      </c>
      <c r="P22" s="38">
        <f>P21+(P18+P19)*lf_fixed</f>
        <v/>
      </c>
      <c r="Q22" s="38">
        <f>Q21+(Q18+Q19)*lf_fixed</f>
        <v/>
      </c>
      <c r="R22" s="38">
        <f>R21+(R18+R19)*lf_fixed</f>
        <v/>
      </c>
      <c r="S22" s="38">
        <f>S21+(S18+S19)*lf_fixed</f>
        <v/>
      </c>
      <c r="T22" s="38">
        <f>T21+(T18+T19)*lf_fixed</f>
        <v/>
      </c>
      <c r="U22" s="38">
        <f>U21+(U18+U19)*lf_fixed</f>
        <v/>
      </c>
      <c r="V22" s="38">
        <f>V21+(V18+V19)*lf_fixed</f>
        <v/>
      </c>
      <c r="W22" s="38">
        <f>W21+(W18+W19)*lf_fixed</f>
        <v/>
      </c>
      <c r="X22" s="38">
        <f>X21+(X18+X19)*lf_fixed</f>
        <v/>
      </c>
      <c r="Y22" s="38">
        <f>Y21+(Y18+Y19)*lf_fixed</f>
        <v/>
      </c>
      <c r="Z22" s="38">
        <f>Z21+(Z18+Z19)*lf_fixed</f>
        <v/>
      </c>
      <c r="AA22" s="38">
        <f>AA21+(AA18+AA19)*lf_fixed</f>
        <v/>
      </c>
      <c r="AB22" s="38">
        <f>AB21+(AB18+AB19)*lf_fixed</f>
        <v/>
      </c>
      <c r="AC22" s="38">
        <f>AC21+(AC18+AC19)*lf_fixed</f>
        <v/>
      </c>
      <c r="AD22" s="38">
        <f>AD21+(AD18+AD19)*lf_fixed</f>
        <v/>
      </c>
      <c r="AE22" s="38">
        <f>AE21+(AE18+AE19)*lf_fixed</f>
        <v/>
      </c>
      <c r="AF22" s="38">
        <f>AF21+(AF18+AF19)*lf_fixed</f>
        <v/>
      </c>
      <c r="AG22" s="38">
        <f>AG21+(AG18+AG19)*lf_fixed</f>
        <v/>
      </c>
      <c r="AH22" s="38">
        <f>AH21+(AH18+AH19)*lf_fixed</f>
        <v/>
      </c>
      <c r="AI22" s="38">
        <f>AI21+(AI18+AI19)*lf_fixed</f>
        <v/>
      </c>
      <c r="AJ22" s="38">
        <f>AJ21+(AJ18+AJ19)*lf_fixed</f>
        <v/>
      </c>
      <c r="AK22" s="38">
        <f>AK21+(AK18+AK19)*lf_fixed</f>
        <v/>
      </c>
      <c r="AL22" s="38">
        <f>AL21+(AL18+AL19)*lf_fixed</f>
        <v/>
      </c>
      <c r="AM22" s="38">
        <f>AM21+(AM18+AM19)*lf_fixed</f>
        <v/>
      </c>
      <c r="AN22" s="38">
        <f>AN21+(AN18+AN19)*lf_fixed</f>
        <v/>
      </c>
      <c r="AO22" s="38">
        <f>AO21+(AO18+AO19)*lf_fixed</f>
        <v/>
      </c>
      <c r="AP22" s="38">
        <f>AP21+(AP18+AP19)*lf_fixed</f>
        <v/>
      </c>
      <c r="AQ22" s="38">
        <f>AQ21+(AQ18+AQ19)*lf_fixed</f>
        <v/>
      </c>
      <c r="AR22" s="38">
        <f>AR21+(AR18+AR19)*lf_fixed</f>
        <v/>
      </c>
      <c r="AS22" s="38">
        <f>AS21+(AS18+AS19)*lf_fixed</f>
        <v/>
      </c>
      <c r="AT22" s="38">
        <f>AT21+(AT18+AT19)*lf_fixed</f>
        <v/>
      </c>
      <c r="AU22" s="38">
        <f>AU21+(AU18+AU19)*lf_fixed</f>
        <v/>
      </c>
      <c r="AV22" s="38">
        <f>AV21+(AV18+AV19)*lf_fixed</f>
        <v/>
      </c>
      <c r="AW22" s="38">
        <f>AW21+(AW18+AW19)*lf_fixed</f>
        <v/>
      </c>
      <c r="AX22" s="38">
        <f>AX21+(AX18+AX19)*lf_fixed</f>
        <v/>
      </c>
      <c r="AY22" s="38">
        <f>AY21+(AY18+AY19)*lf_fixed</f>
        <v/>
      </c>
      <c r="AZ22" s="38">
        <f>AZ21+(AZ18+AZ19)*lf_fixed</f>
        <v/>
      </c>
      <c r="BA22" s="38">
        <f>BA21+(BA18+BA19)*lf_fixed</f>
        <v/>
      </c>
      <c r="BB22" s="38">
        <f>BB21+(BB18+BB19)*lf_fixed</f>
        <v/>
      </c>
      <c r="BC22" s="38">
        <f>BC21+(BC18+BC19)*lf_fixed</f>
        <v/>
      </c>
      <c r="BD22" s="38">
        <f>BD21+(BD18+BD19)*lf_fixed</f>
        <v/>
      </c>
      <c r="BE22" s="38">
        <f>BE21+(BE18+BE19)*lf_fixed</f>
        <v/>
      </c>
      <c r="BF22" s="38">
        <f>BF21+(BF18+BF19)*lf_fixed</f>
        <v/>
      </c>
      <c r="BG22" s="38">
        <f>BG21+(BG18+BG19)*lf_fixed</f>
        <v/>
      </c>
      <c r="BH22" s="38">
        <f>BH21+(BH18+BH19)*lf_fixed</f>
        <v/>
      </c>
      <c r="BI22" s="38">
        <f>BI21+(BI18+BI19)*lf_fixed</f>
        <v/>
      </c>
      <c r="BJ22" s="38">
        <f>BJ21+(BJ18+BJ19)*lf_fixed</f>
        <v/>
      </c>
      <c r="BK22" s="38">
        <f>BK21+(BK18+BK19)*lf_fixed</f>
        <v/>
      </c>
    </row>
    <row r="23">
      <c r="A23" s="2" t="inlineStr">
        <is>
          <t>Contribution margin</t>
        </is>
      </c>
      <c r="C23" s="60" t="n">
        <v>0</v>
      </c>
      <c r="D23" s="38">
        <f>D20-D22</f>
        <v/>
      </c>
      <c r="E23" s="38">
        <f>E20-E22</f>
        <v/>
      </c>
      <c r="F23" s="38">
        <f>F20-F22</f>
        <v/>
      </c>
      <c r="G23" s="38">
        <f>G20-G22</f>
        <v/>
      </c>
      <c r="H23" s="38">
        <f>H20-H22</f>
        <v/>
      </c>
      <c r="I23" s="38">
        <f>I20-I22</f>
        <v/>
      </c>
      <c r="J23" s="38">
        <f>J20-J22</f>
        <v/>
      </c>
      <c r="K23" s="38">
        <f>K20-K22</f>
        <v/>
      </c>
      <c r="L23" s="38">
        <f>L20-L22</f>
        <v/>
      </c>
      <c r="M23" s="38">
        <f>M20-M22</f>
        <v/>
      </c>
      <c r="N23" s="38">
        <f>N20-N22</f>
        <v/>
      </c>
      <c r="O23" s="38">
        <f>O20-O22</f>
        <v/>
      </c>
      <c r="P23" s="38">
        <f>P20-P22</f>
        <v/>
      </c>
      <c r="Q23" s="38">
        <f>Q20-Q22</f>
        <v/>
      </c>
      <c r="R23" s="38">
        <f>R20-R22</f>
        <v/>
      </c>
      <c r="S23" s="38">
        <f>S20-S22</f>
        <v/>
      </c>
      <c r="T23" s="38">
        <f>T20-T22</f>
        <v/>
      </c>
      <c r="U23" s="38">
        <f>U20-U22</f>
        <v/>
      </c>
      <c r="V23" s="38">
        <f>V20-V22</f>
        <v/>
      </c>
      <c r="W23" s="38">
        <f>W20-W22</f>
        <v/>
      </c>
      <c r="X23" s="38">
        <f>X20-X22</f>
        <v/>
      </c>
      <c r="Y23" s="38">
        <f>Y20-Y22</f>
        <v/>
      </c>
      <c r="Z23" s="38">
        <f>Z20-Z22</f>
        <v/>
      </c>
      <c r="AA23" s="38">
        <f>AA20-AA22</f>
        <v/>
      </c>
      <c r="AB23" s="38">
        <f>AB20-AB22</f>
        <v/>
      </c>
      <c r="AC23" s="38">
        <f>AC20-AC22</f>
        <v/>
      </c>
      <c r="AD23" s="38">
        <f>AD20-AD22</f>
        <v/>
      </c>
      <c r="AE23" s="38">
        <f>AE20-AE22</f>
        <v/>
      </c>
      <c r="AF23" s="38">
        <f>AF20-AF22</f>
        <v/>
      </c>
      <c r="AG23" s="38">
        <f>AG20-AG22</f>
        <v/>
      </c>
      <c r="AH23" s="38">
        <f>AH20-AH22</f>
        <v/>
      </c>
      <c r="AI23" s="38">
        <f>AI20-AI22</f>
        <v/>
      </c>
      <c r="AJ23" s="38">
        <f>AJ20-AJ22</f>
        <v/>
      </c>
      <c r="AK23" s="38">
        <f>AK20-AK22</f>
        <v/>
      </c>
      <c r="AL23" s="38">
        <f>AL20-AL22</f>
        <v/>
      </c>
      <c r="AM23" s="38">
        <f>AM20-AM22</f>
        <v/>
      </c>
      <c r="AN23" s="38">
        <f>AN20-AN22</f>
        <v/>
      </c>
      <c r="AO23" s="38">
        <f>AO20-AO22</f>
        <v/>
      </c>
      <c r="AP23" s="38">
        <f>AP20-AP22</f>
        <v/>
      </c>
      <c r="AQ23" s="38">
        <f>AQ20-AQ22</f>
        <v/>
      </c>
      <c r="AR23" s="38">
        <f>AR20-AR22</f>
        <v/>
      </c>
      <c r="AS23" s="38">
        <f>AS20-AS22</f>
        <v/>
      </c>
      <c r="AT23" s="38">
        <f>AT20-AT22</f>
        <v/>
      </c>
      <c r="AU23" s="38">
        <f>AU20-AU22</f>
        <v/>
      </c>
      <c r="AV23" s="38">
        <f>AV20-AV22</f>
        <v/>
      </c>
      <c r="AW23" s="38">
        <f>AW20-AW22</f>
        <v/>
      </c>
      <c r="AX23" s="38">
        <f>AX20-AX22</f>
        <v/>
      </c>
      <c r="AY23" s="38">
        <f>AY20-AY22</f>
        <v/>
      </c>
      <c r="AZ23" s="38">
        <f>AZ20-AZ22</f>
        <v/>
      </c>
      <c r="BA23" s="38">
        <f>BA20-BA22</f>
        <v/>
      </c>
      <c r="BB23" s="38">
        <f>BB20-BB22</f>
        <v/>
      </c>
      <c r="BC23" s="38">
        <f>BC20-BC22</f>
        <v/>
      </c>
      <c r="BD23" s="38">
        <f>BD20-BD22</f>
        <v/>
      </c>
      <c r="BE23" s="38">
        <f>BE20-BE22</f>
        <v/>
      </c>
      <c r="BF23" s="38">
        <f>BF20-BF22</f>
        <v/>
      </c>
      <c r="BG23" s="38">
        <f>BG20-BG22</f>
        <v/>
      </c>
      <c r="BH23" s="38">
        <f>BH20-BH22</f>
        <v/>
      </c>
      <c r="BI23" s="38">
        <f>BI20-BI22</f>
        <v/>
      </c>
      <c r="BJ23" s="38">
        <f>BJ20-BJ22</f>
        <v/>
      </c>
      <c r="BK23" s="38">
        <f>BK20-BK22</f>
        <v/>
      </c>
    </row>
    <row r="24">
      <c r="A24" s="25" t="inlineStr">
        <is>
          <t>Loan-months of balance started (for capital)</t>
        </is>
      </c>
      <c r="C24" s="60" t="n">
        <v>0</v>
      </c>
      <c r="D24" s="38">
        <f>(D18+D19)*lf_ticket*lf_avg_frac*lf_tenor</f>
        <v/>
      </c>
      <c r="E24" s="38">
        <f>(E18+E19)*lf_ticket*lf_avg_frac*lf_tenor</f>
        <v/>
      </c>
      <c r="F24" s="38">
        <f>(F18+F19)*lf_ticket*lf_avg_frac*lf_tenor</f>
        <v/>
      </c>
      <c r="G24" s="38">
        <f>(G18+G19)*lf_ticket*lf_avg_frac*lf_tenor</f>
        <v/>
      </c>
      <c r="H24" s="38">
        <f>(H18+H19)*lf_ticket*lf_avg_frac*lf_tenor</f>
        <v/>
      </c>
      <c r="I24" s="38">
        <f>(I18+I19)*lf_ticket*lf_avg_frac*lf_tenor</f>
        <v/>
      </c>
      <c r="J24" s="38">
        <f>(J18+J19)*lf_ticket*lf_avg_frac*lf_tenor</f>
        <v/>
      </c>
      <c r="K24" s="38">
        <f>(K18+K19)*lf_ticket*lf_avg_frac*lf_tenor</f>
        <v/>
      </c>
      <c r="L24" s="38">
        <f>(L18+L19)*lf_ticket*lf_avg_frac*lf_tenor</f>
        <v/>
      </c>
      <c r="M24" s="38">
        <f>(M18+M19)*lf_ticket*lf_avg_frac*lf_tenor</f>
        <v/>
      </c>
      <c r="N24" s="38">
        <f>(N18+N19)*lf_ticket*lf_avg_frac*lf_tenor</f>
        <v/>
      </c>
      <c r="O24" s="38">
        <f>(O18+O19)*lf_ticket*lf_avg_frac*lf_tenor</f>
        <v/>
      </c>
      <c r="P24" s="38">
        <f>(P18+P19)*lf_ticket*lf_avg_frac*lf_tenor</f>
        <v/>
      </c>
      <c r="Q24" s="38">
        <f>(Q18+Q19)*lf_ticket*lf_avg_frac*lf_tenor</f>
        <v/>
      </c>
      <c r="R24" s="38">
        <f>(R18+R19)*lf_ticket*lf_avg_frac*lf_tenor</f>
        <v/>
      </c>
      <c r="S24" s="38">
        <f>(S18+S19)*lf_ticket*lf_avg_frac*lf_tenor</f>
        <v/>
      </c>
      <c r="T24" s="38">
        <f>(T18+T19)*lf_ticket*lf_avg_frac*lf_tenor</f>
        <v/>
      </c>
      <c r="U24" s="38">
        <f>(U18+U19)*lf_ticket*lf_avg_frac*lf_tenor</f>
        <v/>
      </c>
      <c r="V24" s="38">
        <f>(V18+V19)*lf_ticket*lf_avg_frac*lf_tenor</f>
        <v/>
      </c>
      <c r="W24" s="38">
        <f>(W18+W19)*lf_ticket*lf_avg_frac*lf_tenor</f>
        <v/>
      </c>
      <c r="X24" s="38">
        <f>(X18+X19)*lf_ticket*lf_avg_frac*lf_tenor</f>
        <v/>
      </c>
      <c r="Y24" s="38">
        <f>(Y18+Y19)*lf_ticket*lf_avg_frac*lf_tenor</f>
        <v/>
      </c>
      <c r="Z24" s="38">
        <f>(Z18+Z19)*lf_ticket*lf_avg_frac*lf_tenor</f>
        <v/>
      </c>
      <c r="AA24" s="38">
        <f>(AA18+AA19)*lf_ticket*lf_avg_frac*lf_tenor</f>
        <v/>
      </c>
      <c r="AB24" s="38">
        <f>(AB18+AB19)*lf_ticket*lf_avg_frac*lf_tenor</f>
        <v/>
      </c>
      <c r="AC24" s="38">
        <f>(AC18+AC19)*lf_ticket*lf_avg_frac*lf_tenor</f>
        <v/>
      </c>
      <c r="AD24" s="38">
        <f>(AD18+AD19)*lf_ticket*lf_avg_frac*lf_tenor</f>
        <v/>
      </c>
      <c r="AE24" s="38">
        <f>(AE18+AE19)*lf_ticket*lf_avg_frac*lf_tenor</f>
        <v/>
      </c>
      <c r="AF24" s="38">
        <f>(AF18+AF19)*lf_ticket*lf_avg_frac*lf_tenor</f>
        <v/>
      </c>
      <c r="AG24" s="38">
        <f>(AG18+AG19)*lf_ticket*lf_avg_frac*lf_tenor</f>
        <v/>
      </c>
      <c r="AH24" s="38">
        <f>(AH18+AH19)*lf_ticket*lf_avg_frac*lf_tenor</f>
        <v/>
      </c>
      <c r="AI24" s="38">
        <f>(AI18+AI19)*lf_ticket*lf_avg_frac*lf_tenor</f>
        <v/>
      </c>
      <c r="AJ24" s="38">
        <f>(AJ18+AJ19)*lf_ticket*lf_avg_frac*lf_tenor</f>
        <v/>
      </c>
      <c r="AK24" s="38">
        <f>(AK18+AK19)*lf_ticket*lf_avg_frac*lf_tenor</f>
        <v/>
      </c>
      <c r="AL24" s="38">
        <f>(AL18+AL19)*lf_ticket*lf_avg_frac*lf_tenor</f>
        <v/>
      </c>
      <c r="AM24" s="38">
        <f>(AM18+AM19)*lf_ticket*lf_avg_frac*lf_tenor</f>
        <v/>
      </c>
      <c r="AN24" s="38">
        <f>(AN18+AN19)*lf_ticket*lf_avg_frac*lf_tenor</f>
        <v/>
      </c>
      <c r="AO24" s="38">
        <f>(AO18+AO19)*lf_ticket*lf_avg_frac*lf_tenor</f>
        <v/>
      </c>
      <c r="AP24" s="38">
        <f>(AP18+AP19)*lf_ticket*lf_avg_frac*lf_tenor</f>
        <v/>
      </c>
      <c r="AQ24" s="38">
        <f>(AQ18+AQ19)*lf_ticket*lf_avg_frac*lf_tenor</f>
        <v/>
      </c>
      <c r="AR24" s="38">
        <f>(AR18+AR19)*lf_ticket*lf_avg_frac*lf_tenor</f>
        <v/>
      </c>
      <c r="AS24" s="38">
        <f>(AS18+AS19)*lf_ticket*lf_avg_frac*lf_tenor</f>
        <v/>
      </c>
      <c r="AT24" s="38">
        <f>(AT18+AT19)*lf_ticket*lf_avg_frac*lf_tenor</f>
        <v/>
      </c>
      <c r="AU24" s="38">
        <f>(AU18+AU19)*lf_ticket*lf_avg_frac*lf_tenor</f>
        <v/>
      </c>
      <c r="AV24" s="38">
        <f>(AV18+AV19)*lf_ticket*lf_avg_frac*lf_tenor</f>
        <v/>
      </c>
      <c r="AW24" s="38">
        <f>(AW18+AW19)*lf_ticket*lf_avg_frac*lf_tenor</f>
        <v/>
      </c>
      <c r="AX24" s="38">
        <f>(AX18+AX19)*lf_ticket*lf_avg_frac*lf_tenor</f>
        <v/>
      </c>
      <c r="AY24" s="38">
        <f>(AY18+AY19)*lf_ticket*lf_avg_frac*lf_tenor</f>
        <v/>
      </c>
      <c r="AZ24" s="38">
        <f>(AZ18+AZ19)*lf_ticket*lf_avg_frac*lf_tenor</f>
        <v/>
      </c>
      <c r="BA24" s="38">
        <f>(BA18+BA19)*lf_ticket*lf_avg_frac*lf_tenor</f>
        <v/>
      </c>
      <c r="BB24" s="38">
        <f>(BB18+BB19)*lf_ticket*lf_avg_frac*lf_tenor</f>
        <v/>
      </c>
      <c r="BC24" s="38">
        <f>(BC18+BC19)*lf_ticket*lf_avg_frac*lf_tenor</f>
        <v/>
      </c>
      <c r="BD24" s="38">
        <f>(BD18+BD19)*lf_ticket*lf_avg_frac*lf_tenor</f>
        <v/>
      </c>
      <c r="BE24" s="38">
        <f>(BE18+BE19)*lf_ticket*lf_avg_frac*lf_tenor</f>
        <v/>
      </c>
      <c r="BF24" s="38">
        <f>(BF18+BF19)*lf_ticket*lf_avg_frac*lf_tenor</f>
        <v/>
      </c>
      <c r="BG24" s="38">
        <f>(BG18+BG19)*lf_ticket*lf_avg_frac*lf_tenor</f>
        <v/>
      </c>
      <c r="BH24" s="38">
        <f>(BH18+BH19)*lf_ticket*lf_avg_frac*lf_tenor</f>
        <v/>
      </c>
      <c r="BI24" s="38">
        <f>(BI18+BI19)*lf_ticket*lf_avg_frac*lf_tenor</f>
        <v/>
      </c>
      <c r="BJ24" s="38">
        <f>(BJ18+BJ19)*lf_ticket*lf_avg_frac*lf_tenor</f>
        <v/>
      </c>
      <c r="BK24" s="38">
        <f>(BK18+BK19)*lf_ticket*lf_avg_frac*lf_tenor</f>
        <v/>
      </c>
    </row>
    <row r="25">
      <c r="A25" s="25" t="inlineStr">
        <is>
          <t>…per disbursed borrower</t>
        </is>
      </c>
      <c r="C25" s="60" t="n">
        <v>0</v>
      </c>
      <c r="D25" s="47">
        <f>D23/borrowers_lf</f>
        <v/>
      </c>
      <c r="E25" s="47">
        <f>E23/borrowers_lf</f>
        <v/>
      </c>
      <c r="F25" s="47">
        <f>F23/borrowers_lf</f>
        <v/>
      </c>
      <c r="G25" s="47">
        <f>G23/borrowers_lf</f>
        <v/>
      </c>
      <c r="H25" s="47">
        <f>H23/borrowers_lf</f>
        <v/>
      </c>
      <c r="I25" s="47">
        <f>I23/borrowers_lf</f>
        <v/>
      </c>
      <c r="J25" s="47">
        <f>J23/borrowers_lf</f>
        <v/>
      </c>
      <c r="K25" s="47">
        <f>K23/borrowers_lf</f>
        <v/>
      </c>
      <c r="L25" s="47">
        <f>L23/borrowers_lf</f>
        <v/>
      </c>
      <c r="M25" s="47">
        <f>M23/borrowers_lf</f>
        <v/>
      </c>
      <c r="N25" s="47">
        <f>N23/borrowers_lf</f>
        <v/>
      </c>
      <c r="O25" s="47">
        <f>O23/borrowers_lf</f>
        <v/>
      </c>
      <c r="P25" s="47">
        <f>P23/borrowers_lf</f>
        <v/>
      </c>
      <c r="Q25" s="47">
        <f>Q23/borrowers_lf</f>
        <v/>
      </c>
      <c r="R25" s="47">
        <f>R23/borrowers_lf</f>
        <v/>
      </c>
      <c r="S25" s="47">
        <f>S23/borrowers_lf</f>
        <v/>
      </c>
      <c r="T25" s="47">
        <f>T23/borrowers_lf</f>
        <v/>
      </c>
      <c r="U25" s="47">
        <f>U23/borrowers_lf</f>
        <v/>
      </c>
      <c r="V25" s="47">
        <f>V23/borrowers_lf</f>
        <v/>
      </c>
      <c r="W25" s="47">
        <f>W23/borrowers_lf</f>
        <v/>
      </c>
      <c r="X25" s="47">
        <f>X23/borrowers_lf</f>
        <v/>
      </c>
      <c r="Y25" s="47">
        <f>Y23/borrowers_lf</f>
        <v/>
      </c>
      <c r="Z25" s="47">
        <f>Z23/borrowers_lf</f>
        <v/>
      </c>
      <c r="AA25" s="47">
        <f>AA23/borrowers_lf</f>
        <v/>
      </c>
      <c r="AB25" s="47">
        <f>AB23/borrowers_lf</f>
        <v/>
      </c>
      <c r="AC25" s="47">
        <f>AC23/borrowers_lf</f>
        <v/>
      </c>
      <c r="AD25" s="47">
        <f>AD23/borrowers_lf</f>
        <v/>
      </c>
      <c r="AE25" s="47">
        <f>AE23/borrowers_lf</f>
        <v/>
      </c>
      <c r="AF25" s="47">
        <f>AF23/borrowers_lf</f>
        <v/>
      </c>
      <c r="AG25" s="47">
        <f>AG23/borrowers_lf</f>
        <v/>
      </c>
      <c r="AH25" s="47">
        <f>AH23/borrowers_lf</f>
        <v/>
      </c>
      <c r="AI25" s="47">
        <f>AI23/borrowers_lf</f>
        <v/>
      </c>
      <c r="AJ25" s="47">
        <f>AJ23/borrowers_lf</f>
        <v/>
      </c>
      <c r="AK25" s="47">
        <f>AK23/borrowers_lf</f>
        <v/>
      </c>
      <c r="AL25" s="47">
        <f>AL23/borrowers_lf</f>
        <v/>
      </c>
      <c r="AM25" s="47">
        <f>AM23/borrowers_lf</f>
        <v/>
      </c>
      <c r="AN25" s="47">
        <f>AN23/borrowers_lf</f>
        <v/>
      </c>
      <c r="AO25" s="47">
        <f>AO23/borrowers_lf</f>
        <v/>
      </c>
      <c r="AP25" s="47">
        <f>AP23/borrowers_lf</f>
        <v/>
      </c>
      <c r="AQ25" s="47">
        <f>AQ23/borrowers_lf</f>
        <v/>
      </c>
      <c r="AR25" s="47">
        <f>AR23/borrowers_lf</f>
        <v/>
      </c>
      <c r="AS25" s="47">
        <f>AS23/borrowers_lf</f>
        <v/>
      </c>
      <c r="AT25" s="47">
        <f>AT23/borrowers_lf</f>
        <v/>
      </c>
      <c r="AU25" s="47">
        <f>AU23/borrowers_lf</f>
        <v/>
      </c>
      <c r="AV25" s="47">
        <f>AV23/borrowers_lf</f>
        <v/>
      </c>
      <c r="AW25" s="47">
        <f>AW23/borrowers_lf</f>
        <v/>
      </c>
      <c r="AX25" s="47">
        <f>AX23/borrowers_lf</f>
        <v/>
      </c>
      <c r="AY25" s="47">
        <f>AY23/borrowers_lf</f>
        <v/>
      </c>
      <c r="AZ25" s="47">
        <f>AZ23/borrowers_lf</f>
        <v/>
      </c>
      <c r="BA25" s="47">
        <f>BA23/borrowers_lf</f>
        <v/>
      </c>
      <c r="BB25" s="47">
        <f>BB23/borrowers_lf</f>
        <v/>
      </c>
      <c r="BC25" s="47">
        <f>BC23/borrowers_lf</f>
        <v/>
      </c>
      <c r="BD25" s="47">
        <f>BD23/borrowers_lf</f>
        <v/>
      </c>
      <c r="BE25" s="47">
        <f>BE23/borrowers_lf</f>
        <v/>
      </c>
      <c r="BF25" s="47">
        <f>BF23/borrowers_lf</f>
        <v/>
      </c>
      <c r="BG25" s="47">
        <f>BG23/borrowers_lf</f>
        <v/>
      </c>
      <c r="BH25" s="47">
        <f>BH23/borrowers_lf</f>
        <v/>
      </c>
      <c r="BI25" s="47">
        <f>BI23/borrowers_lf</f>
        <v/>
      </c>
      <c r="BJ25" s="47">
        <f>BJ23/borrowers_lf</f>
        <v/>
      </c>
      <c r="BK25" s="47">
        <f>BK23/borrowers_lf</f>
        <v/>
      </c>
    </row>
    <row r="26">
      <c r="A26" s="25" t="inlineStr">
        <is>
          <t>Cumulative per disbursed borrower</t>
        </is>
      </c>
      <c r="C26" s="60" t="n">
        <v>0</v>
      </c>
      <c r="D26" s="47">
        <f>C26+D25</f>
        <v/>
      </c>
      <c r="E26" s="47">
        <f>D26+E25</f>
        <v/>
      </c>
      <c r="F26" s="47">
        <f>E26+F25</f>
        <v/>
      </c>
      <c r="G26" s="47">
        <f>F26+G25</f>
        <v/>
      </c>
      <c r="H26" s="47">
        <f>G26+H25</f>
        <v/>
      </c>
      <c r="I26" s="47">
        <f>H26+I25</f>
        <v/>
      </c>
      <c r="J26" s="47">
        <f>I26+J25</f>
        <v/>
      </c>
      <c r="K26" s="47">
        <f>J26+K25</f>
        <v/>
      </c>
      <c r="L26" s="47">
        <f>K26+L25</f>
        <v/>
      </c>
      <c r="M26" s="47">
        <f>L26+M25</f>
        <v/>
      </c>
      <c r="N26" s="47">
        <f>M26+N25</f>
        <v/>
      </c>
      <c r="O26" s="47">
        <f>N26+O25</f>
        <v/>
      </c>
      <c r="P26" s="47">
        <f>O26+P25</f>
        <v/>
      </c>
      <c r="Q26" s="47">
        <f>P26+Q25</f>
        <v/>
      </c>
      <c r="R26" s="47">
        <f>Q26+R25</f>
        <v/>
      </c>
      <c r="S26" s="47">
        <f>R26+S25</f>
        <v/>
      </c>
      <c r="T26" s="47">
        <f>S26+T25</f>
        <v/>
      </c>
      <c r="U26" s="47">
        <f>T26+U25</f>
        <v/>
      </c>
      <c r="V26" s="47">
        <f>U26+V25</f>
        <v/>
      </c>
      <c r="W26" s="47">
        <f>V26+W25</f>
        <v/>
      </c>
      <c r="X26" s="47">
        <f>W26+X25</f>
        <v/>
      </c>
      <c r="Y26" s="47">
        <f>X26+Y25</f>
        <v/>
      </c>
      <c r="Z26" s="47">
        <f>Y26+Z25</f>
        <v/>
      </c>
      <c r="AA26" s="47">
        <f>Z26+AA25</f>
        <v/>
      </c>
      <c r="AB26" s="47">
        <f>AA26+AB25</f>
        <v/>
      </c>
      <c r="AC26" s="47">
        <f>AB26+AC25</f>
        <v/>
      </c>
      <c r="AD26" s="47">
        <f>AC26+AD25</f>
        <v/>
      </c>
      <c r="AE26" s="47">
        <f>AD26+AE25</f>
        <v/>
      </c>
      <c r="AF26" s="47">
        <f>AE26+AF25</f>
        <v/>
      </c>
      <c r="AG26" s="47">
        <f>AF26+AG25</f>
        <v/>
      </c>
      <c r="AH26" s="47">
        <f>AG26+AH25</f>
        <v/>
      </c>
      <c r="AI26" s="47">
        <f>AH26+AI25</f>
        <v/>
      </c>
      <c r="AJ26" s="47">
        <f>AI26+AJ25</f>
        <v/>
      </c>
      <c r="AK26" s="47">
        <f>AJ26+AK25</f>
        <v/>
      </c>
      <c r="AL26" s="47">
        <f>AK26+AL25</f>
        <v/>
      </c>
      <c r="AM26" s="47">
        <f>AL26+AM25</f>
        <v/>
      </c>
      <c r="AN26" s="47">
        <f>AM26+AN25</f>
        <v/>
      </c>
      <c r="AO26" s="47">
        <f>AN26+AO25</f>
        <v/>
      </c>
      <c r="AP26" s="47">
        <f>AO26+AP25</f>
        <v/>
      </c>
      <c r="AQ26" s="47">
        <f>AP26+AQ25</f>
        <v/>
      </c>
      <c r="AR26" s="47">
        <f>AQ26+AR25</f>
        <v/>
      </c>
      <c r="AS26" s="47">
        <f>AR26+AS25</f>
        <v/>
      </c>
      <c r="AT26" s="47">
        <f>AS26+AT25</f>
        <v/>
      </c>
      <c r="AU26" s="47">
        <f>AT26+AU25</f>
        <v/>
      </c>
      <c r="AV26" s="47">
        <f>AU26+AV25</f>
        <v/>
      </c>
      <c r="AW26" s="47">
        <f>AV26+AW25</f>
        <v/>
      </c>
      <c r="AX26" s="47">
        <f>AW26+AX25</f>
        <v/>
      </c>
      <c r="AY26" s="47">
        <f>AX26+AY25</f>
        <v/>
      </c>
      <c r="AZ26" s="47">
        <f>AY26+AZ25</f>
        <v/>
      </c>
      <c r="BA26" s="47">
        <f>AZ26+BA25</f>
        <v/>
      </c>
      <c r="BB26" s="47">
        <f>BA26+BB25</f>
        <v/>
      </c>
      <c r="BC26" s="47">
        <f>BB26+BC25</f>
        <v/>
      </c>
      <c r="BD26" s="47">
        <f>BC26+BD25</f>
        <v/>
      </c>
      <c r="BE26" s="47">
        <f>BD26+BE25</f>
        <v/>
      </c>
      <c r="BF26" s="47">
        <f>BE26+BF25</f>
        <v/>
      </c>
      <c r="BG26" s="47">
        <f>BF26+BG25</f>
        <v/>
      </c>
      <c r="BH26" s="47">
        <f>BG26+BH25</f>
        <v/>
      </c>
      <c r="BI26" s="47">
        <f>BH26+BI25</f>
        <v/>
      </c>
      <c r="BJ26" s="47">
        <f>BI26+BJ25</f>
        <v/>
      </c>
      <c r="BK26" s="47">
        <f>BJ26+BK25</f>
        <v/>
      </c>
    </row>
    <row r="27">
      <c r="A27" s="25" t="inlineStr">
        <is>
          <t>Discounted per disbursed borrower</t>
        </is>
      </c>
      <c r="C27" s="60" t="n">
        <v>0</v>
      </c>
      <c r="D27" s="47">
        <f>D25/(1+disc_rate)^(D$17/12)</f>
        <v/>
      </c>
      <c r="E27" s="47">
        <f>E25/(1+disc_rate)^(E$17/12)</f>
        <v/>
      </c>
      <c r="F27" s="47">
        <f>F25/(1+disc_rate)^(F$17/12)</f>
        <v/>
      </c>
      <c r="G27" s="47">
        <f>G25/(1+disc_rate)^(G$17/12)</f>
        <v/>
      </c>
      <c r="H27" s="47">
        <f>H25/(1+disc_rate)^(H$17/12)</f>
        <v/>
      </c>
      <c r="I27" s="47">
        <f>I25/(1+disc_rate)^(I$17/12)</f>
        <v/>
      </c>
      <c r="J27" s="47">
        <f>J25/(1+disc_rate)^(J$17/12)</f>
        <v/>
      </c>
      <c r="K27" s="47">
        <f>K25/(1+disc_rate)^(K$17/12)</f>
        <v/>
      </c>
      <c r="L27" s="47">
        <f>L25/(1+disc_rate)^(L$17/12)</f>
        <v/>
      </c>
      <c r="M27" s="47">
        <f>M25/(1+disc_rate)^(M$17/12)</f>
        <v/>
      </c>
      <c r="N27" s="47">
        <f>N25/(1+disc_rate)^(N$17/12)</f>
        <v/>
      </c>
      <c r="O27" s="47">
        <f>O25/(1+disc_rate)^(O$17/12)</f>
        <v/>
      </c>
      <c r="P27" s="47">
        <f>P25/(1+disc_rate)^(P$17/12)</f>
        <v/>
      </c>
      <c r="Q27" s="47">
        <f>Q25/(1+disc_rate)^(Q$17/12)</f>
        <v/>
      </c>
      <c r="R27" s="47">
        <f>R25/(1+disc_rate)^(R$17/12)</f>
        <v/>
      </c>
      <c r="S27" s="47">
        <f>S25/(1+disc_rate)^(S$17/12)</f>
        <v/>
      </c>
      <c r="T27" s="47">
        <f>T25/(1+disc_rate)^(T$17/12)</f>
        <v/>
      </c>
      <c r="U27" s="47">
        <f>U25/(1+disc_rate)^(U$17/12)</f>
        <v/>
      </c>
      <c r="V27" s="47">
        <f>V25/(1+disc_rate)^(V$17/12)</f>
        <v/>
      </c>
      <c r="W27" s="47">
        <f>W25/(1+disc_rate)^(W$17/12)</f>
        <v/>
      </c>
      <c r="X27" s="47">
        <f>X25/(1+disc_rate)^(X$17/12)</f>
        <v/>
      </c>
      <c r="Y27" s="47">
        <f>Y25/(1+disc_rate)^(Y$17/12)</f>
        <v/>
      </c>
      <c r="Z27" s="47">
        <f>Z25/(1+disc_rate)^(Z$17/12)</f>
        <v/>
      </c>
      <c r="AA27" s="47">
        <f>AA25/(1+disc_rate)^(AA$17/12)</f>
        <v/>
      </c>
      <c r="AB27" s="47">
        <f>AB25/(1+disc_rate)^(AB$17/12)</f>
        <v/>
      </c>
      <c r="AC27" s="47">
        <f>AC25/(1+disc_rate)^(AC$17/12)</f>
        <v/>
      </c>
      <c r="AD27" s="47">
        <f>AD25/(1+disc_rate)^(AD$17/12)</f>
        <v/>
      </c>
      <c r="AE27" s="47">
        <f>AE25/(1+disc_rate)^(AE$17/12)</f>
        <v/>
      </c>
      <c r="AF27" s="47">
        <f>AF25/(1+disc_rate)^(AF$17/12)</f>
        <v/>
      </c>
      <c r="AG27" s="47">
        <f>AG25/(1+disc_rate)^(AG$17/12)</f>
        <v/>
      </c>
      <c r="AH27" s="47">
        <f>AH25/(1+disc_rate)^(AH$17/12)</f>
        <v/>
      </c>
      <c r="AI27" s="47">
        <f>AI25/(1+disc_rate)^(AI$17/12)</f>
        <v/>
      </c>
      <c r="AJ27" s="47">
        <f>AJ25/(1+disc_rate)^(AJ$17/12)</f>
        <v/>
      </c>
      <c r="AK27" s="47">
        <f>AK25/(1+disc_rate)^(AK$17/12)</f>
        <v/>
      </c>
      <c r="AL27" s="47">
        <f>AL25/(1+disc_rate)^(AL$17/12)</f>
        <v/>
      </c>
      <c r="AM27" s="47">
        <f>AM25/(1+disc_rate)^(AM$17/12)</f>
        <v/>
      </c>
      <c r="AN27" s="47">
        <f>AN25/(1+disc_rate)^(AN$17/12)</f>
        <v/>
      </c>
      <c r="AO27" s="47">
        <f>AO25/(1+disc_rate)^(AO$17/12)</f>
        <v/>
      </c>
      <c r="AP27" s="47">
        <f>AP25/(1+disc_rate)^(AP$17/12)</f>
        <v/>
      </c>
      <c r="AQ27" s="47">
        <f>AQ25/(1+disc_rate)^(AQ$17/12)</f>
        <v/>
      </c>
      <c r="AR27" s="47">
        <f>AR25/(1+disc_rate)^(AR$17/12)</f>
        <v/>
      </c>
      <c r="AS27" s="47">
        <f>AS25/(1+disc_rate)^(AS$17/12)</f>
        <v/>
      </c>
      <c r="AT27" s="47">
        <f>AT25/(1+disc_rate)^(AT$17/12)</f>
        <v/>
      </c>
      <c r="AU27" s="47">
        <f>AU25/(1+disc_rate)^(AU$17/12)</f>
        <v/>
      </c>
      <c r="AV27" s="47">
        <f>AV25/(1+disc_rate)^(AV$17/12)</f>
        <v/>
      </c>
      <c r="AW27" s="47">
        <f>AW25/(1+disc_rate)^(AW$17/12)</f>
        <v/>
      </c>
      <c r="AX27" s="47">
        <f>AX25/(1+disc_rate)^(AX$17/12)</f>
        <v/>
      </c>
      <c r="AY27" s="47">
        <f>AY25/(1+disc_rate)^(AY$17/12)</f>
        <v/>
      </c>
      <c r="AZ27" s="47">
        <f>AZ25/(1+disc_rate)^(AZ$17/12)</f>
        <v/>
      </c>
      <c r="BA27" s="47">
        <f>BA25/(1+disc_rate)^(BA$17/12)</f>
        <v/>
      </c>
      <c r="BB27" s="47">
        <f>BB25/(1+disc_rate)^(BB$17/12)</f>
        <v/>
      </c>
      <c r="BC27" s="47">
        <f>BC25/(1+disc_rate)^(BC$17/12)</f>
        <v/>
      </c>
      <c r="BD27" s="47">
        <f>BD25/(1+disc_rate)^(BD$17/12)</f>
        <v/>
      </c>
      <c r="BE27" s="47">
        <f>BE25/(1+disc_rate)^(BE$17/12)</f>
        <v/>
      </c>
      <c r="BF27" s="47">
        <f>BF25/(1+disc_rate)^(BF$17/12)</f>
        <v/>
      </c>
      <c r="BG27" s="47">
        <f>BG25/(1+disc_rate)^(BG$17/12)</f>
        <v/>
      </c>
      <c r="BH27" s="47">
        <f>BH25/(1+disc_rate)^(BH$17/12)</f>
        <v/>
      </c>
      <c r="BI27" s="47">
        <f>BI25/(1+disc_rate)^(BI$17/12)</f>
        <v/>
      </c>
      <c r="BJ27" s="47">
        <f>BJ25/(1+disc_rate)^(BJ$17/12)</f>
        <v/>
      </c>
      <c r="BK27" s="47">
        <f>BK25/(1+disc_rate)^(BK$17/12)</f>
        <v/>
      </c>
    </row>
    <row r="28">
      <c r="A28" s="25" t="inlineStr">
        <is>
          <t>Payback flag</t>
        </is>
      </c>
      <c r="C28" s="60" t="n">
        <v>0</v>
      </c>
      <c r="D28" s="48">
        <f>IF(D26&gt;=lf_cac,D$17,999)</f>
        <v/>
      </c>
      <c r="E28" s="48">
        <f>IF(E26&gt;=lf_cac,E$17,999)</f>
        <v/>
      </c>
      <c r="F28" s="48">
        <f>IF(F26&gt;=lf_cac,F$17,999)</f>
        <v/>
      </c>
      <c r="G28" s="48">
        <f>IF(G26&gt;=lf_cac,G$17,999)</f>
        <v/>
      </c>
      <c r="H28" s="48">
        <f>IF(H26&gt;=lf_cac,H$17,999)</f>
        <v/>
      </c>
      <c r="I28" s="48">
        <f>IF(I26&gt;=lf_cac,I$17,999)</f>
        <v/>
      </c>
      <c r="J28" s="48">
        <f>IF(J26&gt;=lf_cac,J$17,999)</f>
        <v/>
      </c>
      <c r="K28" s="48">
        <f>IF(K26&gt;=lf_cac,K$17,999)</f>
        <v/>
      </c>
      <c r="L28" s="48">
        <f>IF(L26&gt;=lf_cac,L$17,999)</f>
        <v/>
      </c>
      <c r="M28" s="48">
        <f>IF(M26&gt;=lf_cac,M$17,999)</f>
        <v/>
      </c>
      <c r="N28" s="48">
        <f>IF(N26&gt;=lf_cac,N$17,999)</f>
        <v/>
      </c>
      <c r="O28" s="48">
        <f>IF(O26&gt;=lf_cac,O$17,999)</f>
        <v/>
      </c>
      <c r="P28" s="48">
        <f>IF(P26&gt;=lf_cac,P$17,999)</f>
        <v/>
      </c>
      <c r="Q28" s="48">
        <f>IF(Q26&gt;=lf_cac,Q$17,999)</f>
        <v/>
      </c>
      <c r="R28" s="48">
        <f>IF(R26&gt;=lf_cac,R$17,999)</f>
        <v/>
      </c>
      <c r="S28" s="48">
        <f>IF(S26&gt;=lf_cac,S$17,999)</f>
        <v/>
      </c>
      <c r="T28" s="48">
        <f>IF(T26&gt;=lf_cac,T$17,999)</f>
        <v/>
      </c>
      <c r="U28" s="48">
        <f>IF(U26&gt;=lf_cac,U$17,999)</f>
        <v/>
      </c>
      <c r="V28" s="48">
        <f>IF(V26&gt;=lf_cac,V$17,999)</f>
        <v/>
      </c>
      <c r="W28" s="48">
        <f>IF(W26&gt;=lf_cac,W$17,999)</f>
        <v/>
      </c>
      <c r="X28" s="48">
        <f>IF(X26&gt;=lf_cac,X$17,999)</f>
        <v/>
      </c>
      <c r="Y28" s="48">
        <f>IF(Y26&gt;=lf_cac,Y$17,999)</f>
        <v/>
      </c>
      <c r="Z28" s="48">
        <f>IF(Z26&gt;=lf_cac,Z$17,999)</f>
        <v/>
      </c>
      <c r="AA28" s="48">
        <f>IF(AA26&gt;=lf_cac,AA$17,999)</f>
        <v/>
      </c>
      <c r="AB28" s="48">
        <f>IF(AB26&gt;=lf_cac,AB$17,999)</f>
        <v/>
      </c>
      <c r="AC28" s="48">
        <f>IF(AC26&gt;=lf_cac,AC$17,999)</f>
        <v/>
      </c>
      <c r="AD28" s="48">
        <f>IF(AD26&gt;=lf_cac,AD$17,999)</f>
        <v/>
      </c>
      <c r="AE28" s="48">
        <f>IF(AE26&gt;=lf_cac,AE$17,999)</f>
        <v/>
      </c>
      <c r="AF28" s="48">
        <f>IF(AF26&gt;=lf_cac,AF$17,999)</f>
        <v/>
      </c>
      <c r="AG28" s="48">
        <f>IF(AG26&gt;=lf_cac,AG$17,999)</f>
        <v/>
      </c>
      <c r="AH28" s="48">
        <f>IF(AH26&gt;=lf_cac,AH$17,999)</f>
        <v/>
      </c>
      <c r="AI28" s="48">
        <f>IF(AI26&gt;=lf_cac,AI$17,999)</f>
        <v/>
      </c>
      <c r="AJ28" s="48">
        <f>IF(AJ26&gt;=lf_cac,AJ$17,999)</f>
        <v/>
      </c>
      <c r="AK28" s="48">
        <f>IF(AK26&gt;=lf_cac,AK$17,999)</f>
        <v/>
      </c>
      <c r="AL28" s="48">
        <f>IF(AL26&gt;=lf_cac,AL$17,999)</f>
        <v/>
      </c>
      <c r="AM28" s="48">
        <f>IF(AM26&gt;=lf_cac,AM$17,999)</f>
        <v/>
      </c>
      <c r="AN28" s="48">
        <f>IF(AN26&gt;=lf_cac,AN$17,999)</f>
        <v/>
      </c>
      <c r="AO28" s="48">
        <f>IF(AO26&gt;=lf_cac,AO$17,999)</f>
        <v/>
      </c>
      <c r="AP28" s="48">
        <f>IF(AP26&gt;=lf_cac,AP$17,999)</f>
        <v/>
      </c>
      <c r="AQ28" s="48">
        <f>IF(AQ26&gt;=lf_cac,AQ$17,999)</f>
        <v/>
      </c>
      <c r="AR28" s="48">
        <f>IF(AR26&gt;=lf_cac,AR$17,999)</f>
        <v/>
      </c>
      <c r="AS28" s="48">
        <f>IF(AS26&gt;=lf_cac,AS$17,999)</f>
        <v/>
      </c>
      <c r="AT28" s="48">
        <f>IF(AT26&gt;=lf_cac,AT$17,999)</f>
        <v/>
      </c>
      <c r="AU28" s="48">
        <f>IF(AU26&gt;=lf_cac,AU$17,999)</f>
        <v/>
      </c>
      <c r="AV28" s="48">
        <f>IF(AV26&gt;=lf_cac,AV$17,999)</f>
        <v/>
      </c>
      <c r="AW28" s="48">
        <f>IF(AW26&gt;=lf_cac,AW$17,999)</f>
        <v/>
      </c>
      <c r="AX28" s="48">
        <f>IF(AX26&gt;=lf_cac,AX$17,999)</f>
        <v/>
      </c>
      <c r="AY28" s="48">
        <f>IF(AY26&gt;=lf_cac,AY$17,999)</f>
        <v/>
      </c>
      <c r="AZ28" s="48">
        <f>IF(AZ26&gt;=lf_cac,AZ$17,999)</f>
        <v/>
      </c>
      <c r="BA28" s="48">
        <f>IF(BA26&gt;=lf_cac,BA$17,999)</f>
        <v/>
      </c>
      <c r="BB28" s="48">
        <f>IF(BB26&gt;=lf_cac,BB$17,999)</f>
        <v/>
      </c>
      <c r="BC28" s="48">
        <f>IF(BC26&gt;=lf_cac,BC$17,999)</f>
        <v/>
      </c>
      <c r="BD28" s="48">
        <f>IF(BD26&gt;=lf_cac,BD$17,999)</f>
        <v/>
      </c>
      <c r="BE28" s="48">
        <f>IF(BE26&gt;=lf_cac,BE$17,999)</f>
        <v/>
      </c>
      <c r="BF28" s="48">
        <f>IF(BF26&gt;=lf_cac,BF$17,999)</f>
        <v/>
      </c>
      <c r="BG28" s="48">
        <f>IF(BG26&gt;=lf_cac,BG$17,999)</f>
        <v/>
      </c>
      <c r="BH28" s="48">
        <f>IF(BH26&gt;=lf_cac,BH$17,999)</f>
        <v/>
      </c>
      <c r="BI28" s="48">
        <f>IF(BI26&gt;=lf_cac,BI$17,999)</f>
        <v/>
      </c>
      <c r="BJ28" s="48">
        <f>IF(BJ26&gt;=lf_cac,BJ$17,999)</f>
        <v/>
      </c>
      <c r="BK28" s="48">
        <f>IF(BK26&gt;=lf_cac,BK$17,999)</f>
        <v/>
      </c>
    </row>
    <row r="31">
      <c r="A31" s="6" t="inlineStr">
        <is>
          <t>Lending-first outputs (per disbursed borrower)</t>
        </is>
      </c>
      <c r="B31" s="7" t="n"/>
      <c r="C31" s="7" t="n"/>
    </row>
    <row r="32">
      <c r="A32" s="25" t="inlineStr">
        <is>
          <t>CAC payback (months)</t>
        </is>
      </c>
      <c r="B32" s="61">
        <f>IF(MIN(D28:BK28)=999,"not within 60 months",MIN(D28:BK28))</f>
        <v/>
      </c>
    </row>
    <row r="33">
      <c r="A33" s="25" t="inlineStr">
        <is>
          <t>LTV, 36 months (₹, discounted)</t>
        </is>
      </c>
      <c r="B33" s="27">
        <f>SUM(D27:AM27)</f>
        <v/>
      </c>
    </row>
    <row r="34">
      <c r="A34" s="25" t="inlineStr">
        <is>
          <t>LTV, 60 months (₹, discounted)</t>
        </is>
      </c>
      <c r="B34" s="27">
        <f>SUM(D27:BK27)</f>
        <v/>
      </c>
    </row>
    <row r="35">
      <c r="A35" s="25" t="inlineStr">
        <is>
          <t>LTV/CAC, 36 months</t>
        </is>
      </c>
      <c r="B35" s="62">
        <f>lf_ltv36/lf_cac</f>
        <v/>
      </c>
    </row>
    <row r="36">
      <c r="A36" s="25" t="inlineStr">
        <is>
          <t>LTV/CAC, 60 months</t>
        </is>
      </c>
      <c r="B36" s="62">
        <f>lf_ltv60/lf_cac</f>
        <v/>
      </c>
    </row>
    <row r="37">
      <c r="A37" s="25" t="inlineStr">
        <is>
          <t>Year-1 net revenue per borrower (₹)</t>
        </is>
      </c>
      <c r="B37" s="27">
        <f>SUM(D20:O20)/borrowers_lf</f>
        <v/>
      </c>
    </row>
    <row r="38">
      <c r="A38" s="25" t="inlineStr">
        <is>
          <t>Year-1 contribution per borrower (₹)</t>
        </is>
      </c>
      <c r="B38" s="27">
        <f>SUM(D23:O23)/borrowers_lf</f>
        <v/>
      </c>
    </row>
    <row r="39">
      <c r="A39" s="25" t="inlineStr">
        <is>
          <t>Equity locked per ₹1 of yearly net revenue, if run through our own NBFC</t>
        </is>
      </c>
      <c r="B39" s="51">
        <f>IFERROR(lf_equity_ratio*SUM(D24:O24)/12/SUM(D20:O20),0)</f>
        <v/>
      </c>
    </row>
  </sheetData>
  <mergeCells count="1">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Sensitivity: bear / base / bull, and the inputs that move LTV/CAC most</t>
        </is>
      </c>
    </row>
    <row r="2">
      <c r="A2" s="28" t="inlineStr">
        <is>
          <t>These values are written by engine.py (the same logic as the live sheets). To see any scenario live, set Inputs!C2; verify.py checks the live workbook reproduces this table for all three scenarios.</t>
        </is>
      </c>
    </row>
    <row r="4">
      <c r="A4" s="5" t="inlineStr">
        <is>
          <t>Metric</t>
        </is>
      </c>
      <c r="B4" s="5" t="inlineStr">
        <is>
          <t>Bear</t>
        </is>
      </c>
      <c r="C4" s="5" t="inlineStr">
        <is>
          <t>Base</t>
        </is>
      </c>
      <c r="D4" s="5" t="inlineStr">
        <is>
          <t>Bull</t>
        </is>
      </c>
    </row>
    <row r="5">
      <c r="A5" s="25" t="inlineStr">
        <is>
          <t>CAC per activated saver (₹)</t>
        </is>
      </c>
      <c r="B5" s="38" t="n">
        <v>366.6056945505475</v>
      </c>
      <c r="C5" s="38" t="n">
        <v>256.0819168576521</v>
      </c>
      <c r="D5" s="38" t="n">
        <v>211.1851551226551</v>
      </c>
    </row>
    <row r="6">
      <c r="A6" s="25" t="inlineStr">
        <is>
          <t>CAC payback (months; blank = not within 60)</t>
        </is>
      </c>
      <c r="B6" s="48" t="n"/>
      <c r="C6" s="48" t="n"/>
      <c r="D6" s="48" t="n">
        <v>15</v>
      </c>
    </row>
    <row r="7">
      <c r="A7" s="25" t="inlineStr">
        <is>
          <t>LTV 36 months (₹)</t>
        </is>
      </c>
      <c r="B7" s="38" t="n">
        <v>-573.3116654237966</v>
      </c>
      <c r="C7" s="38" t="n">
        <v>-271.8320253562071</v>
      </c>
      <c r="D7" s="38" t="n">
        <v>431.7373393481495</v>
      </c>
    </row>
    <row r="8">
      <c r="A8" s="25" t="inlineStr">
        <is>
          <t>LTV 60 months (₹)</t>
        </is>
      </c>
      <c r="B8" s="38" t="n">
        <v>-632.5368029389851</v>
      </c>
      <c r="C8" s="38" t="n">
        <v>-304.0309912654121</v>
      </c>
      <c r="D8" s="38" t="n">
        <v>604.9984071513762</v>
      </c>
    </row>
    <row r="9">
      <c r="A9" s="25" t="inlineStr">
        <is>
          <t>LTV/CAC 36 months</t>
        </is>
      </c>
      <c r="B9" s="63" t="n">
        <v>-1.563837316075156</v>
      </c>
      <c r="C9" s="63" t="n">
        <v>-1.061504180739595</v>
      </c>
      <c r="D9" s="63" t="n">
        <v>2.044354581160778</v>
      </c>
    </row>
    <row r="10">
      <c r="A10" s="25" t="inlineStr">
        <is>
          <t>LTV/CAC 60 months</t>
        </is>
      </c>
      <c r="B10" s="63" t="n">
        <v>-1.725387282143734</v>
      </c>
      <c r="C10" s="63" t="n">
        <v>-1.187241157033409</v>
      </c>
      <c r="D10" s="63" t="n">
        <v>2.864777151594754</v>
      </c>
    </row>
    <row r="11">
      <c r="A11" s="25" t="inlineStr">
        <is>
          <t>Revenue per active saver, year 1 (₹)</t>
        </is>
      </c>
      <c r="B11" s="38" t="n">
        <v>30.56827266145403</v>
      </c>
      <c r="C11" s="38" t="n">
        <v>160.7141267487158</v>
      </c>
      <c r="D11" s="38" t="n">
        <v>578.5703765214809</v>
      </c>
    </row>
    <row r="12">
      <c r="A12" s="25" t="inlineStr">
        <is>
          <t>Revenue per active saver, year 2 (₹)</t>
        </is>
      </c>
      <c r="B12" s="38" t="n">
        <v>42.84192947330423</v>
      </c>
      <c r="C12" s="38" t="n">
        <v>246.522001209278</v>
      </c>
      <c r="D12" s="38" t="n">
        <v>1009.259937847338</v>
      </c>
    </row>
    <row r="13">
      <c r="A13" s="25" t="inlineStr">
        <is>
          <t>Revenue per active saver, year 3 (₹)</t>
        </is>
      </c>
      <c r="B13" s="38" t="n">
        <v>47.12181099972224</v>
      </c>
      <c r="C13" s="38" t="n">
        <v>278.6072400794139</v>
      </c>
      <c r="D13" s="38" t="n">
        <v>1246.658272558412</v>
      </c>
    </row>
    <row r="14">
      <c r="A14" s="25" t="inlineStr">
        <is>
          <t>Revenue per active saver, year 4 (₹)</t>
        </is>
      </c>
      <c r="B14" s="38" t="n">
        <v>49.22027626424128</v>
      </c>
      <c r="C14" s="38" t="n">
        <v>286.7951618872389</v>
      </c>
      <c r="D14" s="38" t="n">
        <v>1292.995255642092</v>
      </c>
    </row>
    <row r="15">
      <c r="A15" s="25" t="inlineStr">
        <is>
          <t>Revenue per active saver, year 5 (₹)</t>
        </is>
      </c>
      <c r="B15" s="38" t="n">
        <v>51.35877638748663</v>
      </c>
      <c r="C15" s="38" t="n">
        <v>294.6959317539536</v>
      </c>
      <c r="D15" s="38" t="n">
        <v>1320.369390955363</v>
      </c>
    </row>
    <row r="16">
      <c r="A16" s="25" t="inlineStr">
        <is>
          <t>Lending-first CAC per borrower (₹)</t>
        </is>
      </c>
      <c r="B16" s="38" t="n">
        <v>840</v>
      </c>
      <c r="C16" s="38" t="n">
        <v>760</v>
      </c>
      <c r="D16" s="38" t="n">
        <v>480</v>
      </c>
    </row>
    <row r="17">
      <c r="A17" s="25" t="inlineStr">
        <is>
          <t>Lending-first LTV/CAC 60 months</t>
        </is>
      </c>
      <c r="B17" s="63" t="n">
        <v>-0.7335923844881314</v>
      </c>
      <c r="C17" s="63" t="n">
        <v>0.07092201883894313</v>
      </c>
      <c r="D17" s="63" t="n">
        <v>2.325124663906026</v>
      </c>
    </row>
    <row r="20">
      <c r="A20" s="2" t="inlineStr">
        <is>
          <t>Tornado: LTV/CAC (60 months) when ONE input moves from its bear to its bull value, all else at base</t>
        </is>
      </c>
    </row>
    <row r="21">
      <c r="A21" s="5" t="inlineStr">
        <is>
          <t>Input</t>
        </is>
      </c>
      <c r="B21" s="5" t="inlineStr">
        <is>
          <t>Bear value</t>
        </is>
      </c>
      <c r="C21" s="5" t="inlineStr">
        <is>
          <t>Base value</t>
        </is>
      </c>
      <c r="D21" s="5" t="inlineStr">
        <is>
          <t>Bull value</t>
        </is>
      </c>
      <c r="E21" s="5" t="inlineStr">
        <is>
          <t>LTV/CAC at bear</t>
        </is>
      </c>
      <c r="F21" s="5" t="inlineStr">
        <is>
          <t>LTV/CAC at bull</t>
        </is>
      </c>
      <c r="G21" s="5" t="inlineStr">
        <is>
          <t>Swing</t>
        </is>
      </c>
    </row>
    <row r="22">
      <c r="A22" t="inlineStr">
        <is>
          <t>cost_debit</t>
        </is>
      </c>
      <c r="B22" t="n">
        <v>5</v>
      </c>
      <c r="C22" t="n">
        <v>2</v>
      </c>
      <c r="D22" t="n">
        <v>0.5</v>
      </c>
      <c r="E22" s="63" t="n">
        <v>-3.088893563203029</v>
      </c>
      <c r="F22" s="63" t="n">
        <v>-0.2364149539485988</v>
      </c>
      <c r="G22" s="63" t="n">
        <v>2.85247860925443</v>
      </c>
    </row>
    <row r="23">
      <c r="A23" t="inlineStr">
        <is>
          <t>cac_mult</t>
        </is>
      </c>
      <c r="B23" t="n">
        <v>1.3</v>
      </c>
      <c r="C23" t="n">
        <v>1</v>
      </c>
      <c r="D23" t="n">
        <v>0.8</v>
      </c>
      <c r="E23" s="63" t="n">
        <v>-0.8293133352392386</v>
      </c>
      <c r="F23" s="63" t="n">
        <v>-1.439641868240372</v>
      </c>
      <c r="G23" s="63" t="n">
        <v>0.6103285330011339</v>
      </c>
    </row>
    <row r="24">
      <c r="A24" t="inlineStr">
        <is>
          <t>ret_m24</t>
        </is>
      </c>
      <c r="B24" t="n">
        <v>0.06</v>
      </c>
      <c r="C24" t="n">
        <v>0.1</v>
      </c>
      <c r="D24" t="n">
        <v>0.2</v>
      </c>
      <c r="E24" s="63" t="n">
        <v>-1.049137104261012</v>
      </c>
      <c r="F24" s="63" t="n">
        <v>-1.477366918329964</v>
      </c>
      <c r="G24" s="63" t="n">
        <v>0.4282298140689527</v>
      </c>
    </row>
    <row r="25">
      <c r="A25" t="inlineStr">
        <is>
          <t>debits_success</t>
        </is>
      </c>
      <c r="B25" t="n">
        <v>15</v>
      </c>
      <c r="C25" t="n">
        <v>20</v>
      </c>
      <c r="D25" t="n">
        <v>24</v>
      </c>
      <c r="E25" s="63" t="n">
        <v>-0.9620594523249308</v>
      </c>
      <c r="F25" s="63" t="n">
        <v>-1.327555847047563</v>
      </c>
      <c r="G25" s="63" t="n">
        <v>0.3654963947226317</v>
      </c>
    </row>
    <row r="26">
      <c r="A26" t="inlineStr">
        <is>
          <t>daily_amount</t>
        </is>
      </c>
      <c r="B26" t="n">
        <v>25</v>
      </c>
      <c r="C26" t="n">
        <v>40</v>
      </c>
      <c r="D26" t="n">
        <v>60</v>
      </c>
      <c r="E26" s="63" t="n">
        <v>-1.286119085668189</v>
      </c>
      <c r="F26" s="63" t="n">
        <v>-0.9794696402134738</v>
      </c>
      <c r="G26" s="63" t="n">
        <v>0.3066494454547152</v>
      </c>
    </row>
    <row r="27">
      <c r="A27" t="inlineStr">
        <is>
          <t>cost_failed</t>
        </is>
      </c>
      <c r="B27" t="n">
        <v>1</v>
      </c>
      <c r="C27" t="n">
        <v>0.25</v>
      </c>
      <c r="D27" t="n">
        <v>0</v>
      </c>
      <c r="E27" s="63" t="n">
        <v>-1.386987831732297</v>
      </c>
      <c r="F27" s="63" t="n">
        <v>-1.120658932133779</v>
      </c>
      <c r="G27" s="63" t="n">
        <v>0.2663288995985176</v>
      </c>
    </row>
    <row r="28">
      <c r="A28" t="inlineStr">
        <is>
          <t>gold_margin</t>
        </is>
      </c>
      <c r="B28" t="n">
        <v>0.01</v>
      </c>
      <c r="C28" t="n">
        <v>0.015</v>
      </c>
      <c r="D28" t="n">
        <v>0.024</v>
      </c>
      <c r="E28" s="63" t="n">
        <v>-1.266660167674482</v>
      </c>
      <c r="F28" s="63" t="n">
        <v>-1.044286937879476</v>
      </c>
      <c r="G28" s="63" t="n">
        <v>0.2223732297950061</v>
      </c>
    </row>
    <row r="29">
      <c r="A29" t="inlineStr">
        <is>
          <t>ret_m12</t>
        </is>
      </c>
      <c r="B29" t="n">
        <v>0.13</v>
      </c>
      <c r="C29" t="n">
        <v>0.2</v>
      </c>
      <c r="D29" t="n">
        <v>0.32</v>
      </c>
      <c r="E29" s="63" t="n">
        <v>-1.122487655576839</v>
      </c>
      <c r="F29" s="63" t="n">
        <v>-1.315971634212957</v>
      </c>
      <c r="G29" s="63" t="n">
        <v>0.193483978636118</v>
      </c>
    </row>
    <row r="30">
      <c r="A30" t="inlineStr">
        <is>
          <t>ins_premium</t>
        </is>
      </c>
      <c r="B30" t="n">
        <v>1500</v>
      </c>
      <c r="C30" t="n">
        <v>3000</v>
      </c>
      <c r="D30" t="n">
        <v>5000</v>
      </c>
      <c r="E30" s="63" t="n">
        <v>-1.268060449568811</v>
      </c>
      <c r="F30" s="63" t="n">
        <v>-1.079482100319539</v>
      </c>
      <c r="G30" s="63" t="n">
        <v>0.1885783492492721</v>
      </c>
    </row>
    <row r="31">
      <c r="A31" t="inlineStr">
        <is>
          <t>cost_support</t>
        </is>
      </c>
      <c r="B31" t="n">
        <v>8</v>
      </c>
      <c r="C31" t="n">
        <v>5</v>
      </c>
      <c r="D31" t="n">
        <v>3</v>
      </c>
      <c r="E31" s="63" t="n">
        <v>-1.277262460532248</v>
      </c>
      <c r="F31" s="63" t="n">
        <v>-1.127226954700849</v>
      </c>
      <c r="G31" s="63" t="n">
        <v>0.1500355058313985</v>
      </c>
    </row>
    <row r="32">
      <c r="A32" t="inlineStr">
        <is>
          <t>cost_tech</t>
        </is>
      </c>
      <c r="B32" t="n">
        <v>6</v>
      </c>
      <c r="C32" t="n">
        <v>4</v>
      </c>
      <c r="D32" t="n">
        <v>2</v>
      </c>
      <c r="E32" s="63" t="n">
        <v>-1.247255359365968</v>
      </c>
      <c r="F32" s="63" t="n">
        <v>-1.127226954700849</v>
      </c>
      <c r="G32" s="63" t="n">
        <v>0.1200284046651188</v>
      </c>
    </row>
    <row r="33">
      <c r="A33" t="inlineStr">
        <is>
          <t>ret_m6</t>
        </is>
      </c>
      <c r="B33" t="n">
        <v>0.24</v>
      </c>
      <c r="C33" t="n">
        <v>0.33</v>
      </c>
      <c r="D33" t="n">
        <v>0.45</v>
      </c>
      <c r="E33" s="63" t="n">
        <v>-1.139694091501176</v>
      </c>
      <c r="F33" s="63" t="n">
        <v>-1.25556875848058</v>
      </c>
      <c r="G33" s="63" t="n">
        <v>0.115874666979404</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9"/>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8" customWidth="1" min="1" max="1"/>
    <col width="13" customWidth="1" min="2" max="2"/>
    <col width="44" customWidth="1" min="3" max="3"/>
    <col width="13" customWidth="1" min="4" max="4"/>
    <col width="13" customWidth="1" min="5" max="5"/>
    <col width="13" customWidth="1" min="6" max="6"/>
    <col width="13" customWidth="1" min="7" max="7"/>
    <col width="13" customWidth="1" min="8" max="8"/>
    <col width="14" customWidth="1" min="9" max="9"/>
    <col width="50" customWidth="1" min="10" max="10"/>
    <col width="30" customWidth="1" min="11" max="11"/>
    <col width="13" customWidth="1" min="12" max="12"/>
    <col width="13" customWidth="1" min="13" max="13"/>
  </cols>
  <sheetData>
    <row r="1">
      <c r="A1" s="1" t="inlineStr">
        <is>
          <t>Assumption register: every uncertain input, its distribution, the evidence for it and how much it matters</t>
        </is>
      </c>
    </row>
    <row r="2">
      <c r="A2" s="28" t="inlineStr">
        <is>
          <t>One row per input per segment (gig / ng = self-employed / all). Distribution = what the Monte Carlo samples. Status: triangulated = checked against independent sources (see Evidence); provisional = bear/base/bull widened, no independent check yet (yellow); fixed = founder decision or product design. Variance share = share of the spread in net value per saver this input explains (Monte Carlo, independent variant).</t>
        </is>
      </c>
    </row>
    <row r="4">
      <c r="A4" s="2" t="inlineStr">
        <is>
          <t>Register</t>
        </is>
      </c>
    </row>
    <row r="5">
      <c r="A5" s="64" t="inlineStr">
        <is>
          <t>input</t>
        </is>
      </c>
      <c r="B5" s="64" t="inlineStr">
        <is>
          <t>segment</t>
        </is>
      </c>
      <c r="C5" s="64" t="inlineStr">
        <is>
          <t>assumption</t>
        </is>
      </c>
      <c r="D5" s="64" t="inlineStr">
        <is>
          <t>dist</t>
        </is>
      </c>
      <c r="E5" s="64" t="inlineStr">
        <is>
          <t>low</t>
        </is>
      </c>
      <c r="F5" s="64" t="inlineStr">
        <is>
          <t>mode</t>
        </is>
      </c>
      <c r="G5" s="64" t="inlineStr">
        <is>
          <t>high</t>
        </is>
      </c>
      <c r="H5" s="64" t="inlineStr">
        <is>
          <t>status</t>
        </is>
      </c>
      <c r="I5" s="64" t="inlineStr">
        <is>
          <t>verdict</t>
        </is>
      </c>
      <c r="J5" s="64" t="inlineStr">
        <is>
          <t>basis</t>
        </is>
      </c>
      <c r="K5" s="64" t="inlineStr">
        <is>
          <t>evidence</t>
        </is>
      </c>
      <c r="L5" s="64" t="inlineStr">
        <is>
          <t>variance_share</t>
        </is>
      </c>
    </row>
    <row r="6">
      <c r="A6" s="65" t="inlineStr">
        <is>
          <t>pay_flat</t>
        </is>
      </c>
      <c r="B6" s="65" t="inlineStr">
        <is>
          <t>all</t>
        </is>
      </c>
      <c r="C6" s="65" t="inlineStr">
        <is>
          <t>Payment pricing: flat Rs 5 + GST per debit (1) or a % of the debit (0)</t>
        </is>
      </c>
      <c r="D6" s="65" t="inlineStr">
        <is>
          <t>bernoulli</t>
        </is>
      </c>
      <c r="E6" s="65" t="n">
        <v>0</v>
      </c>
      <c r="F6" s="65" t="n">
        <v>0.5</v>
      </c>
      <c r="G6" s="65" t="n">
        <v>1</v>
      </c>
      <c r="H6" s="65" t="inlineStr">
        <is>
          <t>assumption</t>
        </is>
      </c>
      <c r="I6" s="65" t="inlineStr">
        <is>
          <t>no plan value</t>
        </is>
      </c>
      <c r="J6" s="65" t="inlineStr">
        <is>
          <t>payment pricing: 1 = flat list price Rs 5 + 18% GST per debit (Cashfree, Zoho); 0 = a % of the debit (Razorpay reported, PhonePe PG 1.99%). Which a new app gets is unknown: 50/50 is an assumption</t>
        </is>
      </c>
      <c r="K6" s="65" t="inlineStr">
        <is>
          <t>TC-02, TC-06, TC-15, TC-16, TC-17</t>
        </is>
      </c>
      <c r="L6" s="66" t="n">
        <v>0.738251027370329</v>
      </c>
    </row>
    <row r="7">
      <c r="A7" s="65" t="inlineStr">
        <is>
          <t>cac_target</t>
        </is>
      </c>
      <c r="B7" s="65" t="inlineStr">
        <is>
          <t>ng</t>
        </is>
      </c>
      <c r="C7" s="65" t="inlineStr">
        <is>
          <t>Cost to win a saver who makes a first debit (Rs)</t>
        </is>
      </c>
      <c r="D7" s="65" t="inlineStr">
        <is>
          <t>lognormal</t>
        </is>
      </c>
      <c r="E7" s="65" t="n">
        <v>186</v>
      </c>
      <c r="F7" s="65" t="n">
        <v>499.2394</v>
      </c>
      <c r="G7" s="65" t="n">
        <v>1340</v>
      </c>
      <c r="H7" s="65" t="inlineStr">
        <is>
          <t>triangulated</t>
        </is>
      </c>
      <c r="I7" s="65" t="inlineStr">
        <is>
          <t>plan optimistic</t>
        </is>
      </c>
      <c r="J7" s="65" t="inlineStr">
        <is>
          <t>as gig x 1.1: no payments firm publishes merchant acquisition cost</t>
        </is>
      </c>
      <c r="K7" s="65" t="inlineStr">
        <is>
          <t>TB-18..TB-22, NG-043</t>
        </is>
      </c>
      <c r="L7" s="66" t="n">
        <v>0.09874925422030245</v>
      </c>
    </row>
    <row r="8">
      <c r="A8" s="65" t="inlineStr">
        <is>
          <t>cac_target</t>
        </is>
      </c>
      <c r="B8" s="65" t="inlineStr">
        <is>
          <t>gig</t>
        </is>
      </c>
      <c r="C8" s="65" t="inlineStr">
        <is>
          <t>Cost to win a saver who makes a first debit (Rs)</t>
        </is>
      </c>
      <c r="D8" s="65" t="inlineStr">
        <is>
          <t>lognormal</t>
        </is>
      </c>
      <c r="E8" s="65" t="n">
        <v>168</v>
      </c>
      <c r="F8" s="65" t="n">
        <v>450.12</v>
      </c>
      <c r="G8" s="65" t="n">
        <v>1206</v>
      </c>
      <c r="H8" s="65" t="inlineStr">
        <is>
          <t>triangulated</t>
        </is>
      </c>
      <c r="I8" s="65" t="inlineStr">
        <is>
          <t>plan optimistic</t>
        </is>
      </c>
      <c r="J8" s="65" t="inlineStr">
        <is>
          <t>CAC per activated saver, Rs: Groww Rs 796-1,374 with 83% organic; finance-app CPI Rs 100-300; Jar/Stable Money clear Rs 249 only if half of sign-ups save</t>
        </is>
      </c>
      <c r="K8" s="65" t="inlineStr">
        <is>
          <t>TB-18..TB-22, TB-37, TB-38, BM-04, BM-05</t>
        </is>
      </c>
      <c r="L8" s="66" t="n">
        <v>0.08054528593353141</v>
      </c>
    </row>
    <row r="9">
      <c r="A9" s="65" t="inlineStr">
        <is>
          <t>fail_billed</t>
        </is>
      </c>
      <c r="B9" s="65" t="inlineStr">
        <is>
          <t>all</t>
        </is>
      </c>
      <c r="C9" s="65" t="inlineStr">
        <is>
          <t>Failed debits billed at the flat price? (flat pricing only)</t>
        </is>
      </c>
      <c r="D9" s="65" t="inlineStr">
        <is>
          <t>bernoulli</t>
        </is>
      </c>
      <c r="E9" s="65" t="n">
        <v>0</v>
      </c>
      <c r="F9" s="65" t="n">
        <v>0.5</v>
      </c>
      <c r="G9" s="65" t="n">
        <v>1</v>
      </c>
      <c r="H9" s="65" t="inlineStr">
        <is>
          <t>assumption</t>
        </is>
      </c>
      <c r="I9" s="65" t="inlineStr">
        <is>
          <t>no plan value</t>
        </is>
      </c>
      <c r="J9" s="65" t="inlineStr">
        <is>
          <t>under flat pricing, are failed debits billed at Rs 5.90? No payment company says; 50/50</t>
        </is>
      </c>
      <c r="K9" s="65" t="inlineStr">
        <is>
          <t>TC-05, TC-15</t>
        </is>
      </c>
      <c r="L9" s="66" t="n">
        <v>0.03065019261128776</v>
      </c>
    </row>
    <row r="10">
      <c r="A10" s="65" t="inlineStr">
        <is>
          <t>ret_m12</t>
        </is>
      </c>
      <c r="B10" s="65" t="inlineStr">
        <is>
          <t>ng</t>
        </is>
      </c>
      <c r="C10" s="65" t="inlineStr">
        <is>
          <t>Share of savers still saving at month 12</t>
        </is>
      </c>
      <c r="D10" s="65" t="inlineStr">
        <is>
          <t>beta</t>
        </is>
      </c>
      <c r="E10" s="65" t="n">
        <v>0.1099</v>
      </c>
      <c r="F10" s="65" t="n">
        <v>0.25</v>
      </c>
      <c r="G10" s="65" t="n">
        <v>0.4191</v>
      </c>
      <c r="H10" s="65" t="inlineStr">
        <is>
          <t>triangulated</t>
        </is>
      </c>
      <c r="I10" s="65" t="inlineStr">
        <is>
          <t>plan within evidence</t>
        </is>
      </c>
      <c r="J10" s="65" t="inlineStr">
        <is>
          <t>as gig, without platform churn</t>
        </is>
      </c>
      <c r="K10" s="65" t="inlineStr">
        <is>
          <t>TB-01..TB-08, TB-11, NG-033</t>
        </is>
      </c>
      <c r="L10" s="66" t="n">
        <v>0.02841798817314075</v>
      </c>
    </row>
    <row r="11">
      <c r="A11" s="65" t="inlineStr">
        <is>
          <t>churn_late</t>
        </is>
      </c>
      <c r="B11" s="65" t="inlineStr">
        <is>
          <t>all</t>
        </is>
      </c>
      <c r="C11" s="65" t="inlineStr">
        <is>
          <t>Monthly churn after month 24</t>
        </is>
      </c>
      <c r="D11" s="65" t="inlineStr">
        <is>
          <t>triangular</t>
        </is>
      </c>
      <c r="E11" s="65" t="n">
        <v>0.008</v>
      </c>
      <c r="F11" s="65" t="n">
        <v>0.015</v>
      </c>
      <c r="G11" s="65" t="n">
        <v>0.03</v>
      </c>
      <c r="H11" s="65" t="inlineStr">
        <is>
          <t>triangulated</t>
        </is>
      </c>
      <c r="I11" s="65" t="inlineStr">
        <is>
          <t>plan within evidence</t>
        </is>
      </c>
      <c r="J11" s="65" t="inlineStr">
        <is>
          <t>Acorns ~1-1.3% monthly churn after year one</t>
        </is>
      </c>
      <c r="K11" s="65" t="inlineStr">
        <is>
          <t>TB-11</t>
        </is>
      </c>
      <c r="L11" s="66" t="n">
        <v>0.006049552586002564</v>
      </c>
    </row>
    <row r="12">
      <c r="A12" s="65" t="inlineStr">
        <is>
          <t>ret_m12</t>
        </is>
      </c>
      <c r="B12" s="65" t="inlineStr">
        <is>
          <t>gig</t>
        </is>
      </c>
      <c r="C12" s="65" t="inlineStr">
        <is>
          <t>Share of savers still saving at month 12</t>
        </is>
      </c>
      <c r="D12" s="65" t="inlineStr">
        <is>
          <t>beta</t>
        </is>
      </c>
      <c r="E12" s="65" t="n">
        <v>0.07530000000000001</v>
      </c>
      <c r="F12" s="65" t="n">
        <v>0.2</v>
      </c>
      <c r="G12" s="65" t="n">
        <v>0.3594</v>
      </c>
      <c r="H12" s="65" t="inlineStr">
        <is>
          <t>triangulated</t>
        </is>
      </c>
      <c r="I12" s="65" t="inlineStr">
        <is>
          <t>plan within evidence</t>
        </is>
      </c>
      <c r="J12" s="65" t="inlineStr">
        <is>
          <t>small Indian SIPs ~38% at 12m (ceiling); RCTs 3-45%; Jar actives 4-7% of registered; Zomato rider churn high</t>
        </is>
      </c>
      <c r="K12" s="65" t="inlineStr">
        <is>
          <t>TB-01..TB-08, TB-11, TB-12, TB-16, NG-033</t>
        </is>
      </c>
      <c r="L12" s="66" t="n">
        <v>0.006049552586002564</v>
      </c>
    </row>
    <row r="13">
      <c r="A13" s="65" t="inlineStr">
        <is>
          <t>cost_support</t>
        </is>
      </c>
      <c r="B13" s="65" t="inlineStr">
        <is>
          <t>all</t>
        </is>
      </c>
      <c r="C13" s="65" t="inlineStr">
        <is>
          <t>Support cost</t>
        </is>
      </c>
      <c r="D13" s="65" t="inlineStr">
        <is>
          <t>lognormal</t>
        </is>
      </c>
      <c r="E13" s="65" t="n">
        <v>2.4</v>
      </c>
      <c r="F13" s="65" t="n">
        <v>6</v>
      </c>
      <c r="G13" s="65" t="n">
        <v>15</v>
      </c>
      <c r="H13" s="65" t="inlineStr">
        <is>
          <t>triangulated</t>
        </is>
      </c>
      <c r="I13" s="65" t="inlineStr">
        <is>
          <t>plan leans optimistic</t>
        </is>
      </c>
      <c r="J13" s="65" t="inlineStr">
        <is>
          <t>a support contact costs Rs 50-150; Groww non-tech opex Rs 32 per active user (upper bound); no direct data</t>
        </is>
      </c>
      <c r="K13" s="65" t="inlineStr">
        <is>
          <t>TC-37, TC-38</t>
        </is>
      </c>
      <c r="L13" s="66" t="n">
        <v>0.003239745134515337</v>
      </c>
    </row>
    <row r="14">
      <c r="A14" s="65" t="inlineStr">
        <is>
          <t>ret_m24_ratio</t>
        </is>
      </c>
      <c r="B14" s="65" t="inlineStr">
        <is>
          <t>all</t>
        </is>
      </c>
      <c r="C14" s="65" t="inlineStr">
        <is>
          <t>Month-24 retention as a share of month-12</t>
        </is>
      </c>
      <c r="D14" s="65" t="inlineStr">
        <is>
          <t>triangular</t>
        </is>
      </c>
      <c r="E14" s="65" t="n">
        <v>0.4</v>
      </c>
      <c r="F14" s="65" t="n">
        <v>0.6</v>
      </c>
      <c r="G14" s="65" t="n">
        <v>0.8</v>
      </c>
      <c r="H14" s="65" t="inlineStr">
        <is>
          <t>triangulated</t>
        </is>
      </c>
      <c r="I14" s="65" t="inlineStr">
        <is>
          <t>plan cautious</t>
        </is>
      </c>
      <c r="J14" s="65" t="inlineStr">
        <is>
          <t>month 24 as a share of month 12: churn flattens after year one (Acorns, SIP vintages, PMJJBY)</t>
        </is>
      </c>
      <c r="K14" s="65" t="inlineStr">
        <is>
          <t>TB-01, TB-02, TB-11, TB-23</t>
        </is>
      </c>
      <c r="L14" s="66" t="n">
        <v>0.00189703331790723</v>
      </c>
    </row>
    <row r="15">
      <c r="A15" s="65" t="inlineStr">
        <is>
          <t>pay_pct</t>
        </is>
      </c>
      <c r="B15" s="65" t="inlineStr">
        <is>
          <t>all</t>
        </is>
      </c>
      <c r="C15" s="65" t="inlineStr">
        <is>
          <t>Payment fee as a share of each debit (percentage pricing)</t>
        </is>
      </c>
      <c r="D15" s="65" t="inlineStr">
        <is>
          <t>triangular</t>
        </is>
      </c>
      <c r="E15" s="65" t="n">
        <v>0.015</v>
      </c>
      <c r="F15" s="65" t="n">
        <v>0.02</v>
      </c>
      <c r="G15" s="65" t="n">
        <v>0.034</v>
      </c>
      <c r="H15" s="65" t="inlineStr">
        <is>
          <t>triangulated</t>
        </is>
      </c>
      <c r="I15" s="65" t="inlineStr">
        <is>
          <t>no plan value</t>
        </is>
      </c>
      <c r="J15" s="65" t="inlineStr">
        <is>
          <t>percentage pricing: share of each debit, incl. GST</t>
        </is>
      </c>
      <c r="K15" s="65" t="inlineStr">
        <is>
          <t>TC-15, TC-16, TC-17</t>
        </is>
      </c>
      <c r="L15" s="66" t="n">
        <v>0.00121279508250422</v>
      </c>
    </row>
    <row r="16">
      <c r="A16" s="65" t="inlineStr">
        <is>
          <t>debits_success</t>
        </is>
      </c>
      <c r="B16" s="65" t="inlineStr">
        <is>
          <t>ng</t>
        </is>
      </c>
      <c r="C16" s="65" t="inlineStr">
        <is>
          <t>Successful debits per month</t>
        </is>
      </c>
      <c r="D16" s="65" t="inlineStr">
        <is>
          <t>triangular</t>
        </is>
      </c>
      <c r="E16" s="65" t="n">
        <v>12</v>
      </c>
      <c r="F16" s="65" t="n">
        <v>19</v>
      </c>
      <c r="G16" s="65" t="n">
        <v>25</v>
      </c>
      <c r="H16" s="65" t="inlineStr">
        <is>
          <t>triangulated</t>
        </is>
      </c>
      <c r="I16" s="65" t="inlineStr">
        <is>
          <t>plan optimistic</t>
        </is>
      </c>
      <c r="J16" s="65" t="inlineStr">
        <is>
          <t>as gig; daily UPI receipts help</t>
        </is>
      </c>
      <c r="K16" s="65" t="inlineStr">
        <is>
          <t>TB-13, TB-36, TC-05</t>
        </is>
      </c>
      <c r="L16" s="66" t="n">
        <v>0.0007496031237980539</v>
      </c>
    </row>
    <row r="17">
      <c r="A17" s="65" t="inlineStr">
        <is>
          <t>cost_tech</t>
        </is>
      </c>
      <c r="B17" s="65" t="inlineStr">
        <is>
          <t>all</t>
        </is>
      </c>
      <c r="C17" s="65" t="inlineStr">
        <is>
          <t>Tech and cloud cost</t>
        </is>
      </c>
      <c r="D17" s="65" t="inlineStr">
        <is>
          <t>triangular</t>
        </is>
      </c>
      <c r="E17" s="65" t="n">
        <v>2</v>
      </c>
      <c r="F17" s="65" t="n">
        <v>4</v>
      </c>
      <c r="G17" s="65" t="n">
        <v>10</v>
      </c>
      <c r="H17" s="65" t="inlineStr">
        <is>
          <t>triangulated</t>
        </is>
      </c>
      <c r="I17" s="65" t="inlineStr">
        <is>
          <t>plan leans optimistic</t>
        </is>
      </c>
      <c r="J17" s="65" t="inlineStr">
        <is>
          <t>Jar cloud Rs 0.6-0.8 per registered user; Groww Rs 28.6 tech + transaction per active user</t>
        </is>
      </c>
      <c r="K17" s="65" t="inlineStr">
        <is>
          <t>TC-20, TC-36</t>
        </is>
      </c>
      <c r="L17" s="66" t="n">
        <v>0.0006968443636832051</v>
      </c>
    </row>
    <row r="18">
      <c r="A18" s="65" t="inlineStr">
        <is>
          <t>debits_success</t>
        </is>
      </c>
      <c r="B18" s="65" t="inlineStr">
        <is>
          <t>gig</t>
        </is>
      </c>
      <c r="C18" s="65" t="inlineStr">
        <is>
          <t>Successful debits per month</t>
        </is>
      </c>
      <c r="D18" s="65" t="inlineStr">
        <is>
          <t>triangular</t>
        </is>
      </c>
      <c r="E18" s="65" t="n">
        <v>10</v>
      </c>
      <c r="F18" s="65" t="n">
        <v>17</v>
      </c>
      <c r="G18" s="65" t="n">
        <v>24</v>
      </c>
      <c r="H18" s="65" t="inlineStr">
        <is>
          <t>triangulated</t>
        </is>
      </c>
      <c r="I18" s="65" t="inlineStr">
        <is>
          <t>plan optimistic</t>
        </is>
      </c>
      <c r="J18" s="65" t="inlineStr">
        <is>
          <t>NACH ~69% success by count (salaried EMIs); UPI Autopay 55-90% of attempts failed at major banks, mostly low balance</t>
        </is>
      </c>
      <c r="K18" s="65" t="inlineStr">
        <is>
          <t>TB-13, TB-36, TC-05, LEV-040</t>
        </is>
      </c>
      <c r="L18" s="66" t="n">
        <v>0.0006898600368313764</v>
      </c>
    </row>
    <row r="19">
      <c r="A19" s="65" t="inlineStr">
        <is>
          <t>gold_margin</t>
        </is>
      </c>
      <c r="B19" s="65" t="inlineStr">
        <is>
          <t>all</t>
        </is>
      </c>
      <c r="C19" s="65" t="inlineStr">
        <is>
          <t>Our margin on gold bought</t>
        </is>
      </c>
      <c r="D19" s="65" t="inlineStr">
        <is>
          <t>triangular</t>
        </is>
      </c>
      <c r="E19" s="65" t="n">
        <v>0.005</v>
      </c>
      <c r="F19" s="65" t="n">
        <v>0.0125</v>
      </c>
      <c r="G19" s="65" t="n">
        <v>0.024</v>
      </c>
      <c r="H19" s="65" t="inlineStr">
        <is>
          <t>triangulated</t>
        </is>
      </c>
      <c r="I19" s="65" t="inlineStr">
        <is>
          <t>plan leans optimistic</t>
        </is>
      </c>
      <c r="J19" s="65" t="inlineStr">
        <is>
          <t>only figure is Jar's ~2.4% (case study); a newcomer gets less of a 2-3% spread</t>
        </is>
      </c>
      <c r="K19" s="65" t="inlineStr">
        <is>
          <t>TC-13, TC-18, TC-19, LEV-036</t>
        </is>
      </c>
      <c r="L19" s="66" t="n">
        <v>0.0005929262139787685</v>
      </c>
    </row>
    <row r="20">
      <c r="A20" s="65" t="inlineStr">
        <is>
          <t>daily_amount</t>
        </is>
      </c>
      <c r="B20" s="65" t="inlineStr">
        <is>
          <t>ng</t>
        </is>
      </c>
      <c r="C20" s="65" t="inlineStr">
        <is>
          <t>Amount per successful debit</t>
        </is>
      </c>
      <c r="D20" s="65" t="inlineStr">
        <is>
          <t>lognormal</t>
        </is>
      </c>
      <c r="E20" s="65" t="n">
        <v>25</v>
      </c>
      <c r="F20" s="65" t="n">
        <v>52.4404</v>
      </c>
      <c r="G20" s="65" t="n">
        <v>110</v>
      </c>
      <c r="H20" s="65" t="inlineStr">
        <is>
          <t>triangulated</t>
        </is>
      </c>
      <c r="I20" s="65" t="inlineStr">
        <is>
          <t>plan within evidence</t>
        </is>
      </c>
      <c r="J20" s="65" t="inlineStr">
        <is>
          <t>Bachatt Rs 51-200 is a product minimum, not behaviour; vendors save more</t>
        </is>
      </c>
      <c r="K20" s="65" t="inlineStr">
        <is>
          <t>TB-40, BAC-05, NG-031</t>
        </is>
      </c>
      <c r="L20" s="66" t="n">
        <v>0.0005790279489425851</v>
      </c>
    </row>
    <row r="21">
      <c r="A21" s="65" t="inlineStr">
        <is>
          <t>cost_notice</t>
        </is>
      </c>
      <c r="B21" s="65" t="inlineStr">
        <is>
          <t>all</t>
        </is>
      </c>
      <c r="C21" s="65" t="inlineStr">
        <is>
          <t>Cost per pre-debit notice</t>
        </is>
      </c>
      <c r="D21" s="65" t="inlineStr">
        <is>
          <t>uniform</t>
        </is>
      </c>
      <c r="E21" s="65" t="n">
        <v>0</v>
      </c>
      <c r="F21" s="65" t="n">
        <v>0.075</v>
      </c>
      <c r="G21" s="65" t="n">
        <v>0.15</v>
      </c>
      <c r="H21" s="65" t="inlineStr">
        <is>
          <t>triangulated</t>
        </is>
      </c>
      <c r="I21" s="65" t="inlineStr">
        <is>
          <t>plan optimistic</t>
        </is>
      </c>
      <c r="J21" s="65" t="inlineStr">
        <is>
          <t>pre-debit notice triggered through the payment company; whether billed is unknown</t>
        </is>
      </c>
      <c r="K21" s="65" t="inlineStr">
        <is>
          <t>TC-03, REG-048</t>
        </is>
      </c>
      <c r="L21" s="66" t="n">
        <v>0.0003258759582283724</v>
      </c>
    </row>
    <row r="22">
      <c r="A22" s="67" t="inlineStr">
        <is>
          <t>withdraw_rate</t>
        </is>
      </c>
      <c r="B22" s="67" t="inlineStr">
        <is>
          <t>all</t>
        </is>
      </c>
      <c r="C22" s="67" t="inlineStr">
        <is>
          <t>Share of balance withdrawn per month by active savers</t>
        </is>
      </c>
      <c r="D22" s="67" t="inlineStr">
        <is>
          <t>triangular</t>
        </is>
      </c>
      <c r="E22" s="67" t="n">
        <v>0.015</v>
      </c>
      <c r="F22" s="67" t="n">
        <v>0.1</v>
      </c>
      <c r="G22" s="67" t="n">
        <v>0.195</v>
      </c>
      <c r="H22" s="67" t="inlineStr">
        <is>
          <t>provisional</t>
        </is>
      </c>
      <c r="I22" s="67" t="inlineStr">
        <is>
          <t>plan within evidence</t>
        </is>
      </c>
      <c r="J22" s="67" t="inlineStr">
        <is>
          <t>bear/base/bull widened by half a range each side</t>
        </is>
      </c>
      <c r="K22" s="67" t="inlineStr"/>
      <c r="L22" s="68" t="n">
        <v>0.000149057881185803</v>
      </c>
    </row>
    <row r="23">
      <c r="A23" s="65" t="inlineStr">
        <is>
          <t>cost_fraud</t>
        </is>
      </c>
      <c r="B23" s="65" t="inlineStr">
        <is>
          <t>all</t>
        </is>
      </c>
      <c r="C23" s="65" t="inlineStr">
        <is>
          <t>Fraud and chargeback loss</t>
        </is>
      </c>
      <c r="D23" s="65" t="inlineStr">
        <is>
          <t>triangular</t>
        </is>
      </c>
      <c r="E23" s="65" t="n">
        <v>0.0002</v>
      </c>
      <c r="F23" s="65" t="n">
        <v>0.0005</v>
      </c>
      <c r="G23" s="65" t="n">
        <v>0.002</v>
      </c>
      <c r="H23" s="65" t="inlineStr">
        <is>
          <t>triangulated</t>
        </is>
      </c>
      <c r="I23" s="65" t="inlineStr">
        <is>
          <t>plan within evidence</t>
        </is>
      </c>
      <c r="J23" s="65" t="inlineStr">
        <is>
          <t>98.5% of fraud value is in payments over Rs 10,000; system ~0.01% of value</t>
        </is>
      </c>
      <c r="K23" s="65" t="inlineStr">
        <is>
          <t>TC-40</t>
        </is>
      </c>
      <c r="L23" s="66" t="n">
        <v>0.0001360130688236508</v>
      </c>
    </row>
    <row r="24">
      <c r="A24" s="65" t="inlineStr">
        <is>
          <t>daily_amount</t>
        </is>
      </c>
      <c r="B24" s="65" t="inlineStr">
        <is>
          <t>gig</t>
        </is>
      </c>
      <c r="C24" s="65" t="inlineStr">
        <is>
          <t>Amount per successful debit</t>
        </is>
      </c>
      <c r="D24" s="65" t="inlineStr">
        <is>
          <t>lognormal</t>
        </is>
      </c>
      <c r="E24" s="65" t="n">
        <v>20</v>
      </c>
      <c r="F24" s="65" t="n">
        <v>36.0555</v>
      </c>
      <c r="G24" s="65" t="n">
        <v>65</v>
      </c>
      <c r="H24" s="65" t="inlineStr">
        <is>
          <t>triangulated</t>
        </is>
      </c>
      <c r="I24" s="65" t="inlineStr">
        <is>
          <t>plan leans optimistic</t>
        </is>
      </c>
      <c r="J24" s="65" t="inlineStr">
        <is>
          <t>Jar average purchase ~Rs 64 incl. lump sums; Gullak ~Rs 580 a month; most riders have no buffer</t>
        </is>
      </c>
      <c r="K24" s="65" t="inlineStr">
        <is>
          <t>TB-15, TB-17, TB-40</t>
        </is>
      </c>
      <c r="L24" s="66" t="n">
        <v>0.0001267315555721611</v>
      </c>
    </row>
    <row r="25">
      <c r="A25" s="67" t="inlineStr">
        <is>
          <t>card_fee</t>
        </is>
      </c>
      <c r="B25" s="67" t="inlineStr">
        <is>
          <t>all</t>
        </is>
      </c>
      <c r="C25" s="67" t="inlineStr">
        <is>
          <t>Fee per FD-secured card issued</t>
        </is>
      </c>
      <c r="D25" s="67" t="inlineStr">
        <is>
          <t>triangular</t>
        </is>
      </c>
      <c r="E25" s="67" t="n">
        <v>0</v>
      </c>
      <c r="F25" s="67" t="n">
        <v>500</v>
      </c>
      <c r="G25" s="67" t="n">
        <v>1400</v>
      </c>
      <c r="H25" s="67" t="inlineStr">
        <is>
          <t>provisional</t>
        </is>
      </c>
      <c r="I25" s="67" t="inlineStr">
        <is>
          <t>plan within evidence</t>
        </is>
      </c>
      <c r="J25" s="67" t="inlineStr">
        <is>
          <t>bear/base/bull widened by half a range each side</t>
        </is>
      </c>
      <c r="K25" s="67" t="inlineStr">
        <is>
          <t>BM-08</t>
        </is>
      </c>
      <c r="L25" s="68" t="n">
        <v>0.0001205388291523342</v>
      </c>
    </row>
    <row r="26">
      <c r="A26" s="67" t="inlineStr">
        <is>
          <t>card_eligible</t>
        </is>
      </c>
      <c r="B26" s="67" t="inlineStr">
        <is>
          <t>all</t>
        </is>
      </c>
      <c r="C26" s="67" t="inlineStr">
        <is>
          <t>Share of active savers eligible (enough in FD)</t>
        </is>
      </c>
      <c r="D26" s="67" t="inlineStr">
        <is>
          <t>triangular</t>
        </is>
      </c>
      <c r="E26" s="67" t="n">
        <v>0.125</v>
      </c>
      <c r="F26" s="67" t="n">
        <v>0.4</v>
      </c>
      <c r="G26" s="67" t="n">
        <v>0.625</v>
      </c>
      <c r="H26" s="67" t="inlineStr">
        <is>
          <t>provisional</t>
        </is>
      </c>
      <c r="I26" s="67" t="inlineStr">
        <is>
          <t>plan within evidence</t>
        </is>
      </c>
      <c r="J26" s="67" t="inlineStr">
        <is>
          <t>bear/base/bull widened by half a range each side</t>
        </is>
      </c>
      <c r="K26" s="67" t="inlineStr"/>
      <c r="L26" s="68" t="n">
        <v>9.885074098943713e-05</v>
      </c>
    </row>
    <row r="27">
      <c r="A27" s="67" t="inlineStr">
        <is>
          <t>cost_rewards</t>
        </is>
      </c>
      <c r="B27" s="67" t="inlineStr">
        <is>
          <t>all</t>
        </is>
      </c>
      <c r="C27" s="67" t="inlineStr">
        <is>
          <t>Ongoing streak rewards</t>
        </is>
      </c>
      <c r="D27" s="67" t="inlineStr">
        <is>
          <t>triangular</t>
        </is>
      </c>
      <c r="E27" s="67" t="n">
        <v>0</v>
      </c>
      <c r="F27" s="67" t="n">
        <v>0</v>
      </c>
      <c r="G27" s="67" t="n">
        <v>4.5</v>
      </c>
      <c r="H27" s="67" t="inlineStr">
        <is>
          <t>provisional</t>
        </is>
      </c>
      <c r="I27" s="67" t="inlineStr">
        <is>
          <t>plan optimistic</t>
        </is>
      </c>
      <c r="J27" s="67" t="inlineStr">
        <is>
          <t>bear/base/bull widened by half a range each side</t>
        </is>
      </c>
      <c r="K27" s="67" t="inlineStr">
        <is>
          <t>REG-082, REG-083</t>
        </is>
      </c>
      <c r="L27" s="68" t="n">
        <v>8.335713562590038e-05</v>
      </c>
    </row>
    <row r="28">
      <c r="A28" s="65" t="inlineStr">
        <is>
          <t>card_uptake</t>
        </is>
      </c>
      <c r="B28" s="65" t="inlineStr">
        <is>
          <t>all</t>
        </is>
      </c>
      <c r="C28" s="65" t="inlineStr">
        <is>
          <t>Monthly take-up among eligible savers without a card</t>
        </is>
      </c>
      <c r="D28" s="65" t="inlineStr">
        <is>
          <t>uniform</t>
        </is>
      </c>
      <c r="E28" s="65" t="n">
        <v>0.005</v>
      </c>
      <c r="F28" s="65" t="n">
        <v>0.0175</v>
      </c>
      <c r="G28" s="65" t="n">
        <v>0.03</v>
      </c>
      <c r="H28" s="65" t="inlineStr">
        <is>
          <t>unevidenced</t>
        </is>
      </c>
      <c r="I28" s="65" t="inlineStr">
        <is>
          <t>plan optimistic</t>
        </is>
      </c>
      <c r="J28" s="65" t="inlineStr">
        <is>
          <t>no data on FD-secured card take-up: unevidenced</t>
        </is>
      </c>
      <c r="K28" s="65" t="inlineStr">
        <is>
          <t>TB-35, BM-08</t>
        </is>
      </c>
      <c r="L28" s="66" t="n">
        <v>8.154432701228408e-05</v>
      </c>
    </row>
    <row r="29">
      <c r="A29" s="67" t="inlineStr">
        <is>
          <t>card_churn</t>
        </is>
      </c>
      <c r="B29" s="67" t="inlineStr">
        <is>
          <t>all</t>
        </is>
      </c>
      <c r="C29" s="67" t="inlineStr">
        <is>
          <t>Monthly share of card holders who stop</t>
        </is>
      </c>
      <c r="D29" s="67" t="inlineStr">
        <is>
          <t>triangular</t>
        </is>
      </c>
      <c r="E29" s="67" t="n">
        <v>0.0025</v>
      </c>
      <c r="F29" s="67" t="n">
        <v>0.025</v>
      </c>
      <c r="G29" s="67" t="n">
        <v>0.0525</v>
      </c>
      <c r="H29" s="67" t="inlineStr">
        <is>
          <t>provisional</t>
        </is>
      </c>
      <c r="I29" s="67" t="inlineStr">
        <is>
          <t>plan within evidence</t>
        </is>
      </c>
      <c r="J29" s="67" t="inlineStr">
        <is>
          <t>bear/base/bull widened by half a range each side</t>
        </is>
      </c>
      <c r="K29" s="67" t="inlineStr"/>
      <c r="L29" s="68" t="n">
        <v>3.99536318392627e-05</v>
      </c>
    </row>
    <row r="30">
      <c r="A30" s="65" t="inlineStr">
        <is>
          <t>loan_apply</t>
        </is>
      </c>
      <c r="B30" s="65" t="inlineStr">
        <is>
          <t>all</t>
        </is>
      </c>
      <c r="C30" s="65" t="inlineStr">
        <is>
          <t>Monthly application rate among eligible never-borrowed savers</t>
        </is>
      </c>
      <c r="D30" s="65" t="inlineStr">
        <is>
          <t>triangular</t>
        </is>
      </c>
      <c r="E30" s="65" t="n">
        <v>0.005</v>
      </c>
      <c r="F30" s="65" t="n">
        <v>0.015</v>
      </c>
      <c r="G30" s="65" t="n">
        <v>0.04</v>
      </c>
      <c r="H30" s="65" t="inlineStr">
        <is>
          <t>triangulated</t>
        </is>
      </c>
      <c r="I30" s="65" t="inlineStr">
        <is>
          <t>plan optimistic</t>
        </is>
      </c>
      <c r="J30" s="65" t="inlineStr">
        <is>
          <t>Paytm ~0.9% of users take any product a quarter; Moneyview 8%, GCash 11% ever borrowed; secured-on-own-savings demand weak</t>
        </is>
      </c>
      <c r="K30" s="65" t="inlineStr">
        <is>
          <t>TB-08, TB-31, TB-33, TB-44, LEND-04</t>
        </is>
      </c>
      <c r="L30" s="66" t="n">
        <v>3.857412473536232e-05</v>
      </c>
    </row>
    <row r="31">
      <c r="A31" s="65" t="inlineStr">
        <is>
          <t>loan_repeat</t>
        </is>
      </c>
      <c r="B31" s="65" t="inlineStr">
        <is>
          <t>all</t>
        </is>
      </c>
      <c r="C31" s="65" t="inlineStr">
        <is>
          <t>Share of repaid loans followed by another loan</t>
        </is>
      </c>
      <c r="D31" s="65" t="inlineStr">
        <is>
          <t>triangular</t>
        </is>
      </c>
      <c r="E31" s="65" t="n">
        <v>0.3</v>
      </c>
      <c r="F31" s="65" t="n">
        <v>0.5</v>
      </c>
      <c r="G31" s="65" t="n">
        <v>0.65</v>
      </c>
      <c r="H31" s="65" t="inlineStr">
        <is>
          <t>triangulated</t>
        </is>
      </c>
      <c r="I31" s="65" t="inlineStr">
        <is>
          <t>plan within evidence</t>
        </is>
      </c>
      <c r="J31" s="65" t="inlineStr">
        <is>
          <t>repeat share &gt;50% (Paytm merchant), ~73% (Kissht), 68% PM SVANidhi second loan</t>
        </is>
      </c>
      <c r="K31" s="65" t="inlineStr">
        <is>
          <t>TB-31, TB-43, NG-014</t>
        </is>
      </c>
      <c r="L31" s="66" t="n">
        <v>3.629908964934181e-05</v>
      </c>
    </row>
    <row r="32">
      <c r="A32" s="65" t="inlineStr">
        <is>
          <t>ins_comm_renew</t>
        </is>
      </c>
      <c r="B32" s="65" t="inlineStr">
        <is>
          <t>all</t>
        </is>
      </c>
      <c r="C32" s="65" t="inlineStr">
        <is>
          <t>Renewal commission</t>
        </is>
      </c>
      <c r="D32" s="65" t="inlineStr">
        <is>
          <t>triangular</t>
        </is>
      </c>
      <c r="E32" s="65" t="n">
        <v>0.025</v>
      </c>
      <c r="F32" s="65" t="n">
        <v>0.04</v>
      </c>
      <c r="G32" s="65" t="n">
        <v>0.05</v>
      </c>
      <c r="H32" s="65" t="inlineStr">
        <is>
          <t>triangulated</t>
        </is>
      </c>
      <c r="I32" s="65" t="inlineStr">
        <is>
          <t>plan optimistic</t>
        </is>
      </c>
      <c r="J32" s="65" t="inlineStr">
        <is>
          <t>draft cap 5%; 2.5% if sold with a loan</t>
        </is>
      </c>
      <c r="K32" s="65" t="inlineStr">
        <is>
          <t>TC-30</t>
        </is>
      </c>
      <c r="L32" s="66" t="n">
        <v>3.595164412889687e-05</v>
      </c>
    </row>
    <row r="33">
      <c r="A33" s="67" t="inlineStr">
        <is>
          <t>sip_uptake</t>
        </is>
      </c>
      <c r="B33" s="67" t="inlineStr">
        <is>
          <t>all</t>
        </is>
      </c>
      <c r="C33" s="67" t="inlineStr">
        <is>
          <t>Monthly take-up among savers without a SIP</t>
        </is>
      </c>
      <c r="D33" s="67" t="inlineStr">
        <is>
          <t>triangular</t>
        </is>
      </c>
      <c r="E33" s="67" t="n">
        <v>0</v>
      </c>
      <c r="F33" s="67" t="n">
        <v>0.01</v>
      </c>
      <c r="G33" s="67" t="n">
        <v>0.0275</v>
      </c>
      <c r="H33" s="67" t="inlineStr">
        <is>
          <t>provisional</t>
        </is>
      </c>
      <c r="I33" s="67" t="inlineStr">
        <is>
          <t>plan within evidence</t>
        </is>
      </c>
      <c r="J33" s="67" t="inlineStr">
        <is>
          <t>bear/base/bull widened by half a range each side</t>
        </is>
      </c>
      <c r="K33" s="67" t="inlineStr"/>
      <c r="L33" s="68" t="n">
        <v>3.580193494351598e-05</v>
      </c>
    </row>
    <row r="34">
      <c r="A34" s="67" t="inlineStr">
        <is>
          <t>ins_eligible</t>
        </is>
      </c>
      <c r="B34" s="67" t="inlineStr">
        <is>
          <t>all</t>
        </is>
      </c>
      <c r="C34" s="67" t="inlineStr">
        <is>
          <t>Share of active savers who could buy</t>
        </is>
      </c>
      <c r="D34" s="67" t="inlineStr">
        <is>
          <t>triangular</t>
        </is>
      </c>
      <c r="E34" s="67" t="n">
        <v>0.7</v>
      </c>
      <c r="F34" s="67" t="n">
        <v>0.9</v>
      </c>
      <c r="G34" s="67" t="n">
        <v>1</v>
      </c>
      <c r="H34" s="67" t="inlineStr">
        <is>
          <t>provisional</t>
        </is>
      </c>
      <c r="I34" s="67" t="inlineStr">
        <is>
          <t>plan leans optimistic</t>
        </is>
      </c>
      <c r="J34" s="67" t="inlineStr">
        <is>
          <t>bear/base/bull widened by half a range each side</t>
        </is>
      </c>
      <c r="K34" s="67" t="inlineStr"/>
      <c r="L34" s="68" t="n">
        <v>2.859172352523048e-05</v>
      </c>
    </row>
    <row r="35">
      <c r="A35" s="65" t="inlineStr">
        <is>
          <t>dlg_fee_uplift</t>
        </is>
      </c>
      <c r="B35" s="65" t="inlineStr">
        <is>
          <t>all</t>
        </is>
      </c>
      <c r="C35" s="65" t="inlineStr">
        <is>
          <t>Extra fee a lender pays when we give a guarantee</t>
        </is>
      </c>
      <c r="D35" s="65" t="inlineStr">
        <is>
          <t>triangular</t>
        </is>
      </c>
      <c r="E35" s="65" t="n">
        <v>0.025</v>
      </c>
      <c r="F35" s="65" t="n">
        <v>0.045</v>
      </c>
      <c r="G35" s="65" t="n">
        <v>0.07000000000000001</v>
      </c>
      <c r="H35" s="65" t="inlineStr">
        <is>
          <t>triangulated</t>
        </is>
      </c>
      <c r="I35" s="65" t="inlineStr">
        <is>
          <t>plan leans optimistic</t>
        </is>
      </c>
      <c r="J35" s="65" t="inlineStr">
        <is>
          <t>uplift prices ~3% losses (Moneyview's cover paid 2.9-3.4%); low losses invite a lower uplift</t>
        </is>
      </c>
      <c r="K35" s="65" t="inlineStr">
        <is>
          <t>TC-41</t>
        </is>
      </c>
      <c r="L35" s="66" t="n">
        <v>2.82333969715268e-05</v>
      </c>
    </row>
    <row r="36">
      <c r="A36" s="67" t="inlineStr">
        <is>
          <t>loan_ead</t>
        </is>
      </c>
      <c r="B36" s="67" t="inlineStr">
        <is>
          <t>all</t>
        </is>
      </c>
      <c r="C36" s="67" t="inlineStr">
        <is>
          <t>Share of the loan still owed when it goes 90+ late</t>
        </is>
      </c>
      <c r="D36" s="67" t="inlineStr">
        <is>
          <t>triangular</t>
        </is>
      </c>
      <c r="E36" s="67" t="n">
        <v>0.6</v>
      </c>
      <c r="F36" s="67" t="n">
        <v>0.8</v>
      </c>
      <c r="G36" s="67" t="n">
        <v>1</v>
      </c>
      <c r="H36" s="67" t="inlineStr">
        <is>
          <t>provisional</t>
        </is>
      </c>
      <c r="I36" s="67" t="inlineStr">
        <is>
          <t>plan within evidence</t>
        </is>
      </c>
      <c r="J36" s="67" t="inlineStr">
        <is>
          <t>bear/base/bull widened by half a range each side</t>
        </is>
      </c>
      <c r="K36" s="67" t="inlineStr"/>
      <c r="L36" s="68" t="n">
        <v>2.52574075635181e-05</v>
      </c>
    </row>
    <row r="37">
      <c r="A37" s="65" t="inlineStr">
        <is>
          <t>ins_uptake</t>
        </is>
      </c>
      <c r="B37" s="65" t="inlineStr">
        <is>
          <t>ng</t>
        </is>
      </c>
      <c r="C37" s="65" t="inlineStr">
        <is>
          <t>Monthly take-up among savers never insured</t>
        </is>
      </c>
      <c r="D37" s="65" t="inlineStr">
        <is>
          <t>triangular</t>
        </is>
      </c>
      <c r="E37" s="65" t="n">
        <v>0.002</v>
      </c>
      <c r="F37" s="65" t="n">
        <v>0.012</v>
      </c>
      <c r="G37" s="65" t="n">
        <v>0.025</v>
      </c>
      <c r="H37" s="65" t="inlineStr">
        <is>
          <t>triangulated</t>
        </is>
      </c>
      <c r="I37" s="65" t="inlineStr">
        <is>
          <t>plan optimistic</t>
        </is>
      </c>
      <c r="J37" s="65" t="inlineStr">
        <is>
          <t>as gig, but no platform cover</t>
        </is>
      </c>
      <c r="K37" s="65" t="inlineStr">
        <is>
          <t>TB-25, TB-26, TB-31, TB-41</t>
        </is>
      </c>
      <c r="L37" s="66" t="n">
        <v>2.301769558903653e-05</v>
      </c>
    </row>
    <row r="38">
      <c r="A38" s="67" t="inlineStr">
        <is>
          <t>amount_growth</t>
        </is>
      </c>
      <c r="B38" s="67" t="inlineStr">
        <is>
          <t>all</t>
        </is>
      </c>
      <c r="C38" s="67" t="inlineStr">
        <is>
          <t>Yearly growth in amount per debit</t>
        </is>
      </c>
      <c r="D38" s="67" t="inlineStr">
        <is>
          <t>triangular</t>
        </is>
      </c>
      <c r="E38" s="67" t="n">
        <v>0</v>
      </c>
      <c r="F38" s="67" t="n">
        <v>0.1</v>
      </c>
      <c r="G38" s="67" t="n">
        <v>0.2</v>
      </c>
      <c r="H38" s="67" t="inlineStr">
        <is>
          <t>provisional</t>
        </is>
      </c>
      <c r="I38" s="67" t="inlineStr">
        <is>
          <t>plan within evidence</t>
        </is>
      </c>
      <c r="J38" s="67" t="inlineStr">
        <is>
          <t>bear/base/bull widened by half a range each side</t>
        </is>
      </c>
      <c r="K38" s="67" t="inlineStr"/>
      <c r="L38" s="68" t="n">
        <v>2.188428324420498e-05</v>
      </c>
    </row>
    <row r="39">
      <c r="A39" s="67" t="inlineStr">
        <is>
          <t>card_ops_cost</t>
        </is>
      </c>
      <c r="B39" s="67" t="inlineStr">
        <is>
          <t>all</t>
        </is>
      </c>
      <c r="C39" s="67" t="inlineStr">
        <is>
          <t>Our cost per card issued</t>
        </is>
      </c>
      <c r="D39" s="67" t="inlineStr">
        <is>
          <t>triangular</t>
        </is>
      </c>
      <c r="E39" s="67" t="n">
        <v>37.5</v>
      </c>
      <c r="F39" s="67" t="n">
        <v>100</v>
      </c>
      <c r="G39" s="67" t="n">
        <v>187.5</v>
      </c>
      <c r="H39" s="67" t="inlineStr">
        <is>
          <t>provisional</t>
        </is>
      </c>
      <c r="I39" s="67" t="inlineStr">
        <is>
          <t>plan within evidence</t>
        </is>
      </c>
      <c r="J39" s="67" t="inlineStr">
        <is>
          <t>bear/base/bull widened by half a range each side</t>
        </is>
      </c>
      <c r="K39" s="67" t="inlineStr"/>
      <c r="L39" s="68" t="n">
        <v>1.995053533899502e-05</v>
      </c>
    </row>
    <row r="40">
      <c r="A40" s="65" t="inlineStr">
        <is>
          <t>ins_premium</t>
        </is>
      </c>
      <c r="B40" s="65" t="inlineStr">
        <is>
          <t>all</t>
        </is>
      </c>
      <c r="C40" s="65" t="inlineStr">
        <is>
          <t>Annual premium per policy</t>
        </is>
      </c>
      <c r="D40" s="65" t="inlineStr">
        <is>
          <t>triangular</t>
        </is>
      </c>
      <c r="E40" s="65" t="n">
        <v>300</v>
      </c>
      <c r="F40" s="65" t="n">
        <v>800</v>
      </c>
      <c r="G40" s="65" t="n">
        <v>1500</v>
      </c>
      <c r="H40" s="65" t="inlineStr">
        <is>
          <t>triangulated</t>
        </is>
      </c>
      <c r="I40" s="65" t="inlineStr">
        <is>
          <t>plan optimistic</t>
        </is>
      </c>
      <c r="J40" s="65" t="inlineStr">
        <is>
          <t>what this group buys: accident cover Rs 50-100, hospital cash from ~Rs 799, the IRDAI Bima Vistaar bundle Rs 1,500 (the top); riders already get ~Rs 2,100 of free cover (updated 2 Oct 2026 from Rs 500/1,500/3,500)</t>
        </is>
      </c>
      <c r="K40" s="65" t="inlineStr">
        <is>
          <t>TC-26, TC-27, TC-28, XO-30, XO-34, XO-35</t>
        </is>
      </c>
      <c r="L40" s="66" t="n">
        <v>1.899611755591891e-05</v>
      </c>
    </row>
    <row r="41">
      <c r="A41" s="67" t="inlineStr">
        <is>
          <t>card_ic_share</t>
        </is>
      </c>
      <c r="B41" s="67" t="inlineStr">
        <is>
          <t>all</t>
        </is>
      </c>
      <c r="C41" s="67" t="inlineStr">
        <is>
          <t>Our share of card spend (interchange share)</t>
        </is>
      </c>
      <c r="D41" s="67" t="inlineStr">
        <is>
          <t>triangular</t>
        </is>
      </c>
      <c r="E41" s="67" t="n">
        <v>0</v>
      </c>
      <c r="F41" s="67" t="n">
        <v>0</v>
      </c>
      <c r="G41" s="67" t="n">
        <v>0.00375</v>
      </c>
      <c r="H41" s="67" t="inlineStr">
        <is>
          <t>provisional</t>
        </is>
      </c>
      <c r="I41" s="67" t="inlineStr">
        <is>
          <t>plan cautious</t>
        </is>
      </c>
      <c r="J41" s="67" t="inlineStr">
        <is>
          <t>bear/base/bull widened by half a range each side</t>
        </is>
      </c>
      <c r="K41" s="67" t="inlineStr">
        <is>
          <t>REG-087</t>
        </is>
      </c>
      <c r="L41" s="68" t="n">
        <v>1.880549899442742e-05</v>
      </c>
    </row>
    <row r="42">
      <c r="A42" s="65" t="inlineStr">
        <is>
          <t>ins_comm_first</t>
        </is>
      </c>
      <c r="B42" s="65" t="inlineStr">
        <is>
          <t>all</t>
        </is>
      </c>
      <c r="C42" s="65" t="inlineStr">
        <is>
          <t>First-year commission</t>
        </is>
      </c>
      <c r="D42" s="65" t="inlineStr">
        <is>
          <t>triangular</t>
        </is>
      </c>
      <c r="E42" s="65" t="n">
        <v>0.05</v>
      </c>
      <c r="F42" s="65" t="n">
        <v>0.1</v>
      </c>
      <c r="G42" s="65" t="n">
        <v>0.15</v>
      </c>
      <c r="H42" s="65" t="inlineStr">
        <is>
          <t>triangulated</t>
        </is>
      </c>
      <c r="I42" s="65" t="inlineStr">
        <is>
          <t>plan optimistic</t>
        </is>
      </c>
      <c r="J42" s="65" t="inlineStr">
        <is>
          <t>draft caps 15% / 5% with a loan / 2.5-5% group; Bima Vistaar pays 10%</t>
        </is>
      </c>
      <c r="K42" s="65" t="inlineStr">
        <is>
          <t>TC-29, TC-30, REG-054</t>
        </is>
      </c>
      <c r="L42" s="66" t="n">
        <v>1.568690669982146e-05</v>
      </c>
    </row>
    <row r="43">
      <c r="A43" s="67" t="inlineStr">
        <is>
          <t>loan_ops_cost</t>
        </is>
      </c>
      <c r="B43" s="67" t="inlineStr">
        <is>
          <t>all</t>
        </is>
      </c>
      <c r="C43" s="67" t="inlineStr">
        <is>
          <t>Our cost per loan</t>
        </is>
      </c>
      <c r="D43" s="67" t="inlineStr">
        <is>
          <t>triangular</t>
        </is>
      </c>
      <c r="E43" s="67" t="n">
        <v>37.5</v>
      </c>
      <c r="F43" s="67" t="n">
        <v>100</v>
      </c>
      <c r="G43" s="67" t="n">
        <v>187.5</v>
      </c>
      <c r="H43" s="67" t="inlineStr">
        <is>
          <t>provisional</t>
        </is>
      </c>
      <c r="I43" s="67" t="inlineStr">
        <is>
          <t>plan within evidence</t>
        </is>
      </c>
      <c r="J43" s="67" t="inlineStr">
        <is>
          <t>bear/base/bull widened by half a range each side</t>
        </is>
      </c>
      <c r="K43" s="67" t="inlineStr"/>
      <c r="L43" s="68" t="n">
        <v>1.551691906638009e-05</v>
      </c>
    </row>
    <row r="44">
      <c r="A44" s="65" t="inlineStr">
        <is>
          <t>secured_fee</t>
        </is>
      </c>
      <c r="B44" s="65" t="inlineStr">
        <is>
          <t>all</t>
        </is>
      </c>
      <c r="C44" s="65" t="inlineStr">
        <is>
          <t>Our revenue on the secured part of a loan</t>
        </is>
      </c>
      <c r="D44" s="65" t="inlineStr">
        <is>
          <t>triangular</t>
        </is>
      </c>
      <c r="E44" s="65" t="n">
        <v>0.0025</v>
      </c>
      <c r="F44" s="65" t="n">
        <v>0.0075</v>
      </c>
      <c r="G44" s="65" t="n">
        <v>0.02</v>
      </c>
      <c r="H44" s="65" t="inlineStr">
        <is>
          <t>triangulated</t>
        </is>
      </c>
      <c r="I44" s="65" t="inlineStr">
        <is>
          <t>plan optimistic</t>
        </is>
      </c>
      <c r="J44" s="65" t="inlineStr">
        <is>
          <t>bank margin on loans against FD 1-2% a year, fees nil-0.5%; no lender found for Rs 2-6k secured loans (founder's 2% is the top)</t>
        </is>
      </c>
      <c r="K44" s="65" t="inlineStr">
        <is>
          <t>TC-31, TC-32, TC-33</t>
        </is>
      </c>
      <c r="L44" s="66" t="n">
        <v>1.366674880708544e-05</v>
      </c>
    </row>
    <row r="45">
      <c r="A45" s="67" t="inlineStr">
        <is>
          <t>leaver_withdraw</t>
        </is>
      </c>
      <c r="B45" s="67" t="inlineStr">
        <is>
          <t>all</t>
        </is>
      </c>
      <c r="C45" s="67" t="inlineStr">
        <is>
          <t>Share of balance withdrawn in the month a saver stops</t>
        </is>
      </c>
      <c r="D45" s="67" t="inlineStr">
        <is>
          <t>triangular</t>
        </is>
      </c>
      <c r="E45" s="67" t="n">
        <v>0.2</v>
      </c>
      <c r="F45" s="67" t="n">
        <v>0.6</v>
      </c>
      <c r="G45" s="67" t="n">
        <v>1</v>
      </c>
      <c r="H45" s="67" t="inlineStr">
        <is>
          <t>provisional</t>
        </is>
      </c>
      <c r="I45" s="67" t="inlineStr">
        <is>
          <t>plan within evidence</t>
        </is>
      </c>
      <c r="J45" s="67" t="inlineStr">
        <is>
          <t>bear/base/bull widened by half a range each side</t>
        </is>
      </c>
      <c r="K45" s="67" t="inlineStr"/>
      <c r="L45" s="68" t="n">
        <v>1.040152863091269e-05</v>
      </c>
    </row>
    <row r="46">
      <c r="A46" s="67" t="inlineStr">
        <is>
          <t>fd_share</t>
        </is>
      </c>
      <c r="B46" s="67" t="inlineStr">
        <is>
          <t>all</t>
        </is>
      </c>
      <c r="C46" s="67" t="inlineStr">
        <is>
          <t>Share of savings balance held in bank FDs</t>
        </is>
      </c>
      <c r="D46" s="67" t="inlineStr">
        <is>
          <t>triangular</t>
        </is>
      </c>
      <c r="E46" s="67" t="n">
        <v>0.1</v>
      </c>
      <c r="F46" s="67" t="n">
        <v>0.3</v>
      </c>
      <c r="G46" s="67" t="n">
        <v>0.5</v>
      </c>
      <c r="H46" s="67" t="inlineStr">
        <is>
          <t>provisional</t>
        </is>
      </c>
      <c r="I46" s="67" t="inlineStr">
        <is>
          <t>plan within evidence</t>
        </is>
      </c>
      <c r="J46" s="67" t="inlineStr">
        <is>
          <t>bear/base/bull widened by half a range each side</t>
        </is>
      </c>
      <c r="K46" s="67" t="inlineStr"/>
      <c r="L46" s="68" t="n">
        <v>1.02862907827399e-05</v>
      </c>
    </row>
    <row r="47">
      <c r="A47" s="67" t="inlineStr">
        <is>
          <t>trail_equity</t>
        </is>
      </c>
      <c r="B47" s="67" t="inlineStr">
        <is>
          <t>all</t>
        </is>
      </c>
      <c r="C47" s="67" t="inlineStr">
        <is>
          <t>Distributor trail on equity SIP balance</t>
        </is>
      </c>
      <c r="D47" s="67" t="inlineStr">
        <is>
          <t>triangular</t>
        </is>
      </c>
      <c r="E47" s="67" t="n">
        <v>0.0025</v>
      </c>
      <c r="F47" s="67" t="n">
        <v>0.0075</v>
      </c>
      <c r="G47" s="67" t="n">
        <v>0.0125</v>
      </c>
      <c r="H47" s="67" t="inlineStr">
        <is>
          <t>provisional</t>
        </is>
      </c>
      <c r="I47" s="67" t="inlineStr">
        <is>
          <t>plan within evidence</t>
        </is>
      </c>
      <c r="J47" s="67" t="inlineStr">
        <is>
          <t>bear/base/bull widened by half a range each side</t>
        </is>
      </c>
      <c r="K47" s="67" t="inlineStr">
        <is>
          <t>OWN-04</t>
        </is>
      </c>
      <c r="L47" s="68" t="n">
        <v>1.019104120272722e-05</v>
      </c>
    </row>
    <row r="48">
      <c r="A48" s="65" t="inlineStr">
        <is>
          <t>ladder_dpd90</t>
        </is>
      </c>
      <c r="B48" s="65" t="inlineStr">
        <is>
          <t>all</t>
        </is>
      </c>
      <c r="C48" s="65" t="inlineStr">
        <is>
          <t>Share of unsecured money that goes 90+ days late (loan 3 onward)</t>
        </is>
      </c>
      <c r="D48" s="65" t="inlineStr">
        <is>
          <t>triangular</t>
        </is>
      </c>
      <c r="E48" s="65" t="n">
        <v>0.005</v>
      </c>
      <c r="F48" s="65" t="n">
        <v>0.015</v>
      </c>
      <c r="G48" s="65" t="n">
        <v>0.03</v>
      </c>
      <c r="H48" s="65" t="inlineStr">
        <is>
          <t>triangulated</t>
        </is>
      </c>
      <c r="I48" s="65" t="inlineStr">
        <is>
          <t>plan leans optimistic</t>
        </is>
      </c>
      <c r="J48" s="65" t="inlineStr">
        <is>
          <t>founder's repeat-loan rate 1-2%; no Indian study shows savers default less</t>
        </is>
      </c>
      <c r="K48" s="65" t="inlineStr">
        <is>
          <t>founder, TB-30</t>
        </is>
      </c>
      <c r="L48" s="66" t="n">
        <v>9.846994386887404e-06</v>
      </c>
    </row>
    <row r="49">
      <c r="A49" s="65" t="inlineStr">
        <is>
          <t>ins_uptake</t>
        </is>
      </c>
      <c r="B49" s="65" t="inlineStr">
        <is>
          <t>gig</t>
        </is>
      </c>
      <c r="C49" s="65" t="inlineStr">
        <is>
          <t>Monthly take-up among savers never insured</t>
        </is>
      </c>
      <c r="D49" s="65" t="inlineStr">
        <is>
          <t>triangular</t>
        </is>
      </c>
      <c r="E49" s="65" t="n">
        <v>0.002</v>
      </c>
      <c r="F49" s="65" t="n">
        <v>0.008</v>
      </c>
      <c r="G49" s="65" t="n">
        <v>0.025</v>
      </c>
      <c r="H49" s="65" t="inlineStr">
        <is>
          <t>triangulated</t>
        </is>
      </c>
      <c r="I49" s="65" t="inlineStr">
        <is>
          <t>plan optimistic</t>
        </is>
      </c>
      <c r="J49" s="65" t="inlineStr">
        <is>
          <t>PhonePe ~1-2% of users a YEAR; Paytm &lt;1% a quarter for all products; riders have free platform cover</t>
        </is>
      </c>
      <c r="K49" s="65" t="inlineStr">
        <is>
          <t>TB-25, TB-26, TB-27, TB-31, TB-41</t>
        </is>
      </c>
      <c r="L49" s="66" t="n">
        <v>9.385884701016679e-06</v>
      </c>
    </row>
    <row r="50">
      <c r="A50" s="67" t="inlineStr">
        <is>
          <t>service_cost</t>
        </is>
      </c>
      <c r="B50" s="67" t="inlineStr">
        <is>
          <t>all</t>
        </is>
      </c>
      <c r="C50" s="67" t="inlineStr">
        <is>
          <t>Collection and servicing cost per loan when we service it (guarantee or own NBFC)</t>
        </is>
      </c>
      <c r="D50" s="67" t="inlineStr">
        <is>
          <t>triangular</t>
        </is>
      </c>
      <c r="E50" s="67" t="n">
        <v>50</v>
      </c>
      <c r="F50" s="67" t="n">
        <v>250</v>
      </c>
      <c r="G50" s="67" t="n">
        <v>450</v>
      </c>
      <c r="H50" s="67" t="inlineStr">
        <is>
          <t>provisional</t>
        </is>
      </c>
      <c r="I50" s="67" t="inlineStr">
        <is>
          <t>plan within evidence</t>
        </is>
      </c>
      <c r="J50" s="67" t="inlineStr">
        <is>
          <t>bear/base/bull widened by half a range each side</t>
        </is>
      </c>
      <c r="K50" s="67" t="inlineStr">
        <is>
          <t>LEV-018, LEV-019</t>
        </is>
      </c>
      <c r="L50" s="68" t="n">
        <v>7.201698036032342e-06</v>
      </c>
    </row>
    <row r="51">
      <c r="A51" s="65" t="inlineStr">
        <is>
          <t>ins_persist</t>
        </is>
      </c>
      <c r="B51" s="65" t="inlineStr">
        <is>
          <t>all</t>
        </is>
      </c>
      <c r="C51" s="65" t="inlineStr">
        <is>
          <t>Share of policies renewed each year</t>
        </is>
      </c>
      <c r="D51" s="65" t="inlineStr">
        <is>
          <t>beta</t>
        </is>
      </c>
      <c r="E51" s="65" t="n">
        <v>0.2087</v>
      </c>
      <c r="F51" s="65" t="n">
        <v>0.45</v>
      </c>
      <c r="G51" s="65" t="n">
        <v>0.7032</v>
      </c>
      <c r="H51" s="65" t="inlineStr">
        <is>
          <t>triangulated</t>
        </is>
      </c>
      <c r="I51" s="65" t="inlineStr">
        <is>
          <t>plan leans optimistic</t>
        </is>
      </c>
      <c r="J51" s="65" t="inlineStr">
        <is>
          <t>voluntary micro-insurance renewal 23% -&gt; 46% after redesign; auto-debited PMJJBY/PMSBY 51-70%</t>
        </is>
      </c>
      <c r="K51" s="65" t="inlineStr">
        <is>
          <t>TB-23, TB-24, TB-41</t>
        </is>
      </c>
      <c r="L51" s="66" t="n">
        <v>5.861813362653624e-06</v>
      </c>
    </row>
    <row r="52">
      <c r="A52" s="67" t="inlineStr">
        <is>
          <t>loan_approval</t>
        </is>
      </c>
      <c r="B52" s="67" t="inlineStr">
        <is>
          <t>gig</t>
        </is>
      </c>
      <c r="C52" s="67" t="inlineStr">
        <is>
          <t>Partner approval rate for our applicants</t>
        </is>
      </c>
      <c r="D52" s="67" t="inlineStr">
        <is>
          <t>triangular</t>
        </is>
      </c>
      <c r="E52" s="67" t="n">
        <v>0.225</v>
      </c>
      <c r="F52" s="67" t="n">
        <v>0.6</v>
      </c>
      <c r="G52" s="67" t="n">
        <v>0.925</v>
      </c>
      <c r="H52" s="67" t="inlineStr">
        <is>
          <t>provisional</t>
        </is>
      </c>
      <c r="I52" s="67" t="inlineStr">
        <is>
          <t>plan within evidence</t>
        </is>
      </c>
      <c r="J52" s="67" t="inlineStr">
        <is>
          <t>bear/base/bull widened by half a range each side</t>
        </is>
      </c>
      <c r="K52" s="67" t="inlineStr">
        <is>
          <t>EVD-02, EVD-03</t>
        </is>
      </c>
      <c r="L52" s="68" t="n">
        <v>5.716163050496479e-06</v>
      </c>
    </row>
    <row r="53">
      <c r="A53" s="67" t="inlineStr">
        <is>
          <t>ins_ops_cost</t>
        </is>
      </c>
      <c r="B53" s="67" t="inlineStr">
        <is>
          <t>all</t>
        </is>
      </c>
      <c r="C53" s="67" t="inlineStr">
        <is>
          <t>Our cost per new policy</t>
        </is>
      </c>
      <c r="D53" s="67" t="inlineStr">
        <is>
          <t>triangular</t>
        </is>
      </c>
      <c r="E53" s="67" t="n">
        <v>10</v>
      </c>
      <c r="F53" s="67" t="n">
        <v>60</v>
      </c>
      <c r="G53" s="67" t="n">
        <v>130</v>
      </c>
      <c r="H53" s="67" t="inlineStr">
        <is>
          <t>provisional</t>
        </is>
      </c>
      <c r="I53" s="67" t="inlineStr">
        <is>
          <t>plan within evidence</t>
        </is>
      </c>
      <c r="J53" s="67" t="inlineStr">
        <is>
          <t>bear/base/bull widened by half a range each side</t>
        </is>
      </c>
      <c r="K53" s="67" t="inlineStr"/>
      <c r="L53" s="68" t="n">
        <v>5.089519136388538e-06</v>
      </c>
    </row>
    <row r="54">
      <c r="A54" s="65" t="inlineStr">
        <is>
          <t>fd_fee</t>
        </is>
      </c>
      <c r="B54" s="65" t="inlineStr">
        <is>
          <t>all</t>
        </is>
      </c>
      <c r="C54" s="65" t="inlineStr">
        <is>
          <t>Distribution fee on FD balance</t>
        </is>
      </c>
      <c r="D54" s="65" t="inlineStr">
        <is>
          <t>triangular</t>
        </is>
      </c>
      <c r="E54" s="65" t="n">
        <v>0.001</v>
      </c>
      <c r="F54" s="65" t="n">
        <v>0.003</v>
      </c>
      <c r="G54" s="65" t="n">
        <v>0.006</v>
      </c>
      <c r="H54" s="65" t="inlineStr">
        <is>
          <t>triangulated</t>
        </is>
      </c>
      <c r="I54" s="65" t="inlineStr">
        <is>
          <t>plan optimistic</t>
        </is>
      </c>
      <c r="J54" s="65" t="inlineStr">
        <is>
          <t>RBI allows only a sourcing fee for deposits; Stable Money implies &lt;= 0.3-0.4%</t>
        </is>
      </c>
      <c r="K54" s="65" t="inlineStr">
        <is>
          <t>TC-24, TC-25, BM-03</t>
        </is>
      </c>
      <c r="L54" s="66" t="n">
        <v>4.543382278876889e-06</v>
      </c>
    </row>
    <row r="55">
      <c r="A55" s="67" t="inlineStr">
        <is>
          <t>fund_yield</t>
        </is>
      </c>
      <c r="B55" s="67" t="inlineStr">
        <is>
          <t>all</t>
        </is>
      </c>
      <c r="C55" s="67" t="inlineStr">
        <is>
          <t>Liquid fund / FD yield to saver</t>
        </is>
      </c>
      <c r="D55" s="67" t="inlineStr">
        <is>
          <t>triangular</t>
        </is>
      </c>
      <c r="E55" s="67" t="n">
        <v>0.045</v>
      </c>
      <c r="F55" s="67" t="n">
        <v>0.055</v>
      </c>
      <c r="G55" s="67" t="n">
        <v>0.065</v>
      </c>
      <c r="H55" s="67" t="inlineStr">
        <is>
          <t>provisional</t>
        </is>
      </c>
      <c r="I55" s="67" t="inlineStr">
        <is>
          <t>plan within evidence</t>
        </is>
      </c>
      <c r="J55" s="67" t="inlineStr">
        <is>
          <t>bear/base/bull widened by half a range each side</t>
        </is>
      </c>
      <c r="K55" s="67" t="inlineStr">
        <is>
          <t>OWN-02</t>
        </is>
      </c>
      <c r="L55" s="68" t="n">
        <v>3.29497452060431e-06</v>
      </c>
    </row>
    <row r="56">
      <c r="A56" s="67" t="inlineStr">
        <is>
          <t>loan_approval</t>
        </is>
      </c>
      <c r="B56" s="67" t="inlineStr">
        <is>
          <t>ng</t>
        </is>
      </c>
      <c r="C56" s="67" t="inlineStr">
        <is>
          <t>Partner approval rate for our applicants</t>
        </is>
      </c>
      <c r="D56" s="67" t="inlineStr">
        <is>
          <t>triangular</t>
        </is>
      </c>
      <c r="E56" s="67" t="n">
        <v>0.175</v>
      </c>
      <c r="F56" s="67" t="n">
        <v>0.55</v>
      </c>
      <c r="G56" s="67" t="n">
        <v>0.875</v>
      </c>
      <c r="H56" s="67" t="inlineStr">
        <is>
          <t>provisional</t>
        </is>
      </c>
      <c r="I56" s="67" t="inlineStr">
        <is>
          <t>plan within evidence</t>
        </is>
      </c>
      <c r="J56" s="67" t="inlineStr">
        <is>
          <t>bear/base/bull widened by half a range each side</t>
        </is>
      </c>
      <c r="K56" s="67" t="inlineStr">
        <is>
          <t>EVD-02, EVD-03</t>
        </is>
      </c>
      <c r="L56" s="68" t="n">
        <v>2.796993439702309e-06</v>
      </c>
    </row>
    <row r="57">
      <c r="A57" s="67" t="inlineStr">
        <is>
          <t>sip_stop</t>
        </is>
      </c>
      <c r="B57" s="67" t="inlineStr">
        <is>
          <t>all</t>
        </is>
      </c>
      <c r="C57" s="67" t="inlineStr">
        <is>
          <t>Monthly share of SIP holders who stop</t>
        </is>
      </c>
      <c r="D57" s="67" t="inlineStr">
        <is>
          <t>triangular</t>
        </is>
      </c>
      <c r="E57" s="67" t="n">
        <v>0.005</v>
      </c>
      <c r="F57" s="67" t="n">
        <v>0.03</v>
      </c>
      <c r="G57" s="67" t="n">
        <v>0.065</v>
      </c>
      <c r="H57" s="67" t="inlineStr">
        <is>
          <t>provisional</t>
        </is>
      </c>
      <c r="I57" s="67" t="inlineStr">
        <is>
          <t>plan within evidence</t>
        </is>
      </c>
      <c r="J57" s="67" t="inlineStr">
        <is>
          <t>bear/base/bull widened by half a range each side</t>
        </is>
      </c>
      <c r="K57" s="67" t="inlineStr"/>
      <c r="L57" s="68" t="n">
        <v>2.370667906678395e-06</v>
      </c>
    </row>
    <row r="58">
      <c r="A58" s="67" t="inlineStr">
        <is>
          <t>unsec_grad</t>
        </is>
      </c>
      <c r="B58" s="67" t="inlineStr">
        <is>
          <t>all</t>
        </is>
      </c>
      <c r="C58" s="67" t="inlineStr">
        <is>
          <t>Monthly share of FD-card holders who move to an unsecured card</t>
        </is>
      </c>
      <c r="D58" s="67" t="inlineStr">
        <is>
          <t>triangular</t>
        </is>
      </c>
      <c r="E58" s="67" t="n">
        <v>0</v>
      </c>
      <c r="F58" s="67" t="n">
        <v>0.01</v>
      </c>
      <c r="G58" s="67" t="n">
        <v>0.0275</v>
      </c>
      <c r="H58" s="67" t="inlineStr">
        <is>
          <t>provisional</t>
        </is>
      </c>
      <c r="I58" s="67" t="inlineStr">
        <is>
          <t>plan within evidence</t>
        </is>
      </c>
      <c r="J58" s="67" t="inlineStr">
        <is>
          <t>bear/base/bull widened by half a range each side</t>
        </is>
      </c>
      <c r="K58" s="67" t="inlineStr"/>
      <c r="L58" s="68" t="n">
        <v>1.49392942404496e-06</v>
      </c>
    </row>
    <row r="59">
      <c r="A59" s="67" t="inlineStr">
        <is>
          <t>card_spend</t>
        </is>
      </c>
      <c r="B59" s="67" t="inlineStr">
        <is>
          <t>all</t>
        </is>
      </c>
      <c r="C59" s="67" t="inlineStr">
        <is>
          <t>Monthly spend per card holder</t>
        </is>
      </c>
      <c r="D59" s="67" t="inlineStr">
        <is>
          <t>triangular</t>
        </is>
      </c>
      <c r="E59" s="67" t="n">
        <v>0</v>
      </c>
      <c r="F59" s="67" t="n">
        <v>3000</v>
      </c>
      <c r="G59" s="67" t="n">
        <v>6750</v>
      </c>
      <c r="H59" s="67" t="inlineStr">
        <is>
          <t>provisional</t>
        </is>
      </c>
      <c r="I59" s="67" t="inlineStr">
        <is>
          <t>plan within evidence</t>
        </is>
      </c>
      <c r="J59" s="67" t="inlineStr">
        <is>
          <t>bear/base/bull widened by half a range each side</t>
        </is>
      </c>
      <c r="K59" s="67" t="inlineStr"/>
      <c r="L59" s="68" t="n">
        <v>9.838011487558572e-07</v>
      </c>
    </row>
    <row r="60">
      <c r="A60" s="67" t="inlineStr">
        <is>
          <t>sip_amount</t>
        </is>
      </c>
      <c r="B60" s="67" t="inlineStr">
        <is>
          <t>all</t>
        </is>
      </c>
      <c r="C60" s="67" t="inlineStr">
        <is>
          <t>SIP amount</t>
        </is>
      </c>
      <c r="D60" s="67" t="inlineStr">
        <is>
          <t>triangular</t>
        </is>
      </c>
      <c r="E60" s="67" t="n">
        <v>0</v>
      </c>
      <c r="F60" s="67" t="n">
        <v>500</v>
      </c>
      <c r="G60" s="67" t="n">
        <v>1000</v>
      </c>
      <c r="H60" s="67" t="inlineStr">
        <is>
          <t>provisional</t>
        </is>
      </c>
      <c r="I60" s="67" t="inlineStr">
        <is>
          <t>plan within evidence</t>
        </is>
      </c>
      <c r="J60" s="67" t="inlineStr">
        <is>
          <t>bear/base/bull widened by half a range each side</t>
        </is>
      </c>
      <c r="K60" s="67" t="inlineStr"/>
      <c r="L60" s="68" t="n">
        <v>8.293658239750903e-07</v>
      </c>
    </row>
    <row r="61">
      <c r="A61" s="67" t="inlineStr">
        <is>
          <t>dormant_withdraw</t>
        </is>
      </c>
      <c r="B61" s="67" t="inlineStr">
        <is>
          <t>all</t>
        </is>
      </c>
      <c r="C61" s="67" t="inlineStr">
        <is>
          <t>Share of dormant balance withdrawn per month</t>
        </is>
      </c>
      <c r="D61" s="67" t="inlineStr">
        <is>
          <t>triangular</t>
        </is>
      </c>
      <c r="E61" s="67" t="n">
        <v>0.005</v>
      </c>
      <c r="F61" s="67" t="n">
        <v>0.05</v>
      </c>
      <c r="G61" s="67" t="n">
        <v>0.105</v>
      </c>
      <c r="H61" s="67" t="inlineStr">
        <is>
          <t>provisional</t>
        </is>
      </c>
      <c r="I61" s="67" t="inlineStr">
        <is>
          <t>plan within evidence</t>
        </is>
      </c>
      <c r="J61" s="67" t="inlineStr">
        <is>
          <t>bear/base/bull widened by half a range each side</t>
        </is>
      </c>
      <c r="K61" s="67" t="inlineStr"/>
      <c r="L61" s="68" t="n">
        <v>4.575308150644131e-07</v>
      </c>
    </row>
    <row r="62">
      <c r="A62" s="67" t="inlineStr">
        <is>
          <t>sip_redeem</t>
        </is>
      </c>
      <c r="B62" s="67" t="inlineStr">
        <is>
          <t>all</t>
        </is>
      </c>
      <c r="C62" s="67" t="inlineStr">
        <is>
          <t>Share of SIP balance redeemed per month</t>
        </is>
      </c>
      <c r="D62" s="67" t="inlineStr">
        <is>
          <t>triangular</t>
        </is>
      </c>
      <c r="E62" s="67" t="n">
        <v>0</v>
      </c>
      <c r="F62" s="67" t="n">
        <v>0.02</v>
      </c>
      <c r="G62" s="67" t="n">
        <v>0.04</v>
      </c>
      <c r="H62" s="67" t="inlineStr">
        <is>
          <t>provisional</t>
        </is>
      </c>
      <c r="I62" s="67" t="inlineStr">
        <is>
          <t>plan within evidence</t>
        </is>
      </c>
      <c r="J62" s="67" t="inlineStr">
        <is>
          <t>bear/base/bull widened by half a range each side</t>
        </is>
      </c>
      <c r="K62" s="67" t="inlineStr"/>
      <c r="L62" s="68" t="n">
        <v>2.065967413761601e-07</v>
      </c>
    </row>
    <row r="63">
      <c r="A63" s="65" t="inlineStr">
        <is>
          <t>wk_success</t>
        </is>
      </c>
      <c r="B63" s="65" t="inlineStr">
        <is>
          <t>all</t>
        </is>
      </c>
      <c r="C63" s="65" t="inlineStr">
        <is>
          <t>Weekly design: successful debits a month</t>
        </is>
      </c>
      <c r="D63" s="65" t="inlineStr">
        <is>
          <t>triangular</t>
        </is>
      </c>
      <c r="E63" s="65" t="n">
        <v>3</v>
      </c>
      <c r="F63" s="65" t="n">
        <v>3.9</v>
      </c>
      <c r="G63" s="65" t="n">
        <v>4.3</v>
      </c>
      <c r="H63" s="65" t="inlineStr">
        <is>
          <t>triangulated</t>
        </is>
      </c>
      <c r="I63" s="65" t="inlineStr">
        <is>
          <t>no plan value</t>
        </is>
      </c>
      <c r="J63" s="65" t="inlineStr">
        <is>
          <t>WEEKLY design only: successful debits a month when one debit lands just after payout day (variants.csv)</t>
        </is>
      </c>
      <c r="K63" s="65" t="inlineStr">
        <is>
          <t>variants.csv weekly_payday</t>
        </is>
      </c>
      <c r="L63" s="66" t="n">
        <v>8.881445972879436e-08</v>
      </c>
    </row>
    <row r="64">
      <c r="A64" s="67" t="inlineStr">
        <is>
          <t>loan_eligible</t>
        </is>
      </c>
      <c r="B64" s="67" t="inlineStr">
        <is>
          <t>all</t>
        </is>
      </c>
      <c r="C64" s="67" t="inlineStr">
        <is>
          <t>Share of active savers eligible for a loan offer</t>
        </is>
      </c>
      <c r="D64" s="67" t="inlineStr">
        <is>
          <t>triangular</t>
        </is>
      </c>
      <c r="E64" s="67" t="n">
        <v>0.125</v>
      </c>
      <c r="F64" s="67" t="n">
        <v>0.5</v>
      </c>
      <c r="G64" s="67" t="n">
        <v>0.825</v>
      </c>
      <c r="H64" s="67" t="inlineStr">
        <is>
          <t>provisional</t>
        </is>
      </c>
      <c r="I64" s="67" t="inlineStr">
        <is>
          <t>plan within evidence</t>
        </is>
      </c>
      <c r="J64" s="67" t="inlineStr">
        <is>
          <t>bear/base/bull widened by half a range each side</t>
        </is>
      </c>
      <c r="K64" s="67" t="inlineStr">
        <is>
          <t>LEND-04, CMP-07, CMP-05</t>
        </is>
      </c>
      <c r="L64" s="68" t="n">
        <v>5.196151346008676e-08</v>
      </c>
    </row>
    <row r="65">
      <c r="A65" s="65" t="inlineStr">
        <is>
          <t>lsp_fee</t>
        </is>
      </c>
      <c r="B65" s="65" t="inlineStr">
        <is>
          <t>all</t>
        </is>
      </c>
      <c r="C65" s="65" t="inlineStr">
        <is>
          <t>Our fee as loan service provider</t>
        </is>
      </c>
      <c r="D65" s="65" t="inlineStr">
        <is>
          <t>triangular</t>
        </is>
      </c>
      <c r="E65" s="65" t="n">
        <v>0.0075</v>
      </c>
      <c r="F65" s="65" t="n">
        <v>0.015</v>
      </c>
      <c r="G65" s="65" t="n">
        <v>0.025</v>
      </c>
      <c r="H65" s="65" t="inlineStr">
        <is>
          <t>triangulated</t>
        </is>
      </c>
      <c r="I65" s="65" t="inlineStr">
        <is>
          <t>plan within evidence</t>
        </is>
      </c>
      <c r="J65" s="65" t="inlineStr">
        <is>
          <t>lead-based sourcing pays 1-3%</t>
        </is>
      </c>
      <c r="K65" s="65" t="inlineStr">
        <is>
          <t>TC-34, LEV-009</t>
        </is>
      </c>
      <c r="L65" s="66" t="n">
        <v>4.704407179023198e-08</v>
      </c>
    </row>
    <row r="66">
      <c r="A66" s="65" t="inlineStr">
        <is>
          <t>trail_liquid</t>
        </is>
      </c>
      <c r="B66" s="65" t="inlineStr">
        <is>
          <t>all</t>
        </is>
      </c>
      <c r="C66" s="65" t="inlineStr">
        <is>
          <t>Distributor trail on liquid-fund balance</t>
        </is>
      </c>
      <c r="D66" s="65" t="inlineStr">
        <is>
          <t>triangular</t>
        </is>
      </c>
      <c r="E66" s="65" t="n">
        <v>0.00025</v>
      </c>
      <c r="F66" s="65" t="n">
        <v>0.0005</v>
      </c>
      <c r="G66" s="65" t="n">
        <v>0.001</v>
      </c>
      <c r="H66" s="65" t="inlineStr">
        <is>
          <t>triangulated</t>
        </is>
      </c>
      <c r="I66" s="65" t="inlineStr">
        <is>
          <t>plan optimistic</t>
        </is>
      </c>
      <c r="J66" s="65" t="inlineStr">
        <is>
          <t>trail actually paid: ~0.05% at 5 of 6 fund houses</t>
        </is>
      </c>
      <c r="K66" s="65" t="inlineStr">
        <is>
          <t>TC-21, TC-22</t>
        </is>
      </c>
      <c r="L66" s="66" t="n">
        <v>3.33000745702926e-09</v>
      </c>
    </row>
    <row r="67">
      <c r="A67" s="67" t="inlineStr">
        <is>
          <t>loan_lgd</t>
        </is>
      </c>
      <c r="B67" s="67" t="inlineStr">
        <is>
          <t>all</t>
        </is>
      </c>
      <c r="C67" s="67" t="inlineStr">
        <is>
          <t>Share of that never recovered</t>
        </is>
      </c>
      <c r="D67" s="67" t="inlineStr">
        <is>
          <t>triangular</t>
        </is>
      </c>
      <c r="E67" s="67" t="n">
        <v>0.3</v>
      </c>
      <c r="F67" s="67" t="n">
        <v>0.5</v>
      </c>
      <c r="G67" s="67" t="n">
        <v>0.7</v>
      </c>
      <c r="H67" s="67" t="inlineStr">
        <is>
          <t>provisional</t>
        </is>
      </c>
      <c r="I67" s="67" t="inlineStr">
        <is>
          <t>plan within evidence</t>
        </is>
      </c>
      <c r="J67" s="67" t="inlineStr">
        <is>
          <t>bear/base/bull widened by half a range each side</t>
        </is>
      </c>
      <c r="K67" s="67" t="inlineStr"/>
      <c r="L67" s="68" t="n">
        <v>2.560200278730175e-09</v>
      </c>
    </row>
    <row r="68">
      <c r="A68" s="67" t="inlineStr">
        <is>
          <t>unsec_fee</t>
        </is>
      </c>
      <c r="B68" s="67" t="inlineStr">
        <is>
          <t>all</t>
        </is>
      </c>
      <c r="C68" s="67" t="inlineStr">
        <is>
          <t>Fee per unsecured card issued</t>
        </is>
      </c>
      <c r="D68" s="67" t="inlineStr">
        <is>
          <t>triangular</t>
        </is>
      </c>
      <c r="E68" s="67" t="n">
        <v>0</v>
      </c>
      <c r="F68" s="67" t="n">
        <v>1000</v>
      </c>
      <c r="G68" s="67" t="n">
        <v>2750</v>
      </c>
      <c r="H68" s="67" t="inlineStr">
        <is>
          <t>provisional</t>
        </is>
      </c>
      <c r="I68" s="67" t="inlineStr">
        <is>
          <t>plan within evidence</t>
        </is>
      </c>
      <c r="J68" s="67" t="inlineStr">
        <is>
          <t>bear/base/bull widened by half a range each side</t>
        </is>
      </c>
      <c r="K68" s="67" t="inlineStr">
        <is>
          <t>BM-08</t>
        </is>
      </c>
      <c r="L68" s="68" t="n">
        <v>1.447350479372023e-09</v>
      </c>
    </row>
    <row r="69">
      <c r="A69" s="67" t="inlineStr">
        <is>
          <t>sip_return</t>
        </is>
      </c>
      <c r="B69" s="67" t="inlineStr">
        <is>
          <t>all</t>
        </is>
      </c>
      <c r="C69" s="67" t="inlineStr">
        <is>
          <t>Equity fund return</t>
        </is>
      </c>
      <c r="D69" s="67" t="inlineStr">
        <is>
          <t>triangular</t>
        </is>
      </c>
      <c r="E69" s="67" t="n">
        <v>0.06</v>
      </c>
      <c r="F69" s="67" t="n">
        <v>0.1</v>
      </c>
      <c r="G69" s="67" t="n">
        <v>0.14</v>
      </c>
      <c r="H69" s="67" t="inlineStr">
        <is>
          <t>provisional</t>
        </is>
      </c>
      <c r="I69" s="67" t="inlineStr">
        <is>
          <t>plan within evidence</t>
        </is>
      </c>
      <c r="J69" s="67" t="inlineStr">
        <is>
          <t>bear/base/bull widened by half a range each side</t>
        </is>
      </c>
      <c r="K69" s="67" t="inlineStr"/>
      <c r="L69" s="68" t="n">
        <v>8.0900811437414e-10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65"/>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Monte Carlo: how likely is a profitable saver, given what we know about each input</t>
        </is>
      </c>
    </row>
    <row r="2">
      <c r="A2" s="28" t="inlineStr">
        <is>
          <t>Written by model/mc.py from tables/distributions.csv: 10,000 draws, fixed seed 20261002, each run through the reference engine (which verify.py checks against this workbook's formulas). 'independent' = inputs drawn independently except the retention curve, which moves as one; 'correlated' = an engagement factor links retention, amounts and take-up (rho 0.5). Net = LTV (60 months, discounted) minus CAC, per activated saver, Rs.</t>
        </is>
      </c>
    </row>
    <row r="4">
      <c r="A4" s="2" t="inlineStr">
        <is>
          <t>Outputs: percentiles across draws (base_case = the deterministic middle case)</t>
        </is>
      </c>
    </row>
    <row r="5">
      <c r="A5" s="64" t="inlineStr">
        <is>
          <t>variant</t>
        </is>
      </c>
      <c r="B5" s="64" t="inlineStr">
        <is>
          <t>metric</t>
        </is>
      </c>
      <c r="C5" s="64" t="inlineStr">
        <is>
          <t>base_case</t>
        </is>
      </c>
      <c r="D5" s="64" t="inlineStr">
        <is>
          <t>mean</t>
        </is>
      </c>
      <c r="E5" s="64" t="inlineStr">
        <is>
          <t>p5</t>
        </is>
      </c>
      <c r="F5" s="64" t="inlineStr">
        <is>
          <t>p10</t>
        </is>
      </c>
      <c r="G5" s="64" t="inlineStr">
        <is>
          <t>p25</t>
        </is>
      </c>
      <c r="H5" s="64" t="inlineStr">
        <is>
          <t>p50</t>
        </is>
      </c>
      <c r="I5" s="64" t="inlineStr">
        <is>
          <t>p75</t>
        </is>
      </c>
      <c r="J5" s="64" t="inlineStr">
        <is>
          <t>p90</t>
        </is>
      </c>
      <c r="K5" s="64" t="inlineStr">
        <is>
          <t>p95</t>
        </is>
      </c>
    </row>
    <row r="6">
      <c r="A6" s="65" t="inlineStr">
        <is>
          <t>independent</t>
        </is>
      </c>
      <c r="B6" s="65" t="inlineStr">
        <is>
          <t>net</t>
        </is>
      </c>
      <c r="C6" s="69" t="n">
        <v>-560.1129081230642</v>
      </c>
      <c r="D6" s="69" t="n">
        <v>-1273.801544832377</v>
      </c>
      <c r="E6" s="69" t="n">
        <v>-2504.961456518616</v>
      </c>
      <c r="F6" s="69" t="n">
        <v>-2200.772077585912</v>
      </c>
      <c r="G6" s="69" t="n">
        <v>-1698.474132125595</v>
      </c>
      <c r="H6" s="69" t="n">
        <v>-1134.270171869823</v>
      </c>
      <c r="I6" s="69" t="n">
        <v>-746.1055904610512</v>
      </c>
      <c r="J6" s="69" t="n">
        <v>-564.3930782302783</v>
      </c>
      <c r="K6" s="69" t="n">
        <v>-489.5922746636889</v>
      </c>
    </row>
    <row r="7">
      <c r="A7" s="65" t="inlineStr">
        <is>
          <t>independent</t>
        </is>
      </c>
      <c r="B7" s="65" t="inlineStr">
        <is>
          <t>ratio</t>
        </is>
      </c>
      <c r="C7" s="69" t="n">
        <v>-1.187241157033409</v>
      </c>
      <c r="D7" s="69" t="n">
        <v>-1.50450419376046</v>
      </c>
      <c r="E7" s="69" t="n">
        <v>-4.617020157368417</v>
      </c>
      <c r="F7" s="69" t="n">
        <v>-3.52195832025253</v>
      </c>
      <c r="G7" s="69" t="n">
        <v>-2.138685365744324</v>
      </c>
      <c r="H7" s="69" t="n">
        <v>-0.9218369300740852</v>
      </c>
      <c r="I7" s="69" t="n">
        <v>-0.3947843518073872</v>
      </c>
      <c r="J7" s="69" t="n">
        <v>-0.2395852153404021</v>
      </c>
      <c r="K7" s="69" t="n">
        <v>-0.1786178501774595</v>
      </c>
    </row>
    <row r="8">
      <c r="A8" s="65" t="inlineStr">
        <is>
          <t>independent</t>
        </is>
      </c>
      <c r="B8" s="65" t="inlineStr">
        <is>
          <t>ltv60</t>
        </is>
      </c>
      <c r="C8" s="69" t="n">
        <v>-304.0309912654121</v>
      </c>
      <c r="D8" s="69" t="n">
        <v>-704.4070717757555</v>
      </c>
      <c r="E8" s="69" t="n">
        <v>-1859.101222429734</v>
      </c>
      <c r="F8" s="69" t="n">
        <v>-1573.546602547191</v>
      </c>
      <c r="G8" s="69" t="n">
        <v>-1099.339281653376</v>
      </c>
      <c r="H8" s="69" t="n">
        <v>-476.3679317503963</v>
      </c>
      <c r="I8" s="69" t="n">
        <v>-205.269289019792</v>
      </c>
      <c r="J8" s="69" t="n">
        <v>-144.510456015441</v>
      </c>
      <c r="K8" s="69" t="n">
        <v>-119.1193970167466</v>
      </c>
    </row>
    <row r="9">
      <c r="A9" s="65" t="inlineStr">
        <is>
          <t>independent</t>
        </is>
      </c>
      <c r="B9" s="65" t="inlineStr">
        <is>
          <t>cac</t>
        </is>
      </c>
      <c r="C9" s="69" t="n">
        <v>256.0819168576521</v>
      </c>
      <c r="D9" s="69" t="n">
        <v>569.3944730566213</v>
      </c>
      <c r="E9" s="69" t="n">
        <v>252.8109223446626</v>
      </c>
      <c r="F9" s="69" t="n">
        <v>297.0946122059373</v>
      </c>
      <c r="G9" s="69" t="n">
        <v>383.5134425111364</v>
      </c>
      <c r="H9" s="69" t="n">
        <v>517.8364780202241</v>
      </c>
      <c r="I9" s="69" t="n">
        <v>693.793406585354</v>
      </c>
      <c r="J9" s="69" t="n">
        <v>905.3162091455393</v>
      </c>
      <c r="K9" s="69" t="n">
        <v>1070.791744595154</v>
      </c>
    </row>
    <row r="10">
      <c r="A10" s="65" t="inlineStr">
        <is>
          <t>independent</t>
        </is>
      </c>
      <c r="B10" s="65" t="inlineStr">
        <is>
          <t>payback</t>
        </is>
      </c>
      <c r="C10" s="69" t="n">
        <v>61</v>
      </c>
      <c r="D10" s="69" t="n">
        <v>61</v>
      </c>
      <c r="E10" s="69" t="n">
        <v>61</v>
      </c>
      <c r="F10" s="69" t="n">
        <v>61</v>
      </c>
      <c r="G10" s="69" t="n">
        <v>61</v>
      </c>
      <c r="H10" s="69" t="n">
        <v>61</v>
      </c>
      <c r="I10" s="69" t="n">
        <v>61</v>
      </c>
      <c r="J10" s="69" t="n">
        <v>61</v>
      </c>
      <c r="K10" s="69" t="n">
        <v>61</v>
      </c>
    </row>
    <row r="11">
      <c r="A11" s="65" t="inlineStr">
        <is>
          <t>independent</t>
        </is>
      </c>
      <c r="B11" s="65" t="inlineStr">
        <is>
          <t>rev_pa_y2</t>
        </is>
      </c>
      <c r="C11" s="69" t="n">
        <v>246.522001209278</v>
      </c>
      <c r="D11" s="69" t="n">
        <v>137.4886733110067</v>
      </c>
      <c r="E11" s="69" t="n">
        <v>76.72698056923952</v>
      </c>
      <c r="F11" s="69" t="n">
        <v>86.33679522179264</v>
      </c>
      <c r="G11" s="69" t="n">
        <v>104.6157966351977</v>
      </c>
      <c r="H11" s="69" t="n">
        <v>129.6361094856668</v>
      </c>
      <c r="I11" s="69" t="n">
        <v>162.0049204719911</v>
      </c>
      <c r="J11" s="69" t="n">
        <v>198.1175003684606</v>
      </c>
      <c r="K11" s="69" t="n">
        <v>223.6240051588101</v>
      </c>
    </row>
    <row r="12">
      <c r="A12" s="65" t="inlineStr">
        <is>
          <t>independent</t>
        </is>
      </c>
      <c r="B12" s="65" t="inlineStr">
        <is>
          <t>y10_usd_m</t>
        </is>
      </c>
      <c r="C12" s="69" t="n">
        <v>10.0599041121845</v>
      </c>
      <c r="D12" s="69" t="n">
        <v>6.310707453310997</v>
      </c>
      <c r="E12" s="69" t="n">
        <v>2.466765876829363</v>
      </c>
      <c r="F12" s="69" t="n">
        <v>2.975940456440895</v>
      </c>
      <c r="G12" s="69" t="n">
        <v>4.043545905241185</v>
      </c>
      <c r="H12" s="69" t="n">
        <v>5.69517836432618</v>
      </c>
      <c r="I12" s="69" t="n">
        <v>7.860019033286752</v>
      </c>
      <c r="J12" s="69" t="n">
        <v>10.38551008436206</v>
      </c>
      <c r="K12" s="69" t="n">
        <v>12.39095107102371</v>
      </c>
    </row>
    <row r="13">
      <c r="A13" s="65" t="inlineStr">
        <is>
          <t>independent</t>
        </is>
      </c>
      <c r="B13" s="65" t="inlineStr">
        <is>
          <t>peak_cr</t>
        </is>
      </c>
      <c r="C13" s="69" t="n">
        <v>2688.109215709722</v>
      </c>
      <c r="D13" s="69" t="n">
        <v>5113.898579224307</v>
      </c>
      <c r="E13" s="69" t="n">
        <v>2624.28956559607</v>
      </c>
      <c r="F13" s="69" t="n">
        <v>2920.791803078076</v>
      </c>
      <c r="G13" s="69" t="n">
        <v>3654.199048125304</v>
      </c>
      <c r="H13" s="69" t="n">
        <v>4809.559388153792</v>
      </c>
      <c r="I13" s="69" t="n">
        <v>6305.203653719585</v>
      </c>
      <c r="J13" s="69" t="n">
        <v>7728.964754392134</v>
      </c>
      <c r="K13" s="69" t="n">
        <v>8561.532726845597</v>
      </c>
    </row>
    <row r="14">
      <c r="A14" s="65" t="inlineStr">
        <is>
          <t>correlated</t>
        </is>
      </c>
      <c r="B14" s="65" t="inlineStr">
        <is>
          <t>net</t>
        </is>
      </c>
      <c r="C14" s="69" t="n">
        <v>-560.1129081230642</v>
      </c>
      <c r="D14" s="69" t="n">
        <v>-1278.876230953889</v>
      </c>
      <c r="E14" s="69" t="n">
        <v>-2469.579533181413</v>
      </c>
      <c r="F14" s="69" t="n">
        <v>-2201.531655300814</v>
      </c>
      <c r="G14" s="69" t="n">
        <v>-1708.024117551302</v>
      </c>
      <c r="H14" s="69" t="n">
        <v>-1143.317187784461</v>
      </c>
      <c r="I14" s="69" t="n">
        <v>-752.3676391708473</v>
      </c>
      <c r="J14" s="69" t="n">
        <v>-565.8971467468797</v>
      </c>
      <c r="K14" s="69" t="n">
        <v>-481.2342576586536</v>
      </c>
    </row>
    <row r="15">
      <c r="A15" s="65" t="inlineStr">
        <is>
          <t>correlated</t>
        </is>
      </c>
      <c r="B15" s="65" t="inlineStr">
        <is>
          <t>ratio</t>
        </is>
      </c>
      <c r="C15" s="69" t="n">
        <v>-1.187241157033409</v>
      </c>
      <c r="D15" s="69" t="n">
        <v>-1.515620721773238</v>
      </c>
      <c r="E15" s="69" t="n">
        <v>-4.589269217936637</v>
      </c>
      <c r="F15" s="69" t="n">
        <v>-3.503513161769872</v>
      </c>
      <c r="G15" s="69" t="n">
        <v>-2.177329351345815</v>
      </c>
      <c r="H15" s="69" t="n">
        <v>-0.9546465551339611</v>
      </c>
      <c r="I15" s="69" t="n">
        <v>-0.3932652943861052</v>
      </c>
      <c r="J15" s="69" t="n">
        <v>-0.2213355238022929</v>
      </c>
      <c r="K15" s="69" t="n">
        <v>-0.163590885031855</v>
      </c>
    </row>
    <row r="16">
      <c r="A16" s="65" t="inlineStr">
        <is>
          <t>correlated</t>
        </is>
      </c>
      <c r="B16" s="65" t="inlineStr">
        <is>
          <t>ltv60</t>
        </is>
      </c>
      <c r="C16" s="69" t="n">
        <v>-304.0309912654121</v>
      </c>
      <c r="D16" s="69" t="n">
        <v>-709.4817578972671</v>
      </c>
      <c r="E16" s="69" t="n">
        <v>-1832.851572490431</v>
      </c>
      <c r="F16" s="69" t="n">
        <v>-1579.554724114851</v>
      </c>
      <c r="G16" s="69" t="n">
        <v>-1125.090145677667</v>
      </c>
      <c r="H16" s="69" t="n">
        <v>-497.9056943357792</v>
      </c>
      <c r="I16" s="69" t="n">
        <v>-206.7674322200594</v>
      </c>
      <c r="J16" s="69" t="n">
        <v>-129.2099831045955</v>
      </c>
      <c r="K16" s="69" t="n">
        <v>-101.0457214813878</v>
      </c>
    </row>
    <row r="17">
      <c r="A17" s="65" t="inlineStr">
        <is>
          <t>correlated</t>
        </is>
      </c>
      <c r="B17" s="65" t="inlineStr">
        <is>
          <t>cac</t>
        </is>
      </c>
      <c r="C17" s="69" t="n">
        <v>256.0819168576521</v>
      </c>
      <c r="D17" s="69" t="n">
        <v>569.3944730566213</v>
      </c>
      <c r="E17" s="69" t="n">
        <v>252.8109223446626</v>
      </c>
      <c r="F17" s="69" t="n">
        <v>297.0946122059373</v>
      </c>
      <c r="G17" s="69" t="n">
        <v>383.5134425111364</v>
      </c>
      <c r="H17" s="69" t="n">
        <v>517.8364780202241</v>
      </c>
      <c r="I17" s="69" t="n">
        <v>693.793406585354</v>
      </c>
      <c r="J17" s="69" t="n">
        <v>905.3162091455393</v>
      </c>
      <c r="K17" s="69" t="n">
        <v>1070.791744595154</v>
      </c>
    </row>
    <row r="18">
      <c r="A18" s="65" t="inlineStr">
        <is>
          <t>correlated</t>
        </is>
      </c>
      <c r="B18" s="65" t="inlineStr">
        <is>
          <t>payback</t>
        </is>
      </c>
      <c r="C18" s="69" t="n">
        <v>61</v>
      </c>
      <c r="D18" s="69" t="n">
        <v>61</v>
      </c>
      <c r="E18" s="69" t="n">
        <v>61</v>
      </c>
      <c r="F18" s="69" t="n">
        <v>61</v>
      </c>
      <c r="G18" s="69" t="n">
        <v>61</v>
      </c>
      <c r="H18" s="69" t="n">
        <v>61</v>
      </c>
      <c r="I18" s="69" t="n">
        <v>61</v>
      </c>
      <c r="J18" s="69" t="n">
        <v>61</v>
      </c>
      <c r="K18" s="69" t="n">
        <v>61</v>
      </c>
    </row>
    <row r="19">
      <c r="A19" s="65" t="inlineStr">
        <is>
          <t>correlated</t>
        </is>
      </c>
      <c r="B19" s="65" t="inlineStr">
        <is>
          <t>rev_pa_y2</t>
        </is>
      </c>
      <c r="C19" s="69" t="n">
        <v>246.522001209278</v>
      </c>
      <c r="D19" s="69" t="n">
        <v>143.6221650412743</v>
      </c>
      <c r="E19" s="69" t="n">
        <v>63.03031577270136</v>
      </c>
      <c r="F19" s="69" t="n">
        <v>73.33512115477025</v>
      </c>
      <c r="G19" s="69" t="n">
        <v>95.9520286731078</v>
      </c>
      <c r="H19" s="69" t="n">
        <v>129.3943445168624</v>
      </c>
      <c r="I19" s="69" t="n">
        <v>175.0373652042883</v>
      </c>
      <c r="J19" s="69" t="n">
        <v>230.9907624451133</v>
      </c>
      <c r="K19" s="69" t="n">
        <v>271.7112666035252</v>
      </c>
    </row>
    <row r="20">
      <c r="A20" s="65" t="inlineStr">
        <is>
          <t>correlated</t>
        </is>
      </c>
      <c r="B20" s="65" t="inlineStr">
        <is>
          <t>y10_usd_m</t>
        </is>
      </c>
      <c r="C20" s="69" t="n">
        <v>10.0599041121845</v>
      </c>
      <c r="D20" s="69" t="n">
        <v>7.318963826790164</v>
      </c>
      <c r="E20" s="69" t="n">
        <v>1.571680628173176</v>
      </c>
      <c r="F20" s="69" t="n">
        <v>2.106306764302865</v>
      </c>
      <c r="G20" s="69" t="n">
        <v>3.369237251500815</v>
      </c>
      <c r="H20" s="69" t="n">
        <v>5.640720442226931</v>
      </c>
      <c r="I20" s="69" t="n">
        <v>9.300439564437081</v>
      </c>
      <c r="J20" s="69" t="n">
        <v>14.49901297453439</v>
      </c>
      <c r="K20" s="69" t="n">
        <v>18.80264395447418</v>
      </c>
    </row>
    <row r="21">
      <c r="A21" s="65" t="inlineStr">
        <is>
          <t>correlated</t>
        </is>
      </c>
      <c r="B21" s="65" t="inlineStr">
        <is>
          <t>peak_cr</t>
        </is>
      </c>
      <c r="C21" s="69" t="n">
        <v>2688.109215709722</v>
      </c>
      <c r="D21" s="69" t="n">
        <v>5128.353743954221</v>
      </c>
      <c r="E21" s="69" t="n">
        <v>2613.102565341957</v>
      </c>
      <c r="F21" s="69" t="n">
        <v>2921.654466296235</v>
      </c>
      <c r="G21" s="69" t="n">
        <v>3658.983229031634</v>
      </c>
      <c r="H21" s="69" t="n">
        <v>4854.2726707605</v>
      </c>
      <c r="I21" s="69" t="n">
        <v>6329.342257648867</v>
      </c>
      <c r="J21" s="69" t="n">
        <v>7689.60607091441</v>
      </c>
      <c r="K21" s="69" t="n">
        <v>8554.928811096097</v>
      </c>
    </row>
    <row r="22">
      <c r="A22" s="65" t="inlineStr">
        <is>
          <t>weekly</t>
        </is>
      </c>
      <c r="B22" s="65" t="inlineStr">
        <is>
          <t>net</t>
        </is>
      </c>
      <c r="C22" s="69" t="n">
        <v>-560.1129081230642</v>
      </c>
      <c r="D22" s="69" t="n">
        <v>-791.4479236995876</v>
      </c>
      <c r="E22" s="69" t="n">
        <v>-1306.07991030084</v>
      </c>
      <c r="F22" s="69" t="n">
        <v>-1145.332203163174</v>
      </c>
      <c r="G22" s="69" t="n">
        <v>-932.9578311677819</v>
      </c>
      <c r="H22" s="69" t="n">
        <v>-744.6074984996358</v>
      </c>
      <c r="I22" s="69" t="n">
        <v>-599.6303010199126</v>
      </c>
      <c r="J22" s="69" t="n">
        <v>-490.1943353556529</v>
      </c>
      <c r="K22" s="69" t="n">
        <v>-437.9162623617374</v>
      </c>
    </row>
    <row r="23">
      <c r="A23" s="65" t="inlineStr">
        <is>
          <t>weekly</t>
        </is>
      </c>
      <c r="B23" s="65" t="inlineStr">
        <is>
          <t>ratio</t>
        </is>
      </c>
      <c r="C23" s="69" t="n">
        <v>-1.187241157033409</v>
      </c>
      <c r="D23" s="69" t="n">
        <v>-0.4736690400417043</v>
      </c>
      <c r="E23" s="69" t="n">
        <v>-1.071043987651783</v>
      </c>
      <c r="F23" s="69" t="n">
        <v>-0.8542179852391121</v>
      </c>
      <c r="G23" s="69" t="n">
        <v>-0.5982249722404588</v>
      </c>
      <c r="H23" s="69" t="n">
        <v>-0.3953746618577877</v>
      </c>
      <c r="I23" s="69" t="n">
        <v>-0.2643806832053337</v>
      </c>
      <c r="J23" s="69" t="n">
        <v>-0.1812013749251537</v>
      </c>
      <c r="K23" s="69" t="n">
        <v>-0.1423414389246636</v>
      </c>
    </row>
    <row r="24">
      <c r="A24" s="65" t="inlineStr">
        <is>
          <t>weekly</t>
        </is>
      </c>
      <c r="B24" s="65" t="inlineStr">
        <is>
          <t>ltv60</t>
        </is>
      </c>
      <c r="C24" s="69" t="n">
        <v>-304.0309912654121</v>
      </c>
      <c r="D24" s="69" t="n">
        <v>-222.0534506429662</v>
      </c>
      <c r="E24" s="69" t="n">
        <v>-389.4499561817083</v>
      </c>
      <c r="F24" s="69" t="n">
        <v>-344.6654560907771</v>
      </c>
      <c r="G24" s="69" t="n">
        <v>-273.0380055724295</v>
      </c>
      <c r="H24" s="69" t="n">
        <v>-208.7945366965353</v>
      </c>
      <c r="I24" s="69" t="n">
        <v>-155.280994748893</v>
      </c>
      <c r="J24" s="69" t="n">
        <v>-119.0731091955007</v>
      </c>
      <c r="K24" s="69" t="n">
        <v>-101.1491444124346</v>
      </c>
    </row>
    <row r="25">
      <c r="A25" s="65" t="inlineStr">
        <is>
          <t>weekly</t>
        </is>
      </c>
      <c r="B25" s="65" t="inlineStr">
        <is>
          <t>cac</t>
        </is>
      </c>
      <c r="C25" s="69" t="n">
        <v>256.0819168576521</v>
      </c>
      <c r="D25" s="69" t="n">
        <v>569.3944730566213</v>
      </c>
      <c r="E25" s="69" t="n">
        <v>252.8109223446626</v>
      </c>
      <c r="F25" s="69" t="n">
        <v>297.0946122059373</v>
      </c>
      <c r="G25" s="69" t="n">
        <v>383.5134425111364</v>
      </c>
      <c r="H25" s="69" t="n">
        <v>517.8364780202241</v>
      </c>
      <c r="I25" s="69" t="n">
        <v>693.793406585354</v>
      </c>
      <c r="J25" s="69" t="n">
        <v>905.3162091455393</v>
      </c>
      <c r="K25" s="69" t="n">
        <v>1070.791744595154</v>
      </c>
    </row>
    <row r="26">
      <c r="A26" s="65" t="inlineStr">
        <is>
          <t>weekly</t>
        </is>
      </c>
      <c r="B26" s="65" t="inlineStr">
        <is>
          <t>payback</t>
        </is>
      </c>
      <c r="C26" s="69" t="n">
        <v>61</v>
      </c>
      <c r="D26" s="69" t="n">
        <v>61</v>
      </c>
      <c r="E26" s="69" t="n">
        <v>61</v>
      </c>
      <c r="F26" s="69" t="n">
        <v>61</v>
      </c>
      <c r="G26" s="69" t="n">
        <v>61</v>
      </c>
      <c r="H26" s="69" t="n">
        <v>61</v>
      </c>
      <c r="I26" s="69" t="n">
        <v>61</v>
      </c>
      <c r="J26" s="69" t="n">
        <v>61</v>
      </c>
      <c r="K26" s="69" t="n">
        <v>61</v>
      </c>
    </row>
    <row r="27">
      <c r="A27" s="65" t="inlineStr">
        <is>
          <t>weekly</t>
        </is>
      </c>
      <c r="B27" s="65" t="inlineStr">
        <is>
          <t>rev_pa_y2</t>
        </is>
      </c>
      <c r="C27" s="69" t="n">
        <v>246.522001209278</v>
      </c>
      <c r="D27" s="69" t="n">
        <v>137.4886733110067</v>
      </c>
      <c r="E27" s="69" t="n">
        <v>76.72698056923953</v>
      </c>
      <c r="F27" s="69" t="n">
        <v>86.33679522179264</v>
      </c>
      <c r="G27" s="69" t="n">
        <v>104.6157966351977</v>
      </c>
      <c r="H27" s="69" t="n">
        <v>129.6361094856668</v>
      </c>
      <c r="I27" s="69" t="n">
        <v>162.0049204719911</v>
      </c>
      <c r="J27" s="69" t="n">
        <v>198.1175003684606</v>
      </c>
      <c r="K27" s="69" t="n">
        <v>223.6240051588101</v>
      </c>
    </row>
    <row r="28">
      <c r="A28" s="65" t="inlineStr">
        <is>
          <t>weekly</t>
        </is>
      </c>
      <c r="B28" s="65" t="inlineStr">
        <is>
          <t>y10_usd_m</t>
        </is>
      </c>
      <c r="C28" s="69" t="n">
        <v>10.0599041121845</v>
      </c>
      <c r="D28" s="69" t="n">
        <v>6.310707453310997</v>
      </c>
      <c r="E28" s="69" t="n">
        <v>2.466765876829363</v>
      </c>
      <c r="F28" s="69" t="n">
        <v>2.975940456440895</v>
      </c>
      <c r="G28" s="69" t="n">
        <v>4.043545905241185</v>
      </c>
      <c r="H28" s="69" t="n">
        <v>5.69517836432618</v>
      </c>
      <c r="I28" s="69" t="n">
        <v>7.860019033286751</v>
      </c>
      <c r="J28" s="69" t="n">
        <v>10.38551008436206</v>
      </c>
      <c r="K28" s="69" t="n">
        <v>12.39095107102371</v>
      </c>
    </row>
    <row r="29">
      <c r="A29" s="65" t="inlineStr">
        <is>
          <t>weekly</t>
        </is>
      </c>
      <c r="B29" s="65" t="inlineStr">
        <is>
          <t>peak_cr</t>
        </is>
      </c>
      <c r="C29" s="69" t="n">
        <v>2688.109215709722</v>
      </c>
      <c r="D29" s="69" t="n">
        <v>3911.797304223232</v>
      </c>
      <c r="E29" s="69" t="n">
        <v>2408.833153017304</v>
      </c>
      <c r="F29" s="69" t="n">
        <v>2615.627616981779</v>
      </c>
      <c r="G29" s="69" t="n">
        <v>3056.664409750129</v>
      </c>
      <c r="H29" s="69" t="n">
        <v>3689.413538637326</v>
      </c>
      <c r="I29" s="69" t="n">
        <v>4494.440286753867</v>
      </c>
      <c r="J29" s="69" t="n">
        <v>5452.048548180325</v>
      </c>
      <c r="K29" s="69" t="n">
        <v>6198.727600980475</v>
      </c>
    </row>
    <row r="31">
      <c r="A31" s="2" t="inlineStr">
        <is>
          <t>Probabilities (share of draws)</t>
        </is>
      </c>
    </row>
    <row r="32">
      <c r="A32" s="64" t="inlineStr">
        <is>
          <t>variant</t>
        </is>
      </c>
      <c r="B32" s="64" t="inlineStr">
        <is>
          <t>metric</t>
        </is>
      </c>
      <c r="C32" s="64" t="inlineStr">
        <is>
          <t>mean</t>
        </is>
      </c>
    </row>
    <row r="33">
      <c r="A33" s="65" t="inlineStr">
        <is>
          <t>independent</t>
        </is>
      </c>
      <c r="B33" s="65" t="inlineStr">
        <is>
          <t>p_net_pos</t>
        </is>
      </c>
      <c r="C33" s="66" t="n">
        <v>0</v>
      </c>
    </row>
    <row r="34">
      <c r="A34" s="65" t="inlineStr">
        <is>
          <t>independent</t>
        </is>
      </c>
      <c r="B34" s="65" t="inlineStr">
        <is>
          <t>p_ratio_ge1</t>
        </is>
      </c>
      <c r="C34" s="66" t="n">
        <v>0</v>
      </c>
    </row>
    <row r="35">
      <c r="A35" s="65" t="inlineStr">
        <is>
          <t>independent</t>
        </is>
      </c>
      <c r="B35" s="65" t="inlineStr">
        <is>
          <t>p_ratio_ge3</t>
        </is>
      </c>
      <c r="C35" s="66" t="n">
        <v>0</v>
      </c>
    </row>
    <row r="36">
      <c r="A36" s="65" t="inlineStr">
        <is>
          <t>independent</t>
        </is>
      </c>
      <c r="B36" s="65" t="inlineStr">
        <is>
          <t>p_payback_le24</t>
        </is>
      </c>
      <c r="C36" s="66" t="n">
        <v>0</v>
      </c>
    </row>
    <row r="37">
      <c r="A37" s="65" t="inlineStr">
        <is>
          <t>independent</t>
        </is>
      </c>
      <c r="B37" s="65" t="inlineStr">
        <is>
          <t>p_y10_ge100</t>
        </is>
      </c>
      <c r="C37" s="66" t="n">
        <v>0</v>
      </c>
    </row>
    <row r="38">
      <c r="A38" s="65" t="inlineStr">
        <is>
          <t>independent</t>
        </is>
      </c>
      <c r="B38" s="65" t="inlineStr">
        <is>
          <t>p_y10_ge50</t>
        </is>
      </c>
      <c r="C38" s="66" t="n">
        <v>0</v>
      </c>
    </row>
    <row r="39">
      <c r="A39" s="65" t="inlineStr">
        <is>
          <t>correlated</t>
        </is>
      </c>
      <c r="B39" s="65" t="inlineStr">
        <is>
          <t>p_net_pos</t>
        </is>
      </c>
      <c r="C39" s="66" t="n">
        <v>0</v>
      </c>
    </row>
    <row r="40">
      <c r="A40" s="65" t="inlineStr">
        <is>
          <t>correlated</t>
        </is>
      </c>
      <c r="B40" s="65" t="inlineStr">
        <is>
          <t>p_ratio_ge1</t>
        </is>
      </c>
      <c r="C40" s="66" t="n">
        <v>0</v>
      </c>
    </row>
    <row r="41">
      <c r="A41" s="65" t="inlineStr">
        <is>
          <t>correlated</t>
        </is>
      </c>
      <c r="B41" s="65" t="inlineStr">
        <is>
          <t>p_ratio_ge3</t>
        </is>
      </c>
      <c r="C41" s="66" t="n">
        <v>0</v>
      </c>
    </row>
    <row r="42">
      <c r="A42" s="65" t="inlineStr">
        <is>
          <t>correlated</t>
        </is>
      </c>
      <c r="B42" s="65" t="inlineStr">
        <is>
          <t>p_payback_le24</t>
        </is>
      </c>
      <c r="C42" s="66" t="n">
        <v>0</v>
      </c>
    </row>
    <row r="43">
      <c r="A43" s="65" t="inlineStr">
        <is>
          <t>correlated</t>
        </is>
      </c>
      <c r="B43" s="65" t="inlineStr">
        <is>
          <t>p_y10_ge100</t>
        </is>
      </c>
      <c r="C43" s="66" t="n">
        <v>0</v>
      </c>
    </row>
    <row r="44">
      <c r="A44" s="65" t="inlineStr">
        <is>
          <t>correlated</t>
        </is>
      </c>
      <c r="B44" s="65" t="inlineStr">
        <is>
          <t>p_y10_ge50</t>
        </is>
      </c>
      <c r="C44" s="66" t="n">
        <v>0.001</v>
      </c>
    </row>
    <row r="45">
      <c r="A45" s="65" t="inlineStr">
        <is>
          <t>weekly</t>
        </is>
      </c>
      <c r="B45" s="65" t="inlineStr">
        <is>
          <t>p_net_pos</t>
        </is>
      </c>
      <c r="C45" s="66" t="n">
        <v>0</v>
      </c>
    </row>
    <row r="46">
      <c r="A46" s="65" t="inlineStr">
        <is>
          <t>weekly</t>
        </is>
      </c>
      <c r="B46" s="65" t="inlineStr">
        <is>
          <t>p_ratio_ge1</t>
        </is>
      </c>
      <c r="C46" s="66" t="n">
        <v>0</v>
      </c>
    </row>
    <row r="47">
      <c r="A47" s="65" t="inlineStr">
        <is>
          <t>weekly</t>
        </is>
      </c>
      <c r="B47" s="65" t="inlineStr">
        <is>
          <t>p_ratio_ge3</t>
        </is>
      </c>
      <c r="C47" s="66" t="n">
        <v>0</v>
      </c>
    </row>
    <row r="48">
      <c r="A48" s="65" t="inlineStr">
        <is>
          <t>weekly</t>
        </is>
      </c>
      <c r="B48" s="65" t="inlineStr">
        <is>
          <t>p_payback_le24</t>
        </is>
      </c>
      <c r="C48" s="66" t="n">
        <v>0</v>
      </c>
    </row>
    <row r="49">
      <c r="A49" s="65" t="inlineStr">
        <is>
          <t>weekly</t>
        </is>
      </c>
      <c r="B49" s="65" t="inlineStr">
        <is>
          <t>p_y10_ge100</t>
        </is>
      </c>
      <c r="C49" s="66" t="n">
        <v>0</v>
      </c>
    </row>
    <row r="50">
      <c r="A50" s="65" t="inlineStr">
        <is>
          <t>weekly</t>
        </is>
      </c>
      <c r="B50" s="65" t="inlineStr">
        <is>
          <t>p_y10_ge50</t>
        </is>
      </c>
      <c r="C50" s="66" t="n">
        <v>0</v>
      </c>
    </row>
    <row r="52">
      <c r="A52" s="2" t="inlineStr">
        <is>
          <t>Drivers of net value per saver (rank regression; variance_share sums to 100% per variant)</t>
        </is>
      </c>
    </row>
    <row r="53">
      <c r="A53" s="64" t="inlineStr">
        <is>
          <t>variant</t>
        </is>
      </c>
      <c r="B53" s="64" t="inlineStr">
        <is>
          <t>input</t>
        </is>
      </c>
      <c r="C53" s="64" t="inlineStr">
        <is>
          <t>spearman</t>
        </is>
      </c>
      <c r="D53" s="64" t="inlineStr">
        <is>
          <t>variance_share</t>
        </is>
      </c>
      <c r="E53" s="64" t="inlineStr">
        <is>
          <t>rank_model_r2</t>
        </is>
      </c>
    </row>
    <row r="54">
      <c r="A54" s="65" t="inlineStr">
        <is>
          <t>correlated</t>
        </is>
      </c>
      <c r="B54" s="65" t="inlineStr">
        <is>
          <t>pay_flat</t>
        </is>
      </c>
      <c r="C54" s="70" t="n">
        <v>-0.7765960863301352</v>
      </c>
      <c r="D54" s="66" t="n">
        <v>0.7367365928812685</v>
      </c>
      <c r="E54" s="70" t="n">
        <v>0.8923177967366839</v>
      </c>
    </row>
    <row r="55">
      <c r="A55" s="65" t="inlineStr">
        <is>
          <t>correlated</t>
        </is>
      </c>
      <c r="B55" s="65" t="inlineStr">
        <is>
          <t>cac_target@ng</t>
        </is>
      </c>
      <c r="C55" s="70" t="n">
        <v>-0.26437299870373</v>
      </c>
      <c r="D55" s="66" t="n">
        <v>0.09797737468108537</v>
      </c>
      <c r="E55" s="70" t="n">
        <v>0.8923177967366839</v>
      </c>
    </row>
    <row r="56">
      <c r="A56" s="65" t="inlineStr">
        <is>
          <t>correlated</t>
        </is>
      </c>
      <c r="B56" s="65" t="inlineStr">
        <is>
          <t>cac_target@gig</t>
        </is>
      </c>
      <c r="C56" s="70" t="n">
        <v>-0.2639415165834152</v>
      </c>
      <c r="D56" s="66" t="n">
        <v>0.08072464823311677</v>
      </c>
      <c r="E56" s="70" t="n">
        <v>0.8923177967366839</v>
      </c>
    </row>
    <row r="57">
      <c r="A57" s="65" t="inlineStr">
        <is>
          <t>correlated</t>
        </is>
      </c>
      <c r="B57" s="65" t="inlineStr">
        <is>
          <t>fail_billed</t>
        </is>
      </c>
      <c r="C57" s="70" t="n">
        <v>-0.174002657531564</v>
      </c>
      <c r="D57" s="66" t="n">
        <v>0.03117853308917598</v>
      </c>
      <c r="E57" s="70" t="n">
        <v>0.8923177967366839</v>
      </c>
    </row>
    <row r="58">
      <c r="A58" s="65" t="inlineStr">
        <is>
          <t>correlated</t>
        </is>
      </c>
      <c r="B58" s="65" t="inlineStr">
        <is>
          <t>ret_m12@ng</t>
        </is>
      </c>
      <c r="C58" s="70" t="n">
        <v>-0.305177499183775</v>
      </c>
      <c r="D58" s="66" t="n">
        <v>0.02884747327390715</v>
      </c>
      <c r="E58" s="70" t="n">
        <v>0.8923177967366839</v>
      </c>
    </row>
    <row r="59">
      <c r="A59" s="65" t="inlineStr">
        <is>
          <t>correlated</t>
        </is>
      </c>
      <c r="B59" s="65" t="inlineStr">
        <is>
          <t>ret_m12@gig</t>
        </is>
      </c>
      <c r="C59" s="70" t="n">
        <v>-0.3045020487690205</v>
      </c>
      <c r="D59" s="66" t="n">
        <v>0.005872315618385312</v>
      </c>
      <c r="E59" s="70" t="n">
        <v>0.8923177967366839</v>
      </c>
    </row>
    <row r="60">
      <c r="A60" s="65" t="inlineStr">
        <is>
          <t>correlated</t>
        </is>
      </c>
      <c r="B60" s="65" t="inlineStr">
        <is>
          <t>churn_late</t>
        </is>
      </c>
      <c r="C60" s="70" t="n">
        <v>0.3045020487690205</v>
      </c>
      <c r="D60" s="66" t="n">
        <v>0.005872315618385296</v>
      </c>
      <c r="E60" s="70" t="n">
        <v>0.8923177967366839</v>
      </c>
    </row>
    <row r="61">
      <c r="A61" s="65" t="inlineStr">
        <is>
          <t>correlated</t>
        </is>
      </c>
      <c r="B61" s="65" t="inlineStr">
        <is>
          <t>cost_support</t>
        </is>
      </c>
      <c r="C61" s="70" t="n">
        <v>-0.04985609597456096</v>
      </c>
      <c r="D61" s="66" t="n">
        <v>0.003503039491542796</v>
      </c>
      <c r="E61" s="70" t="n">
        <v>0.8923177967366839</v>
      </c>
    </row>
    <row r="62">
      <c r="A62" s="65" t="inlineStr">
        <is>
          <t>correlated</t>
        </is>
      </c>
      <c r="B62" s="65" t="inlineStr">
        <is>
          <t>ret_m24_ratio</t>
        </is>
      </c>
      <c r="C62" s="70" t="n">
        <v>-0.07061710393017104</v>
      </c>
      <c r="D62" s="66" t="n">
        <v>0.001974974094930384</v>
      </c>
      <c r="E62" s="70" t="n">
        <v>0.8923177967366839</v>
      </c>
    </row>
    <row r="63">
      <c r="A63" s="65" t="inlineStr">
        <is>
          <t>correlated</t>
        </is>
      </c>
      <c r="B63" s="65" t="inlineStr">
        <is>
          <t>pay_pct</t>
        </is>
      </c>
      <c r="C63" s="70" t="n">
        <v>-0.05108144755881448</v>
      </c>
      <c r="D63" s="66" t="n">
        <v>0.001581908723141202</v>
      </c>
      <c r="E63" s="70" t="n">
        <v>0.8923177967366839</v>
      </c>
    </row>
    <row r="64">
      <c r="A64" s="65" t="inlineStr">
        <is>
          <t>correlated</t>
        </is>
      </c>
      <c r="B64" s="65" t="inlineStr">
        <is>
          <t>debits_success@gig</t>
        </is>
      </c>
      <c r="C64" s="70" t="n">
        <v>-0.1936480109444801</v>
      </c>
      <c r="D64" s="66" t="n">
        <v>0.000996012619226953</v>
      </c>
      <c r="E64" s="70" t="n">
        <v>0.8923177967366839</v>
      </c>
    </row>
    <row r="65">
      <c r="A65" s="65" t="inlineStr">
        <is>
          <t>correlated</t>
        </is>
      </c>
      <c r="B65" s="65" t="inlineStr">
        <is>
          <t>gold_margin</t>
        </is>
      </c>
      <c r="C65" s="70" t="n">
        <v>0.0222051899700519</v>
      </c>
      <c r="D65" s="66" t="n">
        <v>0.0008722315072852937</v>
      </c>
      <c r="E65" s="70" t="n">
        <v>0.8923177967366839</v>
      </c>
    </row>
    <row r="66">
      <c r="A66" s="65" t="inlineStr">
        <is>
          <t>correlated</t>
        </is>
      </c>
      <c r="B66" s="65" t="inlineStr">
        <is>
          <t>debits_success@ng</t>
        </is>
      </c>
      <c r="C66" s="70" t="n">
        <v>-0.1883770844277708</v>
      </c>
      <c r="D66" s="66" t="n">
        <v>0.0007298584322134891</v>
      </c>
      <c r="E66" s="70" t="n">
        <v>0.8923177967366839</v>
      </c>
    </row>
    <row r="67">
      <c r="A67" s="65" t="inlineStr">
        <is>
          <t>correlated</t>
        </is>
      </c>
      <c r="B67" s="65" t="inlineStr">
        <is>
          <t>cost_tech</t>
        </is>
      </c>
      <c r="C67" s="70" t="n">
        <v>-0.01726109558861096</v>
      </c>
      <c r="D67" s="66" t="n">
        <v>0.000619990137847603</v>
      </c>
      <c r="E67" s="70" t="n">
        <v>0.8923177967366839</v>
      </c>
    </row>
    <row r="68">
      <c r="A68" s="65" t="inlineStr">
        <is>
          <t>correlated</t>
        </is>
      </c>
      <c r="B68" s="65" t="inlineStr">
        <is>
          <t>daily_amount@ng</t>
        </is>
      </c>
      <c r="C68" s="70" t="n">
        <v>-0.191494097334941</v>
      </c>
      <c r="D68" s="66" t="n">
        <v>0.0005344631013803667</v>
      </c>
      <c r="E68" s="70" t="n">
        <v>0.8923177967366839</v>
      </c>
    </row>
    <row r="69">
      <c r="A69" s="65" t="inlineStr">
        <is>
          <t>correlated</t>
        </is>
      </c>
      <c r="B69" s="65" t="inlineStr">
        <is>
          <t>cost_notice</t>
        </is>
      </c>
      <c r="C69" s="70" t="n">
        <v>-0.02989265125092651</v>
      </c>
      <c r="D69" s="66" t="n">
        <v>0.0003908924376722806</v>
      </c>
      <c r="E69" s="70" t="n">
        <v>0.8923177967366839</v>
      </c>
    </row>
    <row r="70">
      <c r="A70" s="65" t="inlineStr">
        <is>
          <t>correlated</t>
        </is>
      </c>
      <c r="B70" s="65" t="inlineStr">
        <is>
          <t>withdraw_rate</t>
        </is>
      </c>
      <c r="C70" s="70" t="n">
        <v>0.1660962543049626</v>
      </c>
      <c r="D70" s="66" t="n">
        <v>0.0002013890693200279</v>
      </c>
      <c r="E70" s="70" t="n">
        <v>0.8923177967366839</v>
      </c>
    </row>
    <row r="71">
      <c r="A71" s="65" t="inlineStr">
        <is>
          <t>correlated</t>
        </is>
      </c>
      <c r="B71" s="65" t="inlineStr">
        <is>
          <t>daily_amount@gig</t>
        </is>
      </c>
      <c r="C71" s="70" t="n">
        <v>-0.1912688494846885</v>
      </c>
      <c r="D71" s="66" t="n">
        <v>0.000172161754718981</v>
      </c>
      <c r="E71" s="70" t="n">
        <v>0.8923177967366839</v>
      </c>
    </row>
    <row r="72">
      <c r="A72" s="65" t="inlineStr">
        <is>
          <t>correlated</t>
        </is>
      </c>
      <c r="B72" s="65" t="inlineStr">
        <is>
          <t>loan_apply</t>
        </is>
      </c>
      <c r="C72" s="70" t="n">
        <v>-0.1771692878116929</v>
      </c>
      <c r="D72" s="66" t="n">
        <v>0.0001504475478638466</v>
      </c>
      <c r="E72" s="70" t="n">
        <v>0.8923177967366839</v>
      </c>
    </row>
    <row r="73">
      <c r="A73" s="65" t="inlineStr">
        <is>
          <t>correlated</t>
        </is>
      </c>
      <c r="B73" s="65" t="inlineStr">
        <is>
          <t>card_eligible</t>
        </is>
      </c>
      <c r="C73" s="70" t="n">
        <v>0.002094688364946884</v>
      </c>
      <c r="D73" s="66" t="n">
        <v>0.0001224448118044212</v>
      </c>
      <c r="E73" s="70" t="n">
        <v>0.8923177967366839</v>
      </c>
    </row>
    <row r="74">
      <c r="A74" s="65" t="inlineStr">
        <is>
          <t>correlated</t>
        </is>
      </c>
      <c r="B74" s="65" t="inlineStr">
        <is>
          <t>cost_fraud</t>
        </is>
      </c>
      <c r="C74" s="70" t="n">
        <v>-0.009688881120888811</v>
      </c>
      <c r="D74" s="66" t="n">
        <v>0.0001218818553080087</v>
      </c>
      <c r="E74" s="70" t="n">
        <v>0.8923177967366839</v>
      </c>
    </row>
    <row r="75">
      <c r="A75" s="65" t="inlineStr">
        <is>
          <t>correlated</t>
        </is>
      </c>
      <c r="B75" s="65" t="inlineStr">
        <is>
          <t>cost_rewards</t>
        </is>
      </c>
      <c r="C75" s="70" t="n">
        <v>-0.01255477642154776</v>
      </c>
      <c r="D75" s="66" t="n">
        <v>0.0001149383143747724</v>
      </c>
      <c r="E75" s="70" t="n">
        <v>0.8923177967366839</v>
      </c>
    </row>
    <row r="76">
      <c r="A76" s="65" t="inlineStr">
        <is>
          <t>correlated</t>
        </is>
      </c>
      <c r="B76" s="65" t="inlineStr">
        <is>
          <t>card_uptake</t>
        </is>
      </c>
      <c r="C76" s="70" t="n">
        <v>0.007535034903350348</v>
      </c>
      <c r="D76" s="66" t="n">
        <v>9.572987072218957e-05</v>
      </c>
      <c r="E76" s="70" t="n">
        <v>0.8923177967366839</v>
      </c>
    </row>
    <row r="77">
      <c r="A77" s="65" t="inlineStr">
        <is>
          <t>correlated</t>
        </is>
      </c>
      <c r="B77" s="65" t="inlineStr">
        <is>
          <t>card_fee</t>
        </is>
      </c>
      <c r="C77" s="70" t="n">
        <v>0.00271240902312409</v>
      </c>
      <c r="D77" s="66" t="n">
        <v>8.036256748091251e-05</v>
      </c>
      <c r="E77" s="70" t="n">
        <v>0.8923177967366839</v>
      </c>
    </row>
    <row r="78">
      <c r="A78" s="65" t="inlineStr">
        <is>
          <t>correlated</t>
        </is>
      </c>
      <c r="B78" s="65" t="inlineStr">
        <is>
          <t>loan_repeat</t>
        </is>
      </c>
      <c r="C78" s="70" t="n">
        <v>-0.1716781796527818</v>
      </c>
      <c r="D78" s="66" t="n">
        <v>7.164554936909187e-05</v>
      </c>
      <c r="E78" s="70" t="n">
        <v>0.8923177967366839</v>
      </c>
    </row>
    <row r="79">
      <c r="A79" s="65" t="inlineStr">
        <is>
          <t>correlated</t>
        </is>
      </c>
      <c r="B79" s="65" t="inlineStr">
        <is>
          <t>ins_uptake@gig</t>
        </is>
      </c>
      <c r="C79" s="70" t="n">
        <v>-0.1838987083109871</v>
      </c>
      <c r="D79" s="66" t="n">
        <v>6.135975441386866e-05</v>
      </c>
      <c r="E79" s="70" t="n">
        <v>0.8923177967366839</v>
      </c>
    </row>
    <row r="80">
      <c r="A80" s="65" t="inlineStr">
        <is>
          <t>correlated</t>
        </is>
      </c>
      <c r="B80" s="65" t="inlineStr">
        <is>
          <t>fd_share</t>
        </is>
      </c>
      <c r="C80" s="70" t="n">
        <v>0.01983969861039699</v>
      </c>
      <c r="D80" s="66" t="n">
        <v>5.624159531771843e-05</v>
      </c>
      <c r="E80" s="70" t="n">
        <v>0.8923177967366839</v>
      </c>
    </row>
    <row r="81">
      <c r="A81" s="65" t="inlineStr">
        <is>
          <t>correlated</t>
        </is>
      </c>
      <c r="B81" s="65" t="inlineStr">
        <is>
          <t>sip_uptake</t>
        </is>
      </c>
      <c r="C81" s="70" t="n">
        <v>-0.1842325244823252</v>
      </c>
      <c r="D81" s="66" t="n">
        <v>4.34609352772112e-05</v>
      </c>
      <c r="E81" s="70" t="n">
        <v>0.8923177967366839</v>
      </c>
    </row>
    <row r="82">
      <c r="A82" s="65" t="inlineStr">
        <is>
          <t>correlated</t>
        </is>
      </c>
      <c r="B82" s="65" t="inlineStr">
        <is>
          <t>dlg_fee_uplift</t>
        </is>
      </c>
      <c r="C82" s="70" t="n">
        <v>0.006833600024336</v>
      </c>
      <c r="D82" s="66" t="n">
        <v>4.095585000685721e-05</v>
      </c>
      <c r="E82" s="70" t="n">
        <v>0.8923177967366839</v>
      </c>
    </row>
    <row r="83">
      <c r="A83" s="65" t="inlineStr">
        <is>
          <t>correlated</t>
        </is>
      </c>
      <c r="B83" s="65" t="inlineStr">
        <is>
          <t>card_churn</t>
        </is>
      </c>
      <c r="C83" s="70" t="n">
        <v>-0.001619602792196028</v>
      </c>
      <c r="D83" s="66" t="n">
        <v>4.050051690487233e-05</v>
      </c>
      <c r="E83" s="70" t="n">
        <v>0.8923177967366839</v>
      </c>
    </row>
    <row r="84">
      <c r="A84" s="65" t="inlineStr">
        <is>
          <t>correlated</t>
        </is>
      </c>
      <c r="B84" s="65" t="inlineStr">
        <is>
          <t>ins_uptake@ng</t>
        </is>
      </c>
      <c r="C84" s="70" t="n">
        <v>-0.1749771675457717</v>
      </c>
      <c r="D84" s="66" t="n">
        <v>3.78469737057913e-05</v>
      </c>
      <c r="E84" s="70" t="n">
        <v>0.8923177967366839</v>
      </c>
    </row>
    <row r="85">
      <c r="A85" s="65" t="inlineStr">
        <is>
          <t>correlated</t>
        </is>
      </c>
      <c r="B85" s="65" t="inlineStr">
        <is>
          <t>ins_eligible</t>
        </is>
      </c>
      <c r="C85" s="70" t="n">
        <v>0.00519904495599045</v>
      </c>
      <c r="D85" s="66" t="n">
        <v>2.625793509432705e-05</v>
      </c>
      <c r="E85" s="70" t="n">
        <v>0.8923177967366839</v>
      </c>
    </row>
    <row r="86">
      <c r="A86" s="65" t="inlineStr">
        <is>
          <t>correlated</t>
        </is>
      </c>
      <c r="B86" s="65" t="inlineStr">
        <is>
          <t>ins_comm_renew</t>
        </is>
      </c>
      <c r="C86" s="70" t="n">
        <v>0.01255293142152931</v>
      </c>
      <c r="D86" s="66" t="n">
        <v>1.906721156357018e-05</v>
      </c>
      <c r="E86" s="70" t="n">
        <v>0.8923177967366839</v>
      </c>
    </row>
    <row r="87">
      <c r="A87" s="65" t="inlineStr">
        <is>
          <t>correlated</t>
        </is>
      </c>
      <c r="B87" s="65" t="inlineStr">
        <is>
          <t>card_ops_cost</t>
        </is>
      </c>
      <c r="C87" s="70" t="n">
        <v>0.00928481105684811</v>
      </c>
      <c r="D87" s="66" t="n">
        <v>1.780004327252286e-05</v>
      </c>
      <c r="E87" s="70" t="n">
        <v>0.8923177967366839</v>
      </c>
    </row>
    <row r="88">
      <c r="A88" s="65" t="inlineStr">
        <is>
          <t>correlated</t>
        </is>
      </c>
      <c r="B88" s="65" t="inlineStr">
        <is>
          <t>loan_approval@gig</t>
        </is>
      </c>
      <c r="C88" s="70" t="n">
        <v>-0.006161514337615143</v>
      </c>
      <c r="D88" s="66" t="n">
        <v>1.043266505529776e-05</v>
      </c>
      <c r="E88" s="70" t="n">
        <v>0.8923177967366839</v>
      </c>
    </row>
    <row r="89">
      <c r="A89" s="65" t="inlineStr">
        <is>
          <t>correlated</t>
        </is>
      </c>
      <c r="B89" s="65" t="inlineStr">
        <is>
          <t>ins_comm_first</t>
        </is>
      </c>
      <c r="C89" s="70" t="n">
        <v>-0.01265062542650625</v>
      </c>
      <c r="D89" s="66" t="n">
        <v>1.043249843441045e-05</v>
      </c>
      <c r="E89" s="70" t="n">
        <v>0.8923177967366839</v>
      </c>
    </row>
    <row r="90">
      <c r="A90" s="65" t="inlineStr">
        <is>
          <t>correlated</t>
        </is>
      </c>
      <c r="B90" s="65" t="inlineStr">
        <is>
          <t>loan_eligible</t>
        </is>
      </c>
      <c r="C90" s="70" t="n">
        <v>0.003123906595239066</v>
      </c>
      <c r="D90" s="66" t="n">
        <v>1.043178895549845e-05</v>
      </c>
      <c r="E90" s="70" t="n">
        <v>0.8923177967366839</v>
      </c>
    </row>
    <row r="91">
      <c r="A91" s="65" t="inlineStr">
        <is>
          <t>correlated</t>
        </is>
      </c>
      <c r="B91" s="65" t="inlineStr">
        <is>
          <t>loan_ead</t>
        </is>
      </c>
      <c r="C91" s="70" t="n">
        <v>0.00438291801182918</v>
      </c>
      <c r="D91" s="66" t="n">
        <v>9.050582026569526e-06</v>
      </c>
      <c r="E91" s="70" t="n">
        <v>0.8923177967366839</v>
      </c>
    </row>
    <row r="92">
      <c r="A92" s="65" t="inlineStr">
        <is>
          <t>correlated</t>
        </is>
      </c>
      <c r="B92" s="65" t="inlineStr">
        <is>
          <t>ins_premium</t>
        </is>
      </c>
      <c r="C92" s="70" t="n">
        <v>-0.003405512146055121</v>
      </c>
      <c r="D92" s="66" t="n">
        <v>8.231317193780195e-06</v>
      </c>
      <c r="E92" s="70" t="n">
        <v>0.8923177967366839</v>
      </c>
    </row>
    <row r="93">
      <c r="A93" s="65" t="inlineStr">
        <is>
          <t>correlated</t>
        </is>
      </c>
      <c r="B93" s="65" t="inlineStr">
        <is>
          <t>leaver_withdraw</t>
        </is>
      </c>
      <c r="C93" s="70" t="n">
        <v>-0.009157922431579224</v>
      </c>
      <c r="D93" s="66" t="n">
        <v>7.165992619914164e-06</v>
      </c>
      <c r="E93" s="70" t="n">
        <v>0.8923177967366839</v>
      </c>
    </row>
    <row r="94">
      <c r="A94" s="65" t="inlineStr">
        <is>
          <t>correlated</t>
        </is>
      </c>
      <c r="B94" s="65" t="inlineStr">
        <is>
          <t>ins_persist</t>
        </is>
      </c>
      <c r="C94" s="70" t="n">
        <v>-0.1750849595508496</v>
      </c>
      <c r="D94" s="66" t="n">
        <v>6.963876569010792e-06</v>
      </c>
      <c r="E94" s="70" t="n">
        <v>0.8923177967366839</v>
      </c>
    </row>
    <row r="95">
      <c r="A95" s="65" t="inlineStr">
        <is>
          <t>correlated</t>
        </is>
      </c>
      <c r="B95" s="65" t="inlineStr">
        <is>
          <t>ladder_dpd90</t>
        </is>
      </c>
      <c r="C95" s="70" t="n">
        <v>-0.01109320423493204</v>
      </c>
      <c r="D95" s="66" t="n">
        <v>6.557940901041251e-06</v>
      </c>
      <c r="E95" s="70" t="n">
        <v>0.8923177967366839</v>
      </c>
    </row>
    <row r="96">
      <c r="A96" s="65" t="inlineStr">
        <is>
          <t>correlated</t>
        </is>
      </c>
      <c r="B96" s="65" t="inlineStr">
        <is>
          <t>loan_lgd</t>
        </is>
      </c>
      <c r="C96" s="70" t="n">
        <v>0.01514179751541798</v>
      </c>
      <c r="D96" s="66" t="n">
        <v>5.201002166090419e-06</v>
      </c>
      <c r="E96" s="70" t="n">
        <v>0.8923177967366839</v>
      </c>
    </row>
    <row r="97">
      <c r="A97" s="65" t="inlineStr">
        <is>
          <t>correlated</t>
        </is>
      </c>
      <c r="B97" s="65" t="inlineStr">
        <is>
          <t>fund_yield</t>
        </is>
      </c>
      <c r="C97" s="70" t="n">
        <v>0.002616041222160412</v>
      </c>
      <c r="D97" s="66" t="n">
        <v>5.028025836117303e-06</v>
      </c>
      <c r="E97" s="70" t="n">
        <v>0.8923177967366839</v>
      </c>
    </row>
    <row r="98">
      <c r="A98" s="65" t="inlineStr">
        <is>
          <t>correlated</t>
        </is>
      </c>
      <c r="B98" s="65" t="inlineStr">
        <is>
          <t>card_spend</t>
        </is>
      </c>
      <c r="C98" s="70" t="n">
        <v>0.01927414275674143</v>
      </c>
      <c r="D98" s="66" t="n">
        <v>4.220781851276577e-06</v>
      </c>
      <c r="E98" s="70" t="n">
        <v>0.8923177967366839</v>
      </c>
    </row>
    <row r="99">
      <c r="A99" s="65" t="inlineStr">
        <is>
          <t>correlated</t>
        </is>
      </c>
      <c r="B99" s="65" t="inlineStr">
        <is>
          <t>secured_fee</t>
        </is>
      </c>
      <c r="C99" s="70" t="n">
        <v>-0.00544394199043942</v>
      </c>
      <c r="D99" s="66" t="n">
        <v>3.721280473891792e-06</v>
      </c>
      <c r="E99" s="70" t="n">
        <v>0.8923177967366839</v>
      </c>
    </row>
    <row r="100">
      <c r="A100" s="65" t="inlineStr">
        <is>
          <t>correlated</t>
        </is>
      </c>
      <c r="B100" s="65" t="inlineStr">
        <is>
          <t>sip_return</t>
        </is>
      </c>
      <c r="C100" s="70" t="n">
        <v>0.01341236165012362</v>
      </c>
      <c r="D100" s="66" t="n">
        <v>3.078338786786805e-06</v>
      </c>
      <c r="E100" s="70" t="n">
        <v>0.8923177967366839</v>
      </c>
    </row>
    <row r="101">
      <c r="A101" s="65" t="inlineStr">
        <is>
          <t>correlated</t>
        </is>
      </c>
      <c r="B101" s="65" t="inlineStr">
        <is>
          <t>sip_stop</t>
        </is>
      </c>
      <c r="C101" s="70" t="n">
        <v>-0.01808842832488428</v>
      </c>
      <c r="D101" s="66" t="n">
        <v>2.996090843556946e-06</v>
      </c>
      <c r="E101" s="70" t="n">
        <v>0.8923177967366839</v>
      </c>
    </row>
    <row r="102">
      <c r="A102" s="65" t="inlineStr">
        <is>
          <t>correlated</t>
        </is>
      </c>
      <c r="B102" s="65" t="inlineStr">
        <is>
          <t>loan_approval@ng</t>
        </is>
      </c>
      <c r="C102" s="70" t="n">
        <v>0.01142473318224733</v>
      </c>
      <c r="D102" s="66" t="n">
        <v>2.89514614310574e-06</v>
      </c>
      <c r="E102" s="70" t="n">
        <v>0.8923177967366839</v>
      </c>
    </row>
    <row r="103">
      <c r="A103" s="65" t="inlineStr">
        <is>
          <t>correlated</t>
        </is>
      </c>
      <c r="B103" s="65" t="inlineStr">
        <is>
          <t>lsp_fee</t>
        </is>
      </c>
      <c r="C103" s="70" t="n">
        <v>-0.007233002148330022</v>
      </c>
      <c r="D103" s="66" t="n">
        <v>2.600321036166818e-06</v>
      </c>
      <c r="E103" s="70" t="n">
        <v>0.8923177967366839</v>
      </c>
    </row>
    <row r="104">
      <c r="A104" s="65" t="inlineStr">
        <is>
          <t>correlated</t>
        </is>
      </c>
      <c r="B104" s="65" t="inlineStr">
        <is>
          <t>card_ic_share</t>
        </is>
      </c>
      <c r="C104" s="70" t="n">
        <v>-0.002041478192414782</v>
      </c>
      <c r="D104" s="66" t="n">
        <v>2.576847411546461e-06</v>
      </c>
      <c r="E104" s="70" t="n">
        <v>0.8923177967366839</v>
      </c>
    </row>
    <row r="105">
      <c r="A105" s="65" t="inlineStr">
        <is>
          <t>correlated</t>
        </is>
      </c>
      <c r="B105" s="65" t="inlineStr">
        <is>
          <t>fd_fee</t>
        </is>
      </c>
      <c r="C105" s="70" t="n">
        <v>-0.008598092293980925</v>
      </c>
      <c r="D105" s="66" t="n">
        <v>1.938354757456943e-06</v>
      </c>
      <c r="E105" s="70" t="n">
        <v>0.8923177967366839</v>
      </c>
    </row>
    <row r="106">
      <c r="A106" s="65" t="inlineStr">
        <is>
          <t>correlated</t>
        </is>
      </c>
      <c r="B106" s="65" t="inlineStr">
        <is>
          <t>unsec_fee</t>
        </is>
      </c>
      <c r="C106" s="70" t="n">
        <v>0.006320761635207616</v>
      </c>
      <c r="D106" s="66" t="n">
        <v>1.933147903808702e-06</v>
      </c>
      <c r="E106" s="70" t="n">
        <v>0.8923177967366839</v>
      </c>
    </row>
    <row r="107">
      <c r="A107" s="65" t="inlineStr">
        <is>
          <t>correlated</t>
        </is>
      </c>
      <c r="B107" s="65" t="inlineStr">
        <is>
          <t>sip_amount</t>
        </is>
      </c>
      <c r="C107" s="70" t="n">
        <v>0.008332953947329538</v>
      </c>
      <c r="D107" s="66" t="n">
        <v>1.879118547642342e-06</v>
      </c>
      <c r="E107" s="70" t="n">
        <v>0.8923177967366839</v>
      </c>
    </row>
    <row r="108">
      <c r="A108" s="65" t="inlineStr">
        <is>
          <t>correlated</t>
        </is>
      </c>
      <c r="B108" s="65" t="inlineStr">
        <is>
          <t>trail_equity</t>
        </is>
      </c>
      <c r="C108" s="70" t="n">
        <v>-0.01814419640544197</v>
      </c>
      <c r="D108" s="66" t="n">
        <v>1.859235071216724e-06</v>
      </c>
      <c r="E108" s="70" t="n">
        <v>0.8923177967366839</v>
      </c>
    </row>
    <row r="109">
      <c r="A109" s="65" t="inlineStr">
        <is>
          <t>correlated</t>
        </is>
      </c>
      <c r="B109" s="65" t="inlineStr">
        <is>
          <t>wk_success</t>
        </is>
      </c>
      <c r="C109" s="70" t="n">
        <v>-0.1784511469765115</v>
      </c>
      <c r="D109" s="66" t="n">
        <v>1.074941052096678e-06</v>
      </c>
      <c r="E109" s="70" t="n">
        <v>0.8923177967366839</v>
      </c>
    </row>
    <row r="110">
      <c r="A110" s="65" t="inlineStr">
        <is>
          <t>correlated</t>
        </is>
      </c>
      <c r="B110" s="65" t="inlineStr">
        <is>
          <t>loan_ops_cost</t>
        </is>
      </c>
      <c r="C110" s="70" t="n">
        <v>-0.01434345056343451</v>
      </c>
      <c r="D110" s="66" t="n">
        <v>9.082315591355115e-07</v>
      </c>
      <c r="E110" s="70" t="n">
        <v>0.8923177967366839</v>
      </c>
    </row>
    <row r="111">
      <c r="A111" s="65" t="inlineStr">
        <is>
          <t>correlated</t>
        </is>
      </c>
      <c r="B111" s="65" t="inlineStr">
        <is>
          <t>trail_liquid</t>
        </is>
      </c>
      <c r="C111" s="70" t="n">
        <v>-0.0005277906412779064</v>
      </c>
      <c r="D111" s="66" t="n">
        <v>5.150186803415778e-07</v>
      </c>
      <c r="E111" s="70" t="n">
        <v>0.8923177967366839</v>
      </c>
    </row>
    <row r="112">
      <c r="A112" s="65" t="inlineStr">
        <is>
          <t>correlated</t>
        </is>
      </c>
      <c r="B112" s="65" t="inlineStr">
        <is>
          <t>sip_redeem</t>
        </is>
      </c>
      <c r="C112" s="70" t="n">
        <v>-0.009784488469844884</v>
      </c>
      <c r="D112" s="66" t="n">
        <v>5.070153579773247e-07</v>
      </c>
      <c r="E112" s="70" t="n">
        <v>0.8923177967366839</v>
      </c>
    </row>
    <row r="113">
      <c r="A113" s="65" t="inlineStr">
        <is>
          <t>correlated</t>
        </is>
      </c>
      <c r="B113" s="65" t="inlineStr">
        <is>
          <t>ins_ops_cost</t>
        </is>
      </c>
      <c r="C113" s="70" t="n">
        <v>-0.00918797898787979</v>
      </c>
      <c r="D113" s="66" t="n">
        <v>4.155824806944389e-07</v>
      </c>
      <c r="E113" s="70" t="n">
        <v>0.8923177967366839</v>
      </c>
    </row>
    <row r="114">
      <c r="A114" s="65" t="inlineStr">
        <is>
          <t>correlated</t>
        </is>
      </c>
      <c r="B114" s="65" t="inlineStr">
        <is>
          <t>service_cost</t>
        </is>
      </c>
      <c r="C114" s="70" t="n">
        <v>0.0008114589681145897</v>
      </c>
      <c r="D114" s="66" t="n">
        <v>2.006152767483968e-07</v>
      </c>
      <c r="E114" s="70" t="n">
        <v>0.8923177967366839</v>
      </c>
    </row>
    <row r="115">
      <c r="A115" s="65" t="inlineStr">
        <is>
          <t>correlated</t>
        </is>
      </c>
      <c r="B115" s="65" t="inlineStr">
        <is>
          <t>unsec_grad</t>
        </is>
      </c>
      <c r="C115" s="70" t="n">
        <v>-0.006334074327340742</v>
      </c>
      <c r="D115" s="66" t="n">
        <v>3.992872674055539e-08</v>
      </c>
      <c r="E115" s="70" t="n">
        <v>0.8923177967366839</v>
      </c>
    </row>
    <row r="116">
      <c r="A116" s="65" t="inlineStr">
        <is>
          <t>correlated</t>
        </is>
      </c>
      <c r="B116" s="65" t="inlineStr">
        <is>
          <t>amount_growth</t>
        </is>
      </c>
      <c r="C116" s="70" t="n">
        <v>-0.1724695502486955</v>
      </c>
      <c r="D116" s="66" t="n">
        <v>2.774416175170612e-08</v>
      </c>
      <c r="E116" s="70" t="n">
        <v>0.8923177967366839</v>
      </c>
    </row>
    <row r="117">
      <c r="A117" s="65" t="inlineStr">
        <is>
          <t>correlated</t>
        </is>
      </c>
      <c r="B117" s="65" t="inlineStr">
        <is>
          <t>dormant_withdraw</t>
        </is>
      </c>
      <c r="C117" s="70" t="n">
        <v>-0.01333389741733897</v>
      </c>
      <c r="D117" s="66" t="n">
        <v>4.730365887185784e-10</v>
      </c>
      <c r="E117" s="70" t="n">
        <v>0.8923177967366839</v>
      </c>
    </row>
    <row r="118">
      <c r="A118" s="65" t="inlineStr">
        <is>
          <t>independent</t>
        </is>
      </c>
      <c r="B118" s="65" t="inlineStr">
        <is>
          <t>pay_flat</t>
        </is>
      </c>
      <c r="C118" s="70" t="n">
        <v>-0.7920201544511757</v>
      </c>
      <c r="D118" s="66" t="n">
        <v>0.738251027370329</v>
      </c>
      <c r="E118" s="70" t="n">
        <v>0.8899646777046554</v>
      </c>
    </row>
    <row r="119">
      <c r="A119" s="65" t="inlineStr">
        <is>
          <t>independent</t>
        </is>
      </c>
      <c r="B119" s="65" t="inlineStr">
        <is>
          <t>cac_target@ng</t>
        </is>
      </c>
      <c r="C119" s="70" t="n">
        <v>-0.2718060809820609</v>
      </c>
      <c r="D119" s="66" t="n">
        <v>0.09874925422030245</v>
      </c>
      <c r="E119" s="70" t="n">
        <v>0.8899646777046554</v>
      </c>
    </row>
    <row r="120">
      <c r="A120" s="65" t="inlineStr">
        <is>
          <t>independent</t>
        </is>
      </c>
      <c r="B120" s="65" t="inlineStr">
        <is>
          <t>cac_target@gig</t>
        </is>
      </c>
      <c r="C120" s="70" t="n">
        <v>-0.267090599934906</v>
      </c>
      <c r="D120" s="66" t="n">
        <v>0.08054528593353141</v>
      </c>
      <c r="E120" s="70" t="n">
        <v>0.8899646777046554</v>
      </c>
    </row>
    <row r="121">
      <c r="A121" s="65" t="inlineStr">
        <is>
          <t>independent</t>
        </is>
      </c>
      <c r="B121" s="65" t="inlineStr">
        <is>
          <t>fail_billed</t>
        </is>
      </c>
      <c r="C121" s="70" t="n">
        <v>-0.1777852012492437</v>
      </c>
      <c r="D121" s="66" t="n">
        <v>0.03065019261128776</v>
      </c>
      <c r="E121" s="70" t="n">
        <v>0.8899646777046554</v>
      </c>
    </row>
    <row r="122">
      <c r="A122" s="65" t="inlineStr">
        <is>
          <t>independent</t>
        </is>
      </c>
      <c r="B122" s="65" t="inlineStr">
        <is>
          <t>ret_m12@ng</t>
        </is>
      </c>
      <c r="C122" s="70" t="n">
        <v>-0.2499620804916208</v>
      </c>
      <c r="D122" s="66" t="n">
        <v>0.02841798817314075</v>
      </c>
      <c r="E122" s="70" t="n">
        <v>0.8899646777046554</v>
      </c>
    </row>
    <row r="123">
      <c r="A123" s="65" t="inlineStr">
        <is>
          <t>independent</t>
        </is>
      </c>
      <c r="B123" s="65" t="inlineStr">
        <is>
          <t>churn_late</t>
        </is>
      </c>
      <c r="C123" s="70" t="n">
        <v>0.2490334452303345</v>
      </c>
      <c r="D123" s="66" t="n">
        <v>0.006049552586002564</v>
      </c>
      <c r="E123" s="70" t="n">
        <v>0.8899646777046554</v>
      </c>
    </row>
    <row r="124">
      <c r="A124" s="65" t="inlineStr">
        <is>
          <t>independent</t>
        </is>
      </c>
      <c r="B124" s="65" t="inlineStr">
        <is>
          <t>ret_m12@gig</t>
        </is>
      </c>
      <c r="C124" s="70" t="n">
        <v>-0.2490334452303345</v>
      </c>
      <c r="D124" s="66" t="n">
        <v>0.006049552586002564</v>
      </c>
      <c r="E124" s="70" t="n">
        <v>0.8899646777046554</v>
      </c>
    </row>
    <row r="125">
      <c r="A125" s="65" t="inlineStr">
        <is>
          <t>independent</t>
        </is>
      </c>
      <c r="B125" s="65" t="inlineStr">
        <is>
          <t>cost_support</t>
        </is>
      </c>
      <c r="C125" s="70" t="n">
        <v>-0.04999597338795973</v>
      </c>
      <c r="D125" s="66" t="n">
        <v>0.003239745134515337</v>
      </c>
      <c r="E125" s="70" t="n">
        <v>0.8899646777046554</v>
      </c>
    </row>
    <row r="126">
      <c r="A126" s="65" t="inlineStr">
        <is>
          <t>independent</t>
        </is>
      </c>
      <c r="B126" s="65" t="inlineStr">
        <is>
          <t>ret_m24_ratio</t>
        </is>
      </c>
      <c r="C126" s="70" t="n">
        <v>-0.07311115667911157</v>
      </c>
      <c r="D126" s="66" t="n">
        <v>0.00189703331790723</v>
      </c>
      <c r="E126" s="70" t="n">
        <v>0.8899646777046554</v>
      </c>
    </row>
    <row r="127">
      <c r="A127" s="65" t="inlineStr">
        <is>
          <t>independent</t>
        </is>
      </c>
      <c r="B127" s="65" t="inlineStr">
        <is>
          <t>pay_pct</t>
        </is>
      </c>
      <c r="C127" s="70" t="n">
        <v>-0.04764121457641215</v>
      </c>
      <c r="D127" s="66" t="n">
        <v>0.00121279508250422</v>
      </c>
      <c r="E127" s="70" t="n">
        <v>0.8899646777046554</v>
      </c>
    </row>
    <row r="128">
      <c r="A128" s="65" t="inlineStr">
        <is>
          <t>independent</t>
        </is>
      </c>
      <c r="B128" s="65" t="inlineStr">
        <is>
          <t>debits_success@ng</t>
        </is>
      </c>
      <c r="C128" s="70" t="n">
        <v>-0.02205142760851428</v>
      </c>
      <c r="D128" s="66" t="n">
        <v>0.0007496031237980539</v>
      </c>
      <c r="E128" s="70" t="n">
        <v>0.8899646777046554</v>
      </c>
    </row>
    <row r="129">
      <c r="A129" s="65" t="inlineStr">
        <is>
          <t>independent</t>
        </is>
      </c>
      <c r="B129" s="65" t="inlineStr">
        <is>
          <t>cost_tech</t>
        </is>
      </c>
      <c r="C129" s="70" t="n">
        <v>-0.01576261218162612</v>
      </c>
      <c r="D129" s="66" t="n">
        <v>0.0006968443636832051</v>
      </c>
      <c r="E129" s="70" t="n">
        <v>0.8899646777046554</v>
      </c>
    </row>
    <row r="130">
      <c r="A130" s="65" t="inlineStr">
        <is>
          <t>independent</t>
        </is>
      </c>
      <c r="B130" s="65" t="inlineStr">
        <is>
          <t>debits_success@gig</t>
        </is>
      </c>
      <c r="C130" s="70" t="n">
        <v>-0.02353236825132369</v>
      </c>
      <c r="D130" s="66" t="n">
        <v>0.0006898600368313764</v>
      </c>
      <c r="E130" s="70" t="n">
        <v>0.8899646777046554</v>
      </c>
    </row>
    <row r="131">
      <c r="A131" s="65" t="inlineStr">
        <is>
          <t>independent</t>
        </is>
      </c>
      <c r="B131" s="65" t="inlineStr">
        <is>
          <t>gold_margin</t>
        </is>
      </c>
      <c r="C131" s="70" t="n">
        <v>0.01376609441366094</v>
      </c>
      <c r="D131" s="66" t="n">
        <v>0.0005929262139787685</v>
      </c>
      <c r="E131" s="70" t="n">
        <v>0.8899646777046554</v>
      </c>
    </row>
    <row r="132">
      <c r="A132" s="65" t="inlineStr">
        <is>
          <t>independent</t>
        </is>
      </c>
      <c r="B132" s="65" t="inlineStr">
        <is>
          <t>daily_amount@ng</t>
        </is>
      </c>
      <c r="C132" s="70" t="n">
        <v>-0.03318577342385774</v>
      </c>
      <c r="D132" s="66" t="n">
        <v>0.0005790279489425851</v>
      </c>
      <c r="E132" s="70" t="n">
        <v>0.8899646777046554</v>
      </c>
    </row>
    <row r="133">
      <c r="A133" s="65" t="inlineStr">
        <is>
          <t>independent</t>
        </is>
      </c>
      <c r="B133" s="65" t="inlineStr">
        <is>
          <t>cost_notice</t>
        </is>
      </c>
      <c r="C133" s="70" t="n">
        <v>-0.03056463679764637</v>
      </c>
      <c r="D133" s="66" t="n">
        <v>0.0003258759582283724</v>
      </c>
      <c r="E133" s="70" t="n">
        <v>0.8899646777046554</v>
      </c>
    </row>
    <row r="134">
      <c r="A134" s="65" t="inlineStr">
        <is>
          <t>independent</t>
        </is>
      </c>
      <c r="B134" s="65" t="inlineStr">
        <is>
          <t>withdraw_rate</t>
        </is>
      </c>
      <c r="C134" s="70" t="n">
        <v>-0.01454665593746656</v>
      </c>
      <c r="D134" s="66" t="n">
        <v>0.000149057881185803</v>
      </c>
      <c r="E134" s="70" t="n">
        <v>0.8899646777046554</v>
      </c>
    </row>
    <row r="135">
      <c r="A135" s="65" t="inlineStr">
        <is>
          <t>independent</t>
        </is>
      </c>
      <c r="B135" s="65" t="inlineStr">
        <is>
          <t>cost_fraud</t>
        </is>
      </c>
      <c r="C135" s="70" t="n">
        <v>-0.01361219636812196</v>
      </c>
      <c r="D135" s="66" t="n">
        <v>0.0001360130688236508</v>
      </c>
      <c r="E135" s="70" t="n">
        <v>0.8899646777046554</v>
      </c>
    </row>
    <row r="136">
      <c r="A136" s="65" t="inlineStr">
        <is>
          <t>independent</t>
        </is>
      </c>
      <c r="B136" s="65" t="inlineStr">
        <is>
          <t>daily_amount@gig</t>
        </is>
      </c>
      <c r="C136" s="70" t="n">
        <v>-0.02341094557810946</v>
      </c>
      <c r="D136" s="66" t="n">
        <v>0.0001267315555721611</v>
      </c>
      <c r="E136" s="70" t="n">
        <v>0.8899646777046554</v>
      </c>
    </row>
    <row r="137">
      <c r="A137" s="65" t="inlineStr">
        <is>
          <t>independent</t>
        </is>
      </c>
      <c r="B137" s="65" t="inlineStr">
        <is>
          <t>card_fee</t>
        </is>
      </c>
      <c r="C137" s="70" t="n">
        <v>0.007092126850921269</v>
      </c>
      <c r="D137" s="66" t="n">
        <v>0.0001205388291523342</v>
      </c>
      <c r="E137" s="70" t="n">
        <v>0.8899646777046554</v>
      </c>
    </row>
    <row r="138">
      <c r="A138" s="65" t="inlineStr">
        <is>
          <t>independent</t>
        </is>
      </c>
      <c r="B138" s="65" t="inlineStr">
        <is>
          <t>card_eligible</t>
        </is>
      </c>
      <c r="C138" s="70" t="n">
        <v>0.004084853344848534</v>
      </c>
      <c r="D138" s="66" t="n">
        <v>9.885074098943713e-05</v>
      </c>
      <c r="E138" s="70" t="n">
        <v>0.8899646777046554</v>
      </c>
    </row>
    <row r="139">
      <c r="A139" s="65" t="inlineStr">
        <is>
          <t>independent</t>
        </is>
      </c>
      <c r="B139" s="65" t="inlineStr">
        <is>
          <t>cost_rewards</t>
        </is>
      </c>
      <c r="C139" s="70" t="n">
        <v>-0.007323796213237962</v>
      </c>
      <c r="D139" s="66" t="n">
        <v>8.335713562590038e-05</v>
      </c>
      <c r="E139" s="70" t="n">
        <v>0.8899646777046554</v>
      </c>
    </row>
    <row r="140">
      <c r="A140" s="65" t="inlineStr">
        <is>
          <t>independent</t>
        </is>
      </c>
      <c r="B140" s="65" t="inlineStr">
        <is>
          <t>card_uptake</t>
        </is>
      </c>
      <c r="C140" s="70" t="n">
        <v>0.01157777525577775</v>
      </c>
      <c r="D140" s="66" t="n">
        <v>8.154432701228408e-05</v>
      </c>
      <c r="E140" s="70" t="n">
        <v>0.8899646777046554</v>
      </c>
    </row>
    <row r="141">
      <c r="A141" s="65" t="inlineStr">
        <is>
          <t>independent</t>
        </is>
      </c>
      <c r="B141" s="65" t="inlineStr">
        <is>
          <t>card_churn</t>
        </is>
      </c>
      <c r="C141" s="70" t="n">
        <v>-0.004614128782141288</v>
      </c>
      <c r="D141" s="66" t="n">
        <v>3.99536318392627e-05</v>
      </c>
      <c r="E141" s="70" t="n">
        <v>0.8899646777046554</v>
      </c>
    </row>
    <row r="142">
      <c r="A142" s="65" t="inlineStr">
        <is>
          <t>independent</t>
        </is>
      </c>
      <c r="B142" s="65" t="inlineStr">
        <is>
          <t>loan_apply</t>
        </is>
      </c>
      <c r="C142" s="70" t="n">
        <v>0.005001226430012264</v>
      </c>
      <c r="D142" s="66" t="n">
        <v>3.857412473536232e-05</v>
      </c>
      <c r="E142" s="70" t="n">
        <v>0.8899646777046554</v>
      </c>
    </row>
    <row r="143">
      <c r="A143" s="65" t="inlineStr">
        <is>
          <t>independent</t>
        </is>
      </c>
      <c r="B143" s="65" t="inlineStr">
        <is>
          <t>loan_repeat</t>
        </is>
      </c>
      <c r="C143" s="70" t="n">
        <v>0.01442925902429259</v>
      </c>
      <c r="D143" s="66" t="n">
        <v>3.629908964934181e-05</v>
      </c>
      <c r="E143" s="70" t="n">
        <v>0.8899646777046554</v>
      </c>
    </row>
    <row r="144">
      <c r="A144" s="65" t="inlineStr">
        <is>
          <t>independent</t>
        </is>
      </c>
      <c r="B144" s="65" t="inlineStr">
        <is>
          <t>ins_comm_renew</t>
        </is>
      </c>
      <c r="C144" s="70" t="n">
        <v>0.0134857700908577</v>
      </c>
      <c r="D144" s="66" t="n">
        <v>3.595164412889687e-05</v>
      </c>
      <c r="E144" s="70" t="n">
        <v>0.8899646777046554</v>
      </c>
    </row>
    <row r="145">
      <c r="A145" s="65" t="inlineStr">
        <is>
          <t>independent</t>
        </is>
      </c>
      <c r="B145" s="65" t="inlineStr">
        <is>
          <t>sip_uptake</t>
        </is>
      </c>
      <c r="C145" s="70" t="n">
        <v>-0.008813079496130796</v>
      </c>
      <c r="D145" s="66" t="n">
        <v>3.580193494351598e-05</v>
      </c>
      <c r="E145" s="70" t="n">
        <v>0.8899646777046554</v>
      </c>
    </row>
    <row r="146">
      <c r="A146" s="65" t="inlineStr">
        <is>
          <t>independent</t>
        </is>
      </c>
      <c r="B146" s="65" t="inlineStr">
        <is>
          <t>ins_eligible</t>
        </is>
      </c>
      <c r="C146" s="70" t="n">
        <v>0.004559135097591351</v>
      </c>
      <c r="D146" s="66" t="n">
        <v>2.859172352523048e-05</v>
      </c>
      <c r="E146" s="70" t="n">
        <v>0.8899646777046554</v>
      </c>
    </row>
    <row r="147">
      <c r="A147" s="65" t="inlineStr">
        <is>
          <t>independent</t>
        </is>
      </c>
      <c r="B147" s="65" t="inlineStr">
        <is>
          <t>dlg_fee_uplift</t>
        </is>
      </c>
      <c r="C147" s="70" t="n">
        <v>0.01050886241708862</v>
      </c>
      <c r="D147" s="66" t="n">
        <v>2.82333969715268e-05</v>
      </c>
      <c r="E147" s="70" t="n">
        <v>0.8899646777046554</v>
      </c>
    </row>
    <row r="148">
      <c r="A148" s="65" t="inlineStr">
        <is>
          <t>independent</t>
        </is>
      </c>
      <c r="B148" s="65" t="inlineStr">
        <is>
          <t>loan_ead</t>
        </is>
      </c>
      <c r="C148" s="70" t="n">
        <v>0.001476953162769532</v>
      </c>
      <c r="D148" s="66" t="n">
        <v>2.52574075635181e-05</v>
      </c>
      <c r="E148" s="70" t="n">
        <v>0.8899646777046554</v>
      </c>
    </row>
    <row r="149">
      <c r="A149" s="65" t="inlineStr">
        <is>
          <t>independent</t>
        </is>
      </c>
      <c r="B149" s="65" t="inlineStr">
        <is>
          <t>ins_uptake@ng</t>
        </is>
      </c>
      <c r="C149" s="70" t="n">
        <v>0.005042554010425539</v>
      </c>
      <c r="D149" s="66" t="n">
        <v>2.301769558903653e-05</v>
      </c>
      <c r="E149" s="70" t="n">
        <v>0.8899646777046554</v>
      </c>
    </row>
    <row r="150">
      <c r="A150" s="65" t="inlineStr">
        <is>
          <t>independent</t>
        </is>
      </c>
      <c r="B150" s="65" t="inlineStr">
        <is>
          <t>amount_growth</t>
        </is>
      </c>
      <c r="C150" s="70" t="n">
        <v>0.008200653574006535</v>
      </c>
      <c r="D150" s="66" t="n">
        <v>2.188428324420498e-05</v>
      </c>
      <c r="E150" s="70" t="n">
        <v>0.8899646777046554</v>
      </c>
    </row>
    <row r="151">
      <c r="A151" s="65" t="inlineStr">
        <is>
          <t>independent</t>
        </is>
      </c>
      <c r="B151" s="65" t="inlineStr">
        <is>
          <t>card_ops_cost</t>
        </is>
      </c>
      <c r="C151" s="70" t="n">
        <v>0.008999552621995525</v>
      </c>
      <c r="D151" s="66" t="n">
        <v>1.995053533899502e-05</v>
      </c>
      <c r="E151" s="70" t="n">
        <v>0.8899646777046554</v>
      </c>
    </row>
    <row r="152">
      <c r="A152" s="65" t="inlineStr">
        <is>
          <t>independent</t>
        </is>
      </c>
      <c r="B152" s="65" t="inlineStr">
        <is>
          <t>ins_premium</t>
        </is>
      </c>
      <c r="C152" s="70" t="n">
        <v>-0.001303136089031361</v>
      </c>
      <c r="D152" s="66" t="n">
        <v>1.899611755591891e-05</v>
      </c>
      <c r="E152" s="70" t="n">
        <v>0.8899646777046554</v>
      </c>
    </row>
    <row r="153">
      <c r="A153" s="65" t="inlineStr">
        <is>
          <t>independent</t>
        </is>
      </c>
      <c r="B153" s="65" t="inlineStr">
        <is>
          <t>card_ic_share</t>
        </is>
      </c>
      <c r="C153" s="70" t="n">
        <v>0.002668138910681389</v>
      </c>
      <c r="D153" s="66" t="n">
        <v>1.880549899442742e-05</v>
      </c>
      <c r="E153" s="70" t="n">
        <v>0.8899646777046554</v>
      </c>
    </row>
    <row r="154">
      <c r="A154" s="65" t="inlineStr">
        <is>
          <t>independent</t>
        </is>
      </c>
      <c r="B154" s="65" t="inlineStr">
        <is>
          <t>ins_comm_first</t>
        </is>
      </c>
      <c r="C154" s="70" t="n">
        <v>-0.007659532804595328</v>
      </c>
      <c r="D154" s="66" t="n">
        <v>1.568690669982146e-05</v>
      </c>
      <c r="E154" s="70" t="n">
        <v>0.8899646777046554</v>
      </c>
    </row>
    <row r="155">
      <c r="A155" s="65" t="inlineStr">
        <is>
          <t>independent</t>
        </is>
      </c>
      <c r="B155" s="65" t="inlineStr">
        <is>
          <t>loan_ops_cost</t>
        </is>
      </c>
      <c r="C155" s="70" t="n">
        <v>-0.02095443725354437</v>
      </c>
      <c r="D155" s="66" t="n">
        <v>1.551691906638009e-05</v>
      </c>
      <c r="E155" s="70" t="n">
        <v>0.8899646777046554</v>
      </c>
    </row>
    <row r="156">
      <c r="A156" s="65" t="inlineStr">
        <is>
          <t>independent</t>
        </is>
      </c>
      <c r="B156" s="65" t="inlineStr">
        <is>
          <t>secured_fee</t>
        </is>
      </c>
      <c r="C156" s="70" t="n">
        <v>-0.001004062102040621</v>
      </c>
      <c r="D156" s="66" t="n">
        <v>1.366674880708544e-05</v>
      </c>
      <c r="E156" s="70" t="n">
        <v>0.8899646777046554</v>
      </c>
    </row>
    <row r="157">
      <c r="A157" s="65" t="inlineStr">
        <is>
          <t>independent</t>
        </is>
      </c>
      <c r="B157" s="65" t="inlineStr">
        <is>
          <t>leaver_withdraw</t>
        </is>
      </c>
      <c r="C157" s="70" t="n">
        <v>-0.007328104849281048</v>
      </c>
      <c r="D157" s="66" t="n">
        <v>1.040152863091269e-05</v>
      </c>
      <c r="E157" s="70" t="n">
        <v>0.8899646777046554</v>
      </c>
    </row>
    <row r="158">
      <c r="A158" s="65" t="inlineStr">
        <is>
          <t>independent</t>
        </is>
      </c>
      <c r="B158" s="65" t="inlineStr">
        <is>
          <t>fd_share</t>
        </is>
      </c>
      <c r="C158" s="70" t="n">
        <v>0.009605537736055377</v>
      </c>
      <c r="D158" s="66" t="n">
        <v>1.02862907827399e-05</v>
      </c>
      <c r="E158" s="70" t="n">
        <v>0.8899646777046554</v>
      </c>
    </row>
    <row r="159">
      <c r="A159" s="65" t="inlineStr">
        <is>
          <t>independent</t>
        </is>
      </c>
      <c r="B159" s="65" t="inlineStr">
        <is>
          <t>trail_equity</t>
        </is>
      </c>
      <c r="C159" s="70" t="n">
        <v>-0.01731474731314748</v>
      </c>
      <c r="D159" s="66" t="n">
        <v>1.019104120272722e-05</v>
      </c>
      <c r="E159" s="70" t="n">
        <v>0.8899646777046554</v>
      </c>
    </row>
    <row r="160">
      <c r="A160" s="65" t="inlineStr">
        <is>
          <t>independent</t>
        </is>
      </c>
      <c r="B160" s="65" t="inlineStr">
        <is>
          <t>ladder_dpd90</t>
        </is>
      </c>
      <c r="C160" s="70" t="n">
        <v>-0.01000335110803351</v>
      </c>
      <c r="D160" s="66" t="n">
        <v>9.846994386887404e-06</v>
      </c>
      <c r="E160" s="70" t="n">
        <v>0.8899646777046554</v>
      </c>
    </row>
    <row r="161">
      <c r="A161" s="65" t="inlineStr">
        <is>
          <t>independent</t>
        </is>
      </c>
      <c r="B161" s="65" t="inlineStr">
        <is>
          <t>ins_uptake@gig</t>
        </is>
      </c>
      <c r="C161" s="70" t="n">
        <v>-0.009240659384406593</v>
      </c>
      <c r="D161" s="66" t="n">
        <v>9.385884701016679e-06</v>
      </c>
      <c r="E161" s="70" t="n">
        <v>0.8899646777046554</v>
      </c>
    </row>
    <row r="162">
      <c r="A162" s="65" t="inlineStr">
        <is>
          <t>independent</t>
        </is>
      </c>
      <c r="B162" s="65" t="inlineStr">
        <is>
          <t>service_cost</t>
        </is>
      </c>
      <c r="C162" s="70" t="n">
        <v>0.004238279178382792</v>
      </c>
      <c r="D162" s="66" t="n">
        <v>7.201698036032342e-06</v>
      </c>
      <c r="E162" s="70" t="n">
        <v>0.8899646777046554</v>
      </c>
    </row>
    <row r="163">
      <c r="A163" s="65" t="inlineStr">
        <is>
          <t>independent</t>
        </is>
      </c>
      <c r="B163" s="65" t="inlineStr">
        <is>
          <t>ins_persist</t>
        </is>
      </c>
      <c r="C163" s="70" t="n">
        <v>0.01121463125214631</v>
      </c>
      <c r="D163" s="66" t="n">
        <v>5.861813362653624e-06</v>
      </c>
      <c r="E163" s="70" t="n">
        <v>0.8899646777046554</v>
      </c>
    </row>
    <row r="164">
      <c r="A164" s="65" t="inlineStr">
        <is>
          <t>independent</t>
        </is>
      </c>
      <c r="B164" s="65" t="inlineStr">
        <is>
          <t>loan_approval@gig</t>
        </is>
      </c>
      <c r="C164" s="70" t="n">
        <v>-0.007818313158183132</v>
      </c>
      <c r="D164" s="66" t="n">
        <v>5.716163050496479e-06</v>
      </c>
      <c r="E164" s="70" t="n">
        <v>0.8899646777046554</v>
      </c>
    </row>
    <row r="165">
      <c r="A165" s="65" t="inlineStr">
        <is>
          <t>independent</t>
        </is>
      </c>
      <c r="B165" s="65" t="inlineStr">
        <is>
          <t>ins_ops_cost</t>
        </is>
      </c>
      <c r="C165" s="70" t="n">
        <v>-0.009246246356462463</v>
      </c>
      <c r="D165" s="66" t="n">
        <v>5.089519136388538e-06</v>
      </c>
      <c r="E165" s="70" t="n">
        <v>0.8899646777046554</v>
      </c>
    </row>
    <row r="166">
      <c r="A166" s="65" t="inlineStr">
        <is>
          <t>independent</t>
        </is>
      </c>
      <c r="B166" s="65" t="inlineStr">
        <is>
          <t>fd_fee</t>
        </is>
      </c>
      <c r="C166" s="70" t="n">
        <v>-0.01327009924870099</v>
      </c>
      <c r="D166" s="66" t="n">
        <v>4.543382278876889e-06</v>
      </c>
      <c r="E166" s="70" t="n">
        <v>0.8899646777046554</v>
      </c>
    </row>
    <row r="167">
      <c r="A167" s="65" t="inlineStr">
        <is>
          <t>independent</t>
        </is>
      </c>
      <c r="B167" s="65" t="inlineStr">
        <is>
          <t>fund_yield</t>
        </is>
      </c>
      <c r="C167" s="70" t="n">
        <v>0.0003646217436462174</v>
      </c>
      <c r="D167" s="66" t="n">
        <v>3.29497452060431e-06</v>
      </c>
      <c r="E167" s="70" t="n">
        <v>0.8899646777046554</v>
      </c>
    </row>
    <row r="168">
      <c r="A168" s="65" t="inlineStr">
        <is>
          <t>independent</t>
        </is>
      </c>
      <c r="B168" s="65" t="inlineStr">
        <is>
          <t>loan_approval@ng</t>
        </is>
      </c>
      <c r="C168" s="70" t="n">
        <v>0.009298769048987689</v>
      </c>
      <c r="D168" s="66" t="n">
        <v>2.796993439702309e-06</v>
      </c>
      <c r="E168" s="70" t="n">
        <v>0.8899646777046554</v>
      </c>
    </row>
    <row r="169">
      <c r="A169" s="65" t="inlineStr">
        <is>
          <t>independent</t>
        </is>
      </c>
      <c r="B169" s="65" t="inlineStr">
        <is>
          <t>sip_stop</t>
        </is>
      </c>
      <c r="C169" s="70" t="n">
        <v>-0.0197318306693183</v>
      </c>
      <c r="D169" s="66" t="n">
        <v>2.370667906678395e-06</v>
      </c>
      <c r="E169" s="70" t="n">
        <v>0.8899646777046554</v>
      </c>
    </row>
    <row r="170">
      <c r="A170" s="65" t="inlineStr">
        <is>
          <t>independent</t>
        </is>
      </c>
      <c r="B170" s="65" t="inlineStr">
        <is>
          <t>unsec_grad</t>
        </is>
      </c>
      <c r="C170" s="70" t="n">
        <v>-0.009164772415647724</v>
      </c>
      <c r="D170" s="66" t="n">
        <v>1.49392942404496e-06</v>
      </c>
      <c r="E170" s="70" t="n">
        <v>0.8899646777046554</v>
      </c>
    </row>
    <row r="171">
      <c r="A171" s="65" t="inlineStr">
        <is>
          <t>independent</t>
        </is>
      </c>
      <c r="B171" s="65" t="inlineStr">
        <is>
          <t>card_spend</t>
        </is>
      </c>
      <c r="C171" s="70" t="n">
        <v>0.01693208498532085</v>
      </c>
      <c r="D171" s="66" t="n">
        <v>9.838011487558572e-07</v>
      </c>
      <c r="E171" s="70" t="n">
        <v>0.8899646777046554</v>
      </c>
    </row>
    <row r="172">
      <c r="A172" s="65" t="inlineStr">
        <is>
          <t>independent</t>
        </is>
      </c>
      <c r="B172" s="65" t="inlineStr">
        <is>
          <t>sip_amount</t>
        </is>
      </c>
      <c r="C172" s="70" t="n">
        <v>0.005011314338113144</v>
      </c>
      <c r="D172" s="66" t="n">
        <v>8.293658239750903e-07</v>
      </c>
      <c r="E172" s="70" t="n">
        <v>0.8899646777046554</v>
      </c>
    </row>
    <row r="173">
      <c r="A173" s="65" t="inlineStr">
        <is>
          <t>independent</t>
        </is>
      </c>
      <c r="B173" s="65" t="inlineStr">
        <is>
          <t>dormant_withdraw</t>
        </is>
      </c>
      <c r="C173" s="70" t="n">
        <v>-0.01113366913533669</v>
      </c>
      <c r="D173" s="66" t="n">
        <v>4.575308150644131e-07</v>
      </c>
      <c r="E173" s="70" t="n">
        <v>0.8899646777046554</v>
      </c>
    </row>
    <row r="174">
      <c r="A174" s="65" t="inlineStr">
        <is>
          <t>independent</t>
        </is>
      </c>
      <c r="B174" s="65" t="inlineStr">
        <is>
          <t>sip_redeem</t>
        </is>
      </c>
      <c r="C174" s="70" t="n">
        <v>-0.01070728510707285</v>
      </c>
      <c r="D174" s="66" t="n">
        <v>2.065967413761601e-07</v>
      </c>
      <c r="E174" s="70" t="n">
        <v>0.8899646777046554</v>
      </c>
    </row>
    <row r="175">
      <c r="A175" s="65" t="inlineStr">
        <is>
          <t>independent</t>
        </is>
      </c>
      <c r="B175" s="65" t="inlineStr">
        <is>
          <t>wk_success</t>
        </is>
      </c>
      <c r="C175" s="70" t="n">
        <v>-3.908628039086281e-05</v>
      </c>
      <c r="D175" s="66" t="n">
        <v>8.881445972879436e-08</v>
      </c>
      <c r="E175" s="70" t="n">
        <v>0.8899646777046554</v>
      </c>
    </row>
    <row r="176">
      <c r="A176" s="65" t="inlineStr">
        <is>
          <t>independent</t>
        </is>
      </c>
      <c r="B176" s="65" t="inlineStr">
        <is>
          <t>loan_eligible</t>
        </is>
      </c>
      <c r="C176" s="70" t="n">
        <v>0.001382833681828337</v>
      </c>
      <c r="D176" s="66" t="n">
        <v>5.196151346008676e-08</v>
      </c>
      <c r="E176" s="70" t="n">
        <v>0.8899646777046554</v>
      </c>
    </row>
    <row r="177">
      <c r="A177" s="65" t="inlineStr">
        <is>
          <t>independent</t>
        </is>
      </c>
      <c r="B177" s="65" t="inlineStr">
        <is>
          <t>lsp_fee</t>
        </is>
      </c>
      <c r="C177" s="70" t="n">
        <v>-0.006099189204991892</v>
      </c>
      <c r="D177" s="66" t="n">
        <v>4.704407179023198e-08</v>
      </c>
      <c r="E177" s="70" t="n">
        <v>0.8899646777046554</v>
      </c>
    </row>
    <row r="178">
      <c r="A178" s="65" t="inlineStr">
        <is>
          <t>independent</t>
        </is>
      </c>
      <c r="B178" s="65" t="inlineStr">
        <is>
          <t>trail_liquid</t>
        </is>
      </c>
      <c r="C178" s="70" t="n">
        <v>0.001266080652660807</v>
      </c>
      <c r="D178" s="66" t="n">
        <v>3.33000745702926e-09</v>
      </c>
      <c r="E178" s="70" t="n">
        <v>0.8899646777046554</v>
      </c>
    </row>
    <row r="179">
      <c r="A179" s="65" t="inlineStr">
        <is>
          <t>independent</t>
        </is>
      </c>
      <c r="B179" s="65" t="inlineStr">
        <is>
          <t>loan_lgd</t>
        </is>
      </c>
      <c r="C179" s="70" t="n">
        <v>0.01814352094943521</v>
      </c>
      <c r="D179" s="66" t="n">
        <v>2.560200278730175e-09</v>
      </c>
      <c r="E179" s="70" t="n">
        <v>0.8899646777046554</v>
      </c>
    </row>
    <row r="180">
      <c r="A180" s="65" t="inlineStr">
        <is>
          <t>independent</t>
        </is>
      </c>
      <c r="B180" s="65" t="inlineStr">
        <is>
          <t>unsec_fee</t>
        </is>
      </c>
      <c r="C180" s="70" t="n">
        <v>0.009332892285328924</v>
      </c>
      <c r="D180" s="66" t="n">
        <v>1.447350479372023e-09</v>
      </c>
      <c r="E180" s="70" t="n">
        <v>0.8899646777046554</v>
      </c>
    </row>
    <row r="181">
      <c r="A181" s="65" t="inlineStr">
        <is>
          <t>independent</t>
        </is>
      </c>
      <c r="B181" s="65" t="inlineStr">
        <is>
          <t>sip_return</t>
        </is>
      </c>
      <c r="C181" s="70" t="n">
        <v>0.01032716749927167</v>
      </c>
      <c r="D181" s="66" t="n">
        <v>8.0900811437414e-10</v>
      </c>
      <c r="E181" s="70" t="n">
        <v>0.8899646777046554</v>
      </c>
    </row>
    <row r="182">
      <c r="A182" s="65" t="inlineStr">
        <is>
          <t>weekly</t>
        </is>
      </c>
      <c r="B182" s="65" t="inlineStr">
        <is>
          <t>cac_target@ng</t>
        </is>
      </c>
      <c r="C182" s="70" t="n">
        <v>-0.6331118899391189</v>
      </c>
      <c r="D182" s="66" t="n">
        <v>0.4951080049346543</v>
      </c>
      <c r="E182" s="70" t="n">
        <v>0.8644787292384505</v>
      </c>
    </row>
    <row r="183">
      <c r="A183" s="65" t="inlineStr">
        <is>
          <t>weekly</t>
        </is>
      </c>
      <c r="B183" s="65" t="inlineStr">
        <is>
          <t>cac_target@gig</t>
        </is>
      </c>
      <c r="C183" s="70" t="n">
        <v>-0.5921295736372958</v>
      </c>
      <c r="D183" s="66" t="n">
        <v>0.4252924922879475</v>
      </c>
      <c r="E183" s="70" t="n">
        <v>0.8644787292384505</v>
      </c>
    </row>
    <row r="184">
      <c r="A184" s="65" t="inlineStr">
        <is>
          <t>weekly</t>
        </is>
      </c>
      <c r="B184" s="65" t="inlineStr">
        <is>
          <t>ret_m12@ng</t>
        </is>
      </c>
      <c r="C184" s="70" t="n">
        <v>-0.2315709746037097</v>
      </c>
      <c r="D184" s="66" t="n">
        <v>0.02509704098162655</v>
      </c>
      <c r="E184" s="70" t="n">
        <v>0.8644787292384505</v>
      </c>
    </row>
    <row r="185">
      <c r="A185" s="65" t="inlineStr">
        <is>
          <t>weekly</t>
        </is>
      </c>
      <c r="B185" s="65" t="inlineStr">
        <is>
          <t>cost_support</t>
        </is>
      </c>
      <c r="C185" s="70" t="n">
        <v>-0.1334596584145966</v>
      </c>
      <c r="D185" s="66" t="n">
        <v>0.01749663514563087</v>
      </c>
      <c r="E185" s="70" t="n">
        <v>0.8644787292384505</v>
      </c>
    </row>
    <row r="186">
      <c r="A186" s="65" t="inlineStr">
        <is>
          <t>weekly</t>
        </is>
      </c>
      <c r="B186" s="65" t="inlineStr">
        <is>
          <t>churn_late</t>
        </is>
      </c>
      <c r="C186" s="70" t="n">
        <v>0.2506037074300371</v>
      </c>
      <c r="D186" s="66" t="n">
        <v>0.006673372011340264</v>
      </c>
      <c r="E186" s="70" t="n">
        <v>0.8644787292384505</v>
      </c>
    </row>
    <row r="187">
      <c r="A187" s="65" t="inlineStr">
        <is>
          <t>weekly</t>
        </is>
      </c>
      <c r="B187" s="65" t="inlineStr">
        <is>
          <t>ret_m12@gig</t>
        </is>
      </c>
      <c r="C187" s="70" t="n">
        <v>-0.2506037074300371</v>
      </c>
      <c r="D187" s="66" t="n">
        <v>0.006673372011340259</v>
      </c>
      <c r="E187" s="70" t="n">
        <v>0.8644787292384505</v>
      </c>
    </row>
    <row r="188">
      <c r="A188" s="65" t="inlineStr">
        <is>
          <t>weekly</t>
        </is>
      </c>
      <c r="B188" s="65" t="inlineStr">
        <is>
          <t>gold_margin</t>
        </is>
      </c>
      <c r="C188" s="70" t="n">
        <v>0.04821491139814912</v>
      </c>
      <c r="D188" s="66" t="n">
        <v>0.004455051500965182</v>
      </c>
      <c r="E188" s="70" t="n">
        <v>0.8644787292384505</v>
      </c>
    </row>
    <row r="189">
      <c r="A189" s="65" t="inlineStr">
        <is>
          <t>weekly</t>
        </is>
      </c>
      <c r="B189" s="65" t="inlineStr">
        <is>
          <t>pay_flat</t>
        </is>
      </c>
      <c r="C189" s="70" t="n">
        <v>-0.05296796011028125</v>
      </c>
      <c r="D189" s="66" t="n">
        <v>0.004160331339127103</v>
      </c>
      <c r="E189" s="70" t="n">
        <v>0.8644787292384505</v>
      </c>
    </row>
    <row r="190">
      <c r="A190" s="65" t="inlineStr">
        <is>
          <t>weekly</t>
        </is>
      </c>
      <c r="B190" s="65" t="inlineStr">
        <is>
          <t>pay_pct</t>
        </is>
      </c>
      <c r="C190" s="70" t="n">
        <v>-0.05897768472177685</v>
      </c>
      <c r="D190" s="66" t="n">
        <v>0.003712822359509816</v>
      </c>
      <c r="E190" s="70" t="n">
        <v>0.8644787292384505</v>
      </c>
    </row>
    <row r="191">
      <c r="A191" s="65" t="inlineStr">
        <is>
          <t>weekly</t>
        </is>
      </c>
      <c r="B191" s="65" t="inlineStr">
        <is>
          <t>cost_tech</t>
        </is>
      </c>
      <c r="C191" s="70" t="n">
        <v>-0.04807925626879257</v>
      </c>
      <c r="D191" s="66" t="n">
        <v>0.003219497389168563</v>
      </c>
      <c r="E191" s="70" t="n">
        <v>0.8644787292384505</v>
      </c>
    </row>
    <row r="192">
      <c r="A192" s="65" t="inlineStr">
        <is>
          <t>weekly</t>
        </is>
      </c>
      <c r="B192" s="65" t="inlineStr">
        <is>
          <t>ret_m24_ratio</t>
        </is>
      </c>
      <c r="C192" s="70" t="n">
        <v>-0.05168270569282706</v>
      </c>
      <c r="D192" s="66" t="n">
        <v>0.002140435565822734</v>
      </c>
      <c r="E192" s="70" t="n">
        <v>0.8644787292384505</v>
      </c>
    </row>
    <row r="193">
      <c r="A193" s="65" t="inlineStr">
        <is>
          <t>weekly</t>
        </is>
      </c>
      <c r="B193" s="65" t="inlineStr">
        <is>
          <t>fail_billed</t>
        </is>
      </c>
      <c r="C193" s="70" t="n">
        <v>-0.05310307970637506</v>
      </c>
      <c r="D193" s="66" t="n">
        <v>0.00149425332960797</v>
      </c>
      <c r="E193" s="70" t="n">
        <v>0.8644787292384505</v>
      </c>
    </row>
    <row r="194">
      <c r="A194" s="65" t="inlineStr">
        <is>
          <t>weekly</t>
        </is>
      </c>
      <c r="B194" s="65" t="inlineStr">
        <is>
          <t>cost_rewards</t>
        </is>
      </c>
      <c r="C194" s="70" t="n">
        <v>-0.02360309417603094</v>
      </c>
      <c r="D194" s="66" t="n">
        <v>0.0009312938918724482</v>
      </c>
      <c r="E194" s="70" t="n">
        <v>0.8644787292384505</v>
      </c>
    </row>
    <row r="195">
      <c r="A195" s="65" t="inlineStr">
        <is>
          <t>weekly</t>
        </is>
      </c>
      <c r="B195" s="65" t="inlineStr">
        <is>
          <t>daily_amount@ng</t>
        </is>
      </c>
      <c r="C195" s="70" t="n">
        <v>-0.03014471208144712</v>
      </c>
      <c r="D195" s="66" t="n">
        <v>0.0007011991653540103</v>
      </c>
      <c r="E195" s="70" t="n">
        <v>0.8644787292384505</v>
      </c>
    </row>
    <row r="196">
      <c r="A196" s="65" t="inlineStr">
        <is>
          <t>weekly</t>
        </is>
      </c>
      <c r="B196" s="65" t="inlineStr">
        <is>
          <t>cost_fraud</t>
        </is>
      </c>
      <c r="C196" s="70" t="n">
        <v>-0.01651810355718104</v>
      </c>
      <c r="D196" s="66" t="n">
        <v>0.0004798722469497923</v>
      </c>
      <c r="E196" s="70" t="n">
        <v>0.8644787292384505</v>
      </c>
    </row>
    <row r="197">
      <c r="A197" s="65" t="inlineStr">
        <is>
          <t>weekly</t>
        </is>
      </c>
      <c r="B197" s="65" t="inlineStr">
        <is>
          <t>card_fee</t>
        </is>
      </c>
      <c r="C197" s="70" t="n">
        <v>-0.0007942921159429211</v>
      </c>
      <c r="D197" s="66" t="n">
        <v>0.0003519380255798629</v>
      </c>
      <c r="E197" s="70" t="n">
        <v>0.8644787292384505</v>
      </c>
    </row>
    <row r="198">
      <c r="A198" s="65" t="inlineStr">
        <is>
          <t>weekly</t>
        </is>
      </c>
      <c r="B198" s="65" t="inlineStr">
        <is>
          <t>card_eligible</t>
        </is>
      </c>
      <c r="C198" s="70" t="n">
        <v>0.006527768861277688</v>
      </c>
      <c r="D198" s="66" t="n">
        <v>0.0002713667351027818</v>
      </c>
      <c r="E198" s="70" t="n">
        <v>0.8644787292384505</v>
      </c>
    </row>
    <row r="199">
      <c r="A199" s="65" t="inlineStr">
        <is>
          <t>weekly</t>
        </is>
      </c>
      <c r="B199" s="65" t="inlineStr">
        <is>
          <t>daily_amount@gig</t>
        </is>
      </c>
      <c r="C199" s="70" t="n">
        <v>-0.01466386381463864</v>
      </c>
      <c r="D199" s="66" t="n">
        <v>0.0002246569374090334</v>
      </c>
      <c r="E199" s="70" t="n">
        <v>0.8644787292384505</v>
      </c>
    </row>
    <row r="200">
      <c r="A200" s="65" t="inlineStr">
        <is>
          <t>weekly</t>
        </is>
      </c>
      <c r="B200" s="65" t="inlineStr">
        <is>
          <t>loan_apply</t>
        </is>
      </c>
      <c r="C200" s="70" t="n">
        <v>-0.0030547500545475</v>
      </c>
      <c r="D200" s="66" t="n">
        <v>0.0001808524674445856</v>
      </c>
      <c r="E200" s="70" t="n">
        <v>0.8644787292384505</v>
      </c>
    </row>
    <row r="201">
      <c r="A201" s="65" t="inlineStr">
        <is>
          <t>weekly</t>
        </is>
      </c>
      <c r="B201" s="65" t="inlineStr">
        <is>
          <t>withdraw_rate</t>
        </is>
      </c>
      <c r="C201" s="70" t="n">
        <v>-0.01244259442042595</v>
      </c>
      <c r="D201" s="66" t="n">
        <v>0.0001612342521142803</v>
      </c>
      <c r="E201" s="70" t="n">
        <v>0.8644787292384505</v>
      </c>
    </row>
    <row r="202">
      <c r="A202" s="65" t="inlineStr">
        <is>
          <t>weekly</t>
        </is>
      </c>
      <c r="B202" s="65" t="inlineStr">
        <is>
          <t>card_uptake</t>
        </is>
      </c>
      <c r="C202" s="70" t="n">
        <v>0.0168618105726181</v>
      </c>
      <c r="D202" s="66" t="n">
        <v>0.0001442258141796428</v>
      </c>
      <c r="E202" s="70" t="n">
        <v>0.8644787292384505</v>
      </c>
    </row>
    <row r="203">
      <c r="A203" s="65" t="inlineStr">
        <is>
          <t>weekly</t>
        </is>
      </c>
      <c r="B203" s="65" t="inlineStr">
        <is>
          <t>sip_uptake</t>
        </is>
      </c>
      <c r="C203" s="70" t="n">
        <v>-0.001054976638549766</v>
      </c>
      <c r="D203" s="66" t="n">
        <v>0.0001438411732310874</v>
      </c>
      <c r="E203" s="70" t="n">
        <v>0.8644787292384505</v>
      </c>
    </row>
    <row r="204">
      <c r="A204" s="65" t="inlineStr">
        <is>
          <t>weekly</t>
        </is>
      </c>
      <c r="B204" s="65" t="inlineStr">
        <is>
          <t>debits_success@ng</t>
        </is>
      </c>
      <c r="C204" s="70" t="n">
        <v>-0.005318173133181731</v>
      </c>
      <c r="D204" s="66" t="n">
        <v>8.550439282478964e-05</v>
      </c>
      <c r="E204" s="70" t="n">
        <v>0.8644787292384505</v>
      </c>
    </row>
    <row r="205">
      <c r="A205" s="65" t="inlineStr">
        <is>
          <t>weekly</t>
        </is>
      </c>
      <c r="B205" s="65" t="inlineStr">
        <is>
          <t>ins_persist</t>
        </is>
      </c>
      <c r="C205" s="70" t="n">
        <v>0.006947577693475777</v>
      </c>
      <c r="D205" s="66" t="n">
        <v>7.322593623950952e-05</v>
      </c>
      <c r="E205" s="70" t="n">
        <v>0.8644787292384505</v>
      </c>
    </row>
    <row r="206">
      <c r="A206" s="65" t="inlineStr">
        <is>
          <t>weekly</t>
        </is>
      </c>
      <c r="B206" s="65" t="inlineStr">
        <is>
          <t>amount_growth</t>
        </is>
      </c>
      <c r="C206" s="70" t="n">
        <v>0.0326465897904659</v>
      </c>
      <c r="D206" s="66" t="n">
        <v>6.939654947550066e-05</v>
      </c>
      <c r="E206" s="70" t="n">
        <v>0.8644787292384505</v>
      </c>
    </row>
    <row r="207">
      <c r="A207" s="65" t="inlineStr">
        <is>
          <t>weekly</t>
        </is>
      </c>
      <c r="B207" s="65" t="inlineStr">
        <is>
          <t>wk_success</t>
        </is>
      </c>
      <c r="C207" s="70" t="n">
        <v>0.007036175854361759</v>
      </c>
      <c r="D207" s="66" t="n">
        <v>6.884872899384389e-05</v>
      </c>
      <c r="E207" s="70" t="n">
        <v>0.8644787292384505</v>
      </c>
    </row>
    <row r="208">
      <c r="A208" s="65" t="inlineStr">
        <is>
          <t>weekly</t>
        </is>
      </c>
      <c r="B208" s="65" t="inlineStr">
        <is>
          <t>ins_uptake@ng</t>
        </is>
      </c>
      <c r="C208" s="70" t="n">
        <v>0.008751968751519687</v>
      </c>
      <c r="D208" s="66" t="n">
        <v>5.580863449301727e-05</v>
      </c>
      <c r="E208" s="70" t="n">
        <v>0.8644787292384505</v>
      </c>
    </row>
    <row r="209">
      <c r="A209" s="65" t="inlineStr">
        <is>
          <t>weekly</t>
        </is>
      </c>
      <c r="B209" s="65" t="inlineStr">
        <is>
          <t>sip_stop</t>
        </is>
      </c>
      <c r="C209" s="70" t="n">
        <v>-0.01737464731774647</v>
      </c>
      <c r="D209" s="66" t="n">
        <v>5.200275884418907e-05</v>
      </c>
      <c r="E209" s="70" t="n">
        <v>0.8644787292384505</v>
      </c>
    </row>
    <row r="210">
      <c r="A210" s="65" t="inlineStr">
        <is>
          <t>weekly</t>
        </is>
      </c>
      <c r="B210" s="65" t="inlineStr">
        <is>
          <t>ins_comm_first</t>
        </is>
      </c>
      <c r="C210" s="70" t="n">
        <v>-0.002551985833519858</v>
      </c>
      <c r="D210" s="66" t="n">
        <v>4.638208320452643e-05</v>
      </c>
      <c r="E210" s="70" t="n">
        <v>0.8644787292384505</v>
      </c>
    </row>
    <row r="211">
      <c r="A211" s="65" t="inlineStr">
        <is>
          <t>weekly</t>
        </is>
      </c>
      <c r="B211" s="65" t="inlineStr">
        <is>
          <t>ins_ops_cost</t>
        </is>
      </c>
      <c r="C211" s="70" t="n">
        <v>-0.007965536347655363</v>
      </c>
      <c r="D211" s="66" t="n">
        <v>4.43556267330793e-05</v>
      </c>
      <c r="E211" s="70" t="n">
        <v>0.8644787292384505</v>
      </c>
    </row>
    <row r="212">
      <c r="A212" s="65" t="inlineStr">
        <is>
          <t>weekly</t>
        </is>
      </c>
      <c r="B212" s="65" t="inlineStr">
        <is>
          <t>cost_notice</t>
        </is>
      </c>
      <c r="C212" s="70" t="n">
        <v>-0.01256343252563432</v>
      </c>
      <c r="D212" s="66" t="n">
        <v>4.019394753115306e-05</v>
      </c>
      <c r="E212" s="70" t="n">
        <v>0.8644787292384505</v>
      </c>
    </row>
    <row r="213">
      <c r="A213" s="65" t="inlineStr">
        <is>
          <t>weekly</t>
        </is>
      </c>
      <c r="B213" s="65" t="inlineStr">
        <is>
          <t>trail_liquid</t>
        </is>
      </c>
      <c r="C213" s="70" t="n">
        <v>0.01376375911763759</v>
      </c>
      <c r="D213" s="66" t="n">
        <v>3.791215325659624e-05</v>
      </c>
      <c r="E213" s="70" t="n">
        <v>0.8644787292384505</v>
      </c>
    </row>
    <row r="214">
      <c r="A214" s="65" t="inlineStr">
        <is>
          <t>weekly</t>
        </is>
      </c>
      <c r="B214" s="65" t="inlineStr">
        <is>
          <t>fd_share</t>
        </is>
      </c>
      <c r="C214" s="70" t="n">
        <v>0.008990310437903104</v>
      </c>
      <c r="D214" s="66" t="n">
        <v>3.474694534743796e-05</v>
      </c>
      <c r="E214" s="70" t="n">
        <v>0.8644787292384505</v>
      </c>
    </row>
    <row r="215">
      <c r="A215" s="65" t="inlineStr">
        <is>
          <t>weekly</t>
        </is>
      </c>
      <c r="B215" s="65" t="inlineStr">
        <is>
          <t>sip_redeem</t>
        </is>
      </c>
      <c r="C215" s="70" t="n">
        <v>0.007508609787086097</v>
      </c>
      <c r="D215" s="66" t="n">
        <v>3.283101931839008e-05</v>
      </c>
      <c r="E215" s="70" t="n">
        <v>0.8644787292384505</v>
      </c>
    </row>
    <row r="216">
      <c r="A216" s="65" t="inlineStr">
        <is>
          <t>weekly</t>
        </is>
      </c>
      <c r="B216" s="65" t="inlineStr">
        <is>
          <t>sip_return</t>
        </is>
      </c>
      <c r="C216" s="70" t="n">
        <v>-0.007676340712763408</v>
      </c>
      <c r="D216" s="66" t="n">
        <v>3.033094716794569e-05</v>
      </c>
      <c r="E216" s="70" t="n">
        <v>0.8644787292384505</v>
      </c>
    </row>
    <row r="217">
      <c r="A217" s="65" t="inlineStr">
        <is>
          <t>weekly</t>
        </is>
      </c>
      <c r="B217" s="65" t="inlineStr">
        <is>
          <t>secured_fee</t>
        </is>
      </c>
      <c r="C217" s="70" t="n">
        <v>0.005110564623105646</v>
      </c>
      <c r="D217" s="66" t="n">
        <v>2.330325764895022e-05</v>
      </c>
      <c r="E217" s="70" t="n">
        <v>0.8644787292384505</v>
      </c>
    </row>
    <row r="218">
      <c r="A218" s="65" t="inlineStr">
        <is>
          <t>weekly</t>
        </is>
      </c>
      <c r="B218" s="65" t="inlineStr">
        <is>
          <t>unsec_grad</t>
        </is>
      </c>
      <c r="C218" s="70" t="n">
        <v>-0.007080555718805558</v>
      </c>
      <c r="D218" s="66" t="n">
        <v>1.866519631116184e-05</v>
      </c>
      <c r="E218" s="70" t="n">
        <v>0.8644787292384505</v>
      </c>
    </row>
    <row r="219">
      <c r="A219" s="65" t="inlineStr">
        <is>
          <t>weekly</t>
        </is>
      </c>
      <c r="B219" s="65" t="inlineStr">
        <is>
          <t>ins_premium</t>
        </is>
      </c>
      <c r="C219" s="70" t="n">
        <v>0.01713554223935542</v>
      </c>
      <c r="D219" s="66" t="n">
        <v>1.784477458527411e-05</v>
      </c>
      <c r="E219" s="70" t="n">
        <v>0.8644787292384505</v>
      </c>
    </row>
    <row r="220">
      <c r="A220" s="65" t="inlineStr">
        <is>
          <t>weekly</t>
        </is>
      </c>
      <c r="B220" s="65" t="inlineStr">
        <is>
          <t>loan_ops_cost</t>
        </is>
      </c>
      <c r="C220" s="70" t="n">
        <v>-0.004176090005760901</v>
      </c>
      <c r="D220" s="66" t="n">
        <v>1.718938171188696e-05</v>
      </c>
      <c r="E220" s="70" t="n">
        <v>0.8644787292384505</v>
      </c>
    </row>
    <row r="221">
      <c r="A221" s="65" t="inlineStr">
        <is>
          <t>weekly</t>
        </is>
      </c>
      <c r="B221" s="65" t="inlineStr">
        <is>
          <t>card_churn</t>
        </is>
      </c>
      <c r="C221" s="70" t="n">
        <v>-0.003526568699265687</v>
      </c>
      <c r="D221" s="66" t="n">
        <v>1.65003165957352e-05</v>
      </c>
      <c r="E221" s="70" t="n">
        <v>0.8644787292384505</v>
      </c>
    </row>
    <row r="222">
      <c r="A222" s="65" t="inlineStr">
        <is>
          <t>weekly</t>
        </is>
      </c>
      <c r="B222" s="65" t="inlineStr">
        <is>
          <t>fund_yield</t>
        </is>
      </c>
      <c r="C222" s="70" t="n">
        <v>-0.001874177910741779</v>
      </c>
      <c r="D222" s="66" t="n">
        <v>1.468944248346078e-05</v>
      </c>
      <c r="E222" s="70" t="n">
        <v>0.8644787292384505</v>
      </c>
    </row>
    <row r="223">
      <c r="A223" s="65" t="inlineStr">
        <is>
          <t>weekly</t>
        </is>
      </c>
      <c r="B223" s="65" t="inlineStr">
        <is>
          <t>ins_comm_renew</t>
        </is>
      </c>
      <c r="C223" s="70" t="n">
        <v>0.009088015410880154</v>
      </c>
      <c r="D223" s="66" t="n">
        <v>1.386545295864523e-05</v>
      </c>
      <c r="E223" s="70" t="n">
        <v>0.8644787292384505</v>
      </c>
    </row>
    <row r="224">
      <c r="A224" s="65" t="inlineStr">
        <is>
          <t>weekly</t>
        </is>
      </c>
      <c r="B224" s="65" t="inlineStr">
        <is>
          <t>leaver_withdraw</t>
        </is>
      </c>
      <c r="C224" s="70" t="n">
        <v>-0.0144787704127877</v>
      </c>
      <c r="D224" s="66" t="n">
        <v>1.29352099385486e-05</v>
      </c>
      <c r="E224" s="70" t="n">
        <v>0.8644787292384505</v>
      </c>
    </row>
    <row r="225">
      <c r="A225" s="65" t="inlineStr">
        <is>
          <t>weekly</t>
        </is>
      </c>
      <c r="B225" s="65" t="inlineStr">
        <is>
          <t>loan_repeat</t>
        </is>
      </c>
      <c r="C225" s="70" t="n">
        <v>0.01178244478582445</v>
      </c>
      <c r="D225" s="66" t="n">
        <v>1.161822754036228e-05</v>
      </c>
      <c r="E225" s="70" t="n">
        <v>0.8644787292384505</v>
      </c>
    </row>
    <row r="226">
      <c r="A226" s="65" t="inlineStr">
        <is>
          <t>weekly</t>
        </is>
      </c>
      <c r="B226" s="65" t="inlineStr">
        <is>
          <t>ins_eligible</t>
        </is>
      </c>
      <c r="C226" s="70" t="n">
        <v>-0.005726612733266127</v>
      </c>
      <c r="D226" s="66" t="n">
        <v>9.917268830022671e-06</v>
      </c>
      <c r="E226" s="70" t="n">
        <v>0.8644787292384505</v>
      </c>
    </row>
    <row r="227">
      <c r="A227" s="65" t="inlineStr">
        <is>
          <t>weekly</t>
        </is>
      </c>
      <c r="B227" s="65" t="inlineStr">
        <is>
          <t>loan_eligible</t>
        </is>
      </c>
      <c r="C227" s="70" t="n">
        <v>0.001817874222178742</v>
      </c>
      <c r="D227" s="66" t="n">
        <v>9.242158214799268e-06</v>
      </c>
      <c r="E227" s="70" t="n">
        <v>0.8644787292384505</v>
      </c>
    </row>
    <row r="228">
      <c r="A228" s="65" t="inlineStr">
        <is>
          <t>weekly</t>
        </is>
      </c>
      <c r="B228" s="65" t="inlineStr">
        <is>
          <t>loan_ead</t>
        </is>
      </c>
      <c r="C228" s="70" t="n">
        <v>0.002993037869930378</v>
      </c>
      <c r="D228" s="66" t="n">
        <v>9.024819407393614e-06</v>
      </c>
      <c r="E228" s="70" t="n">
        <v>0.8644787292384505</v>
      </c>
    </row>
    <row r="229">
      <c r="A229" s="65" t="inlineStr">
        <is>
          <t>weekly</t>
        </is>
      </c>
      <c r="B229" s="65" t="inlineStr">
        <is>
          <t>ins_uptake@gig</t>
        </is>
      </c>
      <c r="C229" s="70" t="n">
        <v>-0.003130570387305704</v>
      </c>
      <c r="D229" s="66" t="n">
        <v>7.457048563171193e-06</v>
      </c>
      <c r="E229" s="70" t="n">
        <v>0.8644787292384505</v>
      </c>
    </row>
    <row r="230">
      <c r="A230" s="65" t="inlineStr">
        <is>
          <t>weekly</t>
        </is>
      </c>
      <c r="B230" s="65" t="inlineStr">
        <is>
          <t>sip_amount</t>
        </is>
      </c>
      <c r="C230" s="70" t="n">
        <v>0.005384064341840644</v>
      </c>
      <c r="D230" s="66" t="n">
        <v>7.032412286635905e-06</v>
      </c>
      <c r="E230" s="70" t="n">
        <v>0.8644787292384505</v>
      </c>
    </row>
    <row r="231">
      <c r="A231" s="65" t="inlineStr">
        <is>
          <t>weekly</t>
        </is>
      </c>
      <c r="B231" s="65" t="inlineStr">
        <is>
          <t>debits_success@gig</t>
        </is>
      </c>
      <c r="C231" s="70" t="n">
        <v>0.01294483568144836</v>
      </c>
      <c r="D231" s="66" t="n">
        <v>4.536975089889023e-06</v>
      </c>
      <c r="E231" s="70" t="n">
        <v>0.8644787292384505</v>
      </c>
    </row>
    <row r="232">
      <c r="A232" s="65" t="inlineStr">
        <is>
          <t>weekly</t>
        </is>
      </c>
      <c r="B232" s="65" t="inlineStr">
        <is>
          <t>dormant_withdraw</t>
        </is>
      </c>
      <c r="C232" s="70" t="n">
        <v>0.01028573653885737</v>
      </c>
      <c r="D232" s="66" t="n">
        <v>4.437736112560005e-06</v>
      </c>
      <c r="E232" s="70" t="n">
        <v>0.8644787292384505</v>
      </c>
    </row>
    <row r="233">
      <c r="A233" s="65" t="inlineStr">
        <is>
          <t>weekly</t>
        </is>
      </c>
      <c r="B233" s="65" t="inlineStr">
        <is>
          <t>unsec_fee</t>
        </is>
      </c>
      <c r="C233" s="70" t="n">
        <v>0.01123442575634426</v>
      </c>
      <c r="D233" s="66" t="n">
        <v>4.233918442478039e-06</v>
      </c>
      <c r="E233" s="70" t="n">
        <v>0.8644787292384505</v>
      </c>
    </row>
    <row r="234">
      <c r="A234" s="65" t="inlineStr">
        <is>
          <t>weekly</t>
        </is>
      </c>
      <c r="B234" s="65" t="inlineStr">
        <is>
          <t>dlg_fee_uplift</t>
        </is>
      </c>
      <c r="C234" s="70" t="n">
        <v>-0.005404107246041072</v>
      </c>
      <c r="D234" s="66" t="n">
        <v>2.555234028868754e-06</v>
      </c>
      <c r="E234" s="70" t="n">
        <v>0.8644787292384505</v>
      </c>
    </row>
    <row r="235">
      <c r="A235" s="65" t="inlineStr">
        <is>
          <t>weekly</t>
        </is>
      </c>
      <c r="B235" s="65" t="inlineStr">
        <is>
          <t>service_cost</t>
        </is>
      </c>
      <c r="C235" s="70" t="n">
        <v>-0.005296041760960418</v>
      </c>
      <c r="D235" s="66" t="n">
        <v>2.487444343325495e-06</v>
      </c>
      <c r="E235" s="70" t="n">
        <v>0.8644787292384505</v>
      </c>
    </row>
    <row r="236">
      <c r="A236" s="65" t="inlineStr">
        <is>
          <t>weekly</t>
        </is>
      </c>
      <c r="B236" s="65" t="inlineStr">
        <is>
          <t>card_ic_share</t>
        </is>
      </c>
      <c r="C236" s="70" t="n">
        <v>-0.004528987581289876</v>
      </c>
      <c r="D236" s="66" t="n">
        <v>2.062977675990024e-06</v>
      </c>
      <c r="E236" s="70" t="n">
        <v>0.8644787292384505</v>
      </c>
    </row>
    <row r="237">
      <c r="A237" s="65" t="inlineStr">
        <is>
          <t>weekly</t>
        </is>
      </c>
      <c r="B237" s="65" t="inlineStr">
        <is>
          <t>loan_approval@ng</t>
        </is>
      </c>
      <c r="C237" s="70" t="n">
        <v>0.001205374224053742</v>
      </c>
      <c r="D237" s="66" t="n">
        <v>1.644264314511812e-06</v>
      </c>
      <c r="E237" s="70" t="n">
        <v>0.8644787292384505</v>
      </c>
    </row>
    <row r="238">
      <c r="A238" s="65" t="inlineStr">
        <is>
          <t>weekly</t>
        </is>
      </c>
      <c r="B238" s="65" t="inlineStr">
        <is>
          <t>fd_fee</t>
        </is>
      </c>
      <c r="C238" s="70" t="n">
        <v>-0.01505558335855583</v>
      </c>
      <c r="D238" s="66" t="n">
        <v>1.267915162325294e-06</v>
      </c>
      <c r="E238" s="70" t="n">
        <v>0.8644787292384505</v>
      </c>
    </row>
    <row r="239">
      <c r="A239" s="65" t="inlineStr">
        <is>
          <t>weekly</t>
        </is>
      </c>
      <c r="B239" s="65" t="inlineStr">
        <is>
          <t>card_ops_cost</t>
        </is>
      </c>
      <c r="C239" s="70" t="n">
        <v>0.01983248152232481</v>
      </c>
      <c r="D239" s="66" t="n">
        <v>1.025707564199054e-06</v>
      </c>
      <c r="E239" s="70" t="n">
        <v>0.8644787292384505</v>
      </c>
    </row>
    <row r="240">
      <c r="A240" s="65" t="inlineStr">
        <is>
          <t>weekly</t>
        </is>
      </c>
      <c r="B240" s="65" t="inlineStr">
        <is>
          <t>ladder_dpd90</t>
        </is>
      </c>
      <c r="C240" s="70" t="n">
        <v>-0.005718764577187645</v>
      </c>
      <c r="D240" s="66" t="n">
        <v>5.904806037231851e-07</v>
      </c>
      <c r="E240" s="70" t="n">
        <v>0.8644787292384505</v>
      </c>
    </row>
    <row r="241">
      <c r="A241" s="65" t="inlineStr">
        <is>
          <t>weekly</t>
        </is>
      </c>
      <c r="B241" s="65" t="inlineStr">
        <is>
          <t>loan_lgd</t>
        </is>
      </c>
      <c r="C241" s="70" t="n">
        <v>0.001371480553714806</v>
      </c>
      <c r="D241" s="66" t="n">
        <v>4.553814101896533e-07</v>
      </c>
      <c r="E241" s="70" t="n">
        <v>0.8644787292384505</v>
      </c>
    </row>
    <row r="242">
      <c r="A242" s="65" t="inlineStr">
        <is>
          <t>weekly</t>
        </is>
      </c>
      <c r="B242" s="65" t="inlineStr">
        <is>
          <t>card_spend</t>
        </is>
      </c>
      <c r="C242" s="70" t="n">
        <v>-0.005219331292193314</v>
      </c>
      <c r="D242" s="66" t="n">
        <v>3.486353905292715e-08</v>
      </c>
      <c r="E242" s="70" t="n">
        <v>0.8644787292384505</v>
      </c>
    </row>
    <row r="243">
      <c r="A243" s="65" t="inlineStr">
        <is>
          <t>weekly</t>
        </is>
      </c>
      <c r="B243" s="65" t="inlineStr">
        <is>
          <t>loan_approval@gig</t>
        </is>
      </c>
      <c r="C243" s="70" t="n">
        <v>-0.01731584459315845</v>
      </c>
      <c r="D243" s="66" t="n">
        <v>2.677880063913793e-08</v>
      </c>
      <c r="E243" s="70" t="n">
        <v>0.8644787292384505</v>
      </c>
    </row>
    <row r="244">
      <c r="A244" s="65" t="inlineStr">
        <is>
          <t>weekly</t>
        </is>
      </c>
      <c r="B244" s="65" t="inlineStr">
        <is>
          <t>trail_equity</t>
        </is>
      </c>
      <c r="C244" s="70" t="n">
        <v>0.005203132840031328</v>
      </c>
      <c r="D244" s="66" t="n">
        <v>1.631494845025449e-08</v>
      </c>
      <c r="E244" s="70" t="n">
        <v>0.8644787292384505</v>
      </c>
    </row>
    <row r="245">
      <c r="A245" s="65" t="inlineStr">
        <is>
          <t>weekly</t>
        </is>
      </c>
      <c r="B245" s="65" t="inlineStr">
        <is>
          <t>lsp_fee</t>
        </is>
      </c>
      <c r="C245" s="70" t="n">
        <v>0.01111536474315365</v>
      </c>
      <c r="D245" s="66" t="n">
        <v>9.751478973904761e-09</v>
      </c>
      <c r="E245" s="70" t="n">
        <v>0.8644787292384505</v>
      </c>
    </row>
    <row r="247">
      <c r="A247" s="2" t="inlineStr">
        <is>
          <t>What moves the odds: P(net &gt; 0) with the driver in its worst / best fifth</t>
        </is>
      </c>
    </row>
    <row r="248">
      <c r="A248" s="64" t="inlineStr">
        <is>
          <t>variant</t>
        </is>
      </c>
      <c r="B248" s="64" t="inlineStr">
        <is>
          <t>input</t>
        </is>
      </c>
      <c r="C248" s="64" t="inlineStr">
        <is>
          <t>p_net_pos_worst_fifth</t>
        </is>
      </c>
      <c r="D248" s="64" t="inlineStr">
        <is>
          <t>p_net_pos_best_fifth</t>
        </is>
      </c>
      <c r="E248" s="64" t="inlineStr">
        <is>
          <t>p_ratio_ge3_best_fifth</t>
        </is>
      </c>
    </row>
    <row r="249">
      <c r="A249" s="65" t="inlineStr">
        <is>
          <t>independent</t>
        </is>
      </c>
      <c r="B249" s="65" t="inlineStr">
        <is>
          <t>pay_flat</t>
        </is>
      </c>
      <c r="C249" s="66" t="n">
        <v>0</v>
      </c>
      <c r="D249" s="66" t="n">
        <v>0</v>
      </c>
      <c r="E249" s="66" t="n">
        <v>0</v>
      </c>
    </row>
    <row r="250">
      <c r="A250" s="65" t="inlineStr">
        <is>
          <t>independent</t>
        </is>
      </c>
      <c r="B250" s="65" t="inlineStr">
        <is>
          <t>cac_target@ng</t>
        </is>
      </c>
      <c r="C250" s="66" t="n">
        <v>0</v>
      </c>
      <c r="D250" s="66" t="n">
        <v>0</v>
      </c>
      <c r="E250" s="66" t="n">
        <v>0</v>
      </c>
    </row>
    <row r="251">
      <c r="A251" s="65" t="inlineStr">
        <is>
          <t>independent</t>
        </is>
      </c>
      <c r="B251" s="65" t="inlineStr">
        <is>
          <t>cac_target@gig</t>
        </is>
      </c>
      <c r="C251" s="66" t="n">
        <v>0</v>
      </c>
      <c r="D251" s="66" t="n">
        <v>0</v>
      </c>
      <c r="E251" s="66" t="n">
        <v>0</v>
      </c>
    </row>
    <row r="252">
      <c r="A252" s="65" t="inlineStr">
        <is>
          <t>independent</t>
        </is>
      </c>
      <c r="B252" s="65" t="inlineStr">
        <is>
          <t>fail_billed</t>
        </is>
      </c>
      <c r="C252" s="66" t="n">
        <v>0</v>
      </c>
      <c r="D252" s="66" t="n">
        <v>0</v>
      </c>
      <c r="E252" s="66" t="n">
        <v>0</v>
      </c>
    </row>
    <row r="253">
      <c r="A253" s="65" t="inlineStr">
        <is>
          <t>independent</t>
        </is>
      </c>
      <c r="B253" s="65" t="inlineStr">
        <is>
          <t>ret_m12@ng</t>
        </is>
      </c>
      <c r="C253" s="66" t="n">
        <v>0</v>
      </c>
      <c r="D253" s="66" t="n">
        <v>0</v>
      </c>
      <c r="E253" s="66" t="n">
        <v>0</v>
      </c>
    </row>
    <row r="254">
      <c r="A254" s="65" t="inlineStr">
        <is>
          <t>independent</t>
        </is>
      </c>
      <c r="B254" s="65" t="inlineStr">
        <is>
          <t>churn_late</t>
        </is>
      </c>
      <c r="C254" s="66" t="n">
        <v>0</v>
      </c>
      <c r="D254" s="66" t="n">
        <v>0</v>
      </c>
      <c r="E254" s="66" t="n">
        <v>0</v>
      </c>
    </row>
    <row r="255">
      <c r="A255" s="65" t="inlineStr">
        <is>
          <t>independent</t>
        </is>
      </c>
      <c r="B255" s="65" t="inlineStr">
        <is>
          <t>ret_m12@gig</t>
        </is>
      </c>
      <c r="C255" s="66" t="n">
        <v>0</v>
      </c>
      <c r="D255" s="66" t="n">
        <v>0</v>
      </c>
      <c r="E255" s="66" t="n">
        <v>0</v>
      </c>
    </row>
    <row r="256">
      <c r="A256" s="65" t="inlineStr">
        <is>
          <t>independent</t>
        </is>
      </c>
      <c r="B256" s="65" t="inlineStr">
        <is>
          <t>cost_support</t>
        </is>
      </c>
      <c r="C256" s="66" t="n">
        <v>0</v>
      </c>
      <c r="D256" s="66" t="n">
        <v>0</v>
      </c>
      <c r="E256" s="66" t="n">
        <v>0</v>
      </c>
    </row>
    <row r="257">
      <c r="A257" s="65" t="inlineStr">
        <is>
          <t>correlated</t>
        </is>
      </c>
      <c r="B257" s="65" t="inlineStr">
        <is>
          <t>pay_flat</t>
        </is>
      </c>
      <c r="C257" s="66" t="n">
        <v>0</v>
      </c>
      <c r="D257" s="66" t="n">
        <v>0</v>
      </c>
      <c r="E257" s="66" t="n">
        <v>0</v>
      </c>
    </row>
    <row r="258">
      <c r="A258" s="65" t="inlineStr">
        <is>
          <t>correlated</t>
        </is>
      </c>
      <c r="B258" s="65" t="inlineStr">
        <is>
          <t>cac_target@ng</t>
        </is>
      </c>
      <c r="C258" s="66" t="n">
        <v>0</v>
      </c>
      <c r="D258" s="66" t="n">
        <v>0</v>
      </c>
      <c r="E258" s="66" t="n">
        <v>0</v>
      </c>
    </row>
    <row r="259">
      <c r="A259" s="65" t="inlineStr">
        <is>
          <t>correlated</t>
        </is>
      </c>
      <c r="B259" s="65" t="inlineStr">
        <is>
          <t>cac_target@gig</t>
        </is>
      </c>
      <c r="C259" s="66" t="n">
        <v>0</v>
      </c>
      <c r="D259" s="66" t="n">
        <v>0</v>
      </c>
      <c r="E259" s="66" t="n">
        <v>0</v>
      </c>
    </row>
    <row r="260">
      <c r="A260" s="65" t="inlineStr">
        <is>
          <t>correlated</t>
        </is>
      </c>
      <c r="B260" s="65" t="inlineStr">
        <is>
          <t>fail_billed</t>
        </is>
      </c>
      <c r="C260" s="66" t="n">
        <v>0</v>
      </c>
      <c r="D260" s="66" t="n">
        <v>0</v>
      </c>
      <c r="E260" s="66" t="n">
        <v>0</v>
      </c>
    </row>
    <row r="261">
      <c r="A261" s="65" t="inlineStr">
        <is>
          <t>correlated</t>
        </is>
      </c>
      <c r="B261" s="65" t="inlineStr">
        <is>
          <t>ret_m12@ng</t>
        </is>
      </c>
      <c r="C261" s="66" t="n">
        <v>0</v>
      </c>
      <c r="D261" s="66" t="n">
        <v>0</v>
      </c>
      <c r="E261" s="66" t="n">
        <v>0</v>
      </c>
    </row>
    <row r="262">
      <c r="A262" s="65" t="inlineStr">
        <is>
          <t>correlated</t>
        </is>
      </c>
      <c r="B262" s="65" t="inlineStr">
        <is>
          <t>ret_m12@gig</t>
        </is>
      </c>
      <c r="C262" s="66" t="n">
        <v>0</v>
      </c>
      <c r="D262" s="66" t="n">
        <v>0</v>
      </c>
      <c r="E262" s="66" t="n">
        <v>0</v>
      </c>
    </row>
    <row r="263">
      <c r="A263" s="65" t="inlineStr">
        <is>
          <t>correlated</t>
        </is>
      </c>
      <c r="B263" s="65" t="inlineStr">
        <is>
          <t>churn_late</t>
        </is>
      </c>
      <c r="C263" s="66" t="n">
        <v>0</v>
      </c>
      <c r="D263" s="66" t="n">
        <v>0</v>
      </c>
      <c r="E263" s="66" t="n">
        <v>0</v>
      </c>
    </row>
    <row r="264">
      <c r="A264" s="65" t="inlineStr">
        <is>
          <t>correlated</t>
        </is>
      </c>
      <c r="B264" s="65" t="inlineStr">
        <is>
          <t>cost_support</t>
        </is>
      </c>
      <c r="C264" s="66" t="n">
        <v>0</v>
      </c>
      <c r="D264" s="66" t="n">
        <v>0</v>
      </c>
      <c r="E264" s="66" t="n">
        <v>0</v>
      </c>
    </row>
    <row r="265">
      <c r="A265" s="65" t="inlineStr">
        <is>
          <t>weekly</t>
        </is>
      </c>
      <c r="B265" s="65" t="inlineStr">
        <is>
          <t>cac_target@ng</t>
        </is>
      </c>
      <c r="C265" s="66" t="n">
        <v>0</v>
      </c>
      <c r="D265" s="66" t="n">
        <v>0</v>
      </c>
      <c r="E265" s="66" t="n">
        <v>0</v>
      </c>
    </row>
    <row r="266">
      <c r="A266" s="65" t="inlineStr">
        <is>
          <t>weekly</t>
        </is>
      </c>
      <c r="B266" s="65" t="inlineStr">
        <is>
          <t>cac_target@gig</t>
        </is>
      </c>
      <c r="C266" s="66" t="n">
        <v>0</v>
      </c>
      <c r="D266" s="66" t="n">
        <v>0</v>
      </c>
      <c r="E266" s="66" t="n">
        <v>0</v>
      </c>
    </row>
    <row r="267">
      <c r="A267" s="65" t="inlineStr">
        <is>
          <t>weekly</t>
        </is>
      </c>
      <c r="B267" s="65" t="inlineStr">
        <is>
          <t>ret_m12@ng</t>
        </is>
      </c>
      <c r="C267" s="66" t="n">
        <v>0</v>
      </c>
      <c r="D267" s="66" t="n">
        <v>0</v>
      </c>
      <c r="E267" s="66" t="n">
        <v>0</v>
      </c>
    </row>
    <row r="268">
      <c r="A268" s="65" t="inlineStr">
        <is>
          <t>weekly</t>
        </is>
      </c>
      <c r="B268" s="65" t="inlineStr">
        <is>
          <t>cost_support</t>
        </is>
      </c>
      <c r="C268" s="66" t="n">
        <v>0</v>
      </c>
      <c r="D268" s="66" t="n">
        <v>0</v>
      </c>
      <c r="E268" s="66" t="n">
        <v>0</v>
      </c>
    </row>
    <row r="269">
      <c r="A269" s="65" t="inlineStr">
        <is>
          <t>weekly</t>
        </is>
      </c>
      <c r="B269" s="65" t="inlineStr">
        <is>
          <t>churn_late</t>
        </is>
      </c>
      <c r="C269" s="66" t="n">
        <v>0</v>
      </c>
      <c r="D269" s="66" t="n">
        <v>0</v>
      </c>
      <c r="E269" s="66" t="n">
        <v>0</v>
      </c>
    </row>
    <row r="270">
      <c r="A270" s="65" t="inlineStr">
        <is>
          <t>weekly</t>
        </is>
      </c>
      <c r="B270" s="65" t="inlineStr">
        <is>
          <t>ret_m12@gig</t>
        </is>
      </c>
      <c r="C270" s="66" t="n">
        <v>0</v>
      </c>
      <c r="D270" s="66" t="n">
        <v>0</v>
      </c>
      <c r="E270" s="66" t="n">
        <v>0</v>
      </c>
    </row>
    <row r="271">
      <c r="A271" s="65" t="inlineStr">
        <is>
          <t>weekly</t>
        </is>
      </c>
      <c r="B271" s="65" t="inlineStr">
        <is>
          <t>gold_margin</t>
        </is>
      </c>
      <c r="C271" s="66" t="n">
        <v>0</v>
      </c>
      <c r="D271" s="66" t="n">
        <v>0</v>
      </c>
      <c r="E271" s="66" t="n">
        <v>0</v>
      </c>
    </row>
    <row r="272">
      <c r="A272" s="65" t="inlineStr">
        <is>
          <t>weekly</t>
        </is>
      </c>
      <c r="B272" s="65" t="inlineStr">
        <is>
          <t>pay_flat</t>
        </is>
      </c>
      <c r="C272" s="66" t="n">
        <v>0</v>
      </c>
      <c r="D272" s="66" t="n">
        <v>0</v>
      </c>
      <c r="E272" s="66" t="n">
        <v>0</v>
      </c>
    </row>
    <row r="274">
      <c r="A274" s="2" t="inlineStr">
        <is>
          <t>Histogram of net value per saver (Rs; 1st to 99th percentile)</t>
        </is>
      </c>
    </row>
    <row r="275">
      <c r="A275" s="64" t="inlineStr">
        <is>
          <t>variant</t>
        </is>
      </c>
      <c r="B275" s="64" t="inlineStr">
        <is>
          <t>lo</t>
        </is>
      </c>
      <c r="C275" s="64" t="inlineStr">
        <is>
          <t>hi</t>
        </is>
      </c>
      <c r="D275" s="64" t="inlineStr">
        <is>
          <t>share</t>
        </is>
      </c>
    </row>
    <row r="276">
      <c r="A276" s="65" t="inlineStr">
        <is>
          <t>independent</t>
        </is>
      </c>
      <c r="B276" s="71" t="n">
        <v>-3024.781475437288</v>
      </c>
      <c r="C276" s="71" t="n">
        <v>-2936.704268241017</v>
      </c>
      <c r="D276" s="66" t="n">
        <v>0.0126</v>
      </c>
    </row>
    <row r="277">
      <c r="A277" s="65" t="inlineStr">
        <is>
          <t>independent</t>
        </is>
      </c>
      <c r="B277" s="71" t="n">
        <v>-2936.704268241017</v>
      </c>
      <c r="C277" s="71" t="n">
        <v>-2848.627061044746</v>
      </c>
      <c r="D277" s="66" t="n">
        <v>0.0046</v>
      </c>
    </row>
    <row r="278">
      <c r="A278" s="65" t="inlineStr">
        <is>
          <t>independent</t>
        </is>
      </c>
      <c r="B278" s="71" t="n">
        <v>-2848.627061044746</v>
      </c>
      <c r="C278" s="71" t="n">
        <v>-2760.549853848476</v>
      </c>
      <c r="D278" s="66" t="n">
        <v>0.0066</v>
      </c>
    </row>
    <row r="279">
      <c r="A279" s="65" t="inlineStr">
        <is>
          <t>independent</t>
        </is>
      </c>
      <c r="B279" s="71" t="n">
        <v>-2760.549853848476</v>
      </c>
      <c r="C279" s="71" t="n">
        <v>-2672.472646652205</v>
      </c>
      <c r="D279" s="66" t="n">
        <v>0.007900000000000001</v>
      </c>
    </row>
    <row r="280">
      <c r="A280" s="65" t="inlineStr">
        <is>
          <t>independent</t>
        </is>
      </c>
      <c r="B280" s="71" t="n">
        <v>-2672.472646652205</v>
      </c>
      <c r="C280" s="71" t="n">
        <v>-2584.395439455934</v>
      </c>
      <c r="D280" s="66" t="n">
        <v>0.0086</v>
      </c>
    </row>
    <row r="281">
      <c r="A281" s="65" t="inlineStr">
        <is>
          <t>independent</t>
        </is>
      </c>
      <c r="B281" s="71" t="n">
        <v>-2584.395439455934</v>
      </c>
      <c r="C281" s="71" t="n">
        <v>-2496.318232259664</v>
      </c>
      <c r="D281" s="66" t="n">
        <v>0.0108</v>
      </c>
    </row>
    <row r="282">
      <c r="A282" s="65" t="inlineStr">
        <is>
          <t>independent</t>
        </is>
      </c>
      <c r="B282" s="71" t="n">
        <v>-2496.318232259664</v>
      </c>
      <c r="C282" s="71" t="n">
        <v>-2408.241025063393</v>
      </c>
      <c r="D282" s="66" t="n">
        <v>0.012</v>
      </c>
    </row>
    <row r="283">
      <c r="A283" s="65" t="inlineStr">
        <is>
          <t>independent</t>
        </is>
      </c>
      <c r="B283" s="71" t="n">
        <v>-2408.241025063393</v>
      </c>
      <c r="C283" s="71" t="n">
        <v>-2320.163817867122</v>
      </c>
      <c r="D283" s="66" t="n">
        <v>0.0128</v>
      </c>
    </row>
    <row r="284">
      <c r="A284" s="65" t="inlineStr">
        <is>
          <t>independent</t>
        </is>
      </c>
      <c r="B284" s="71" t="n">
        <v>-2320.163817867122</v>
      </c>
      <c r="C284" s="71" t="n">
        <v>-2232.086610670852</v>
      </c>
      <c r="D284" s="66" t="n">
        <v>0.0171</v>
      </c>
    </row>
    <row r="285">
      <c r="A285" s="65" t="inlineStr">
        <is>
          <t>independent</t>
        </is>
      </c>
      <c r="B285" s="71" t="n">
        <v>-2232.086610670852</v>
      </c>
      <c r="C285" s="71" t="n">
        <v>-2144.009403474581</v>
      </c>
      <c r="D285" s="66" t="n">
        <v>0.0209</v>
      </c>
    </row>
    <row r="286">
      <c r="A286" s="65" t="inlineStr">
        <is>
          <t>independent</t>
        </is>
      </c>
      <c r="B286" s="71" t="n">
        <v>-2144.009403474581</v>
      </c>
      <c r="C286" s="71" t="n">
        <v>-2055.932196278311</v>
      </c>
      <c r="D286" s="66" t="n">
        <v>0.0209</v>
      </c>
    </row>
    <row r="287">
      <c r="A287" s="65" t="inlineStr">
        <is>
          <t>independent</t>
        </is>
      </c>
      <c r="B287" s="71" t="n">
        <v>-2055.932196278311</v>
      </c>
      <c r="C287" s="71" t="n">
        <v>-1967.85498908204</v>
      </c>
      <c r="D287" s="66" t="n">
        <v>0.0227</v>
      </c>
    </row>
    <row r="288">
      <c r="A288" s="65" t="inlineStr">
        <is>
          <t>independent</t>
        </is>
      </c>
      <c r="B288" s="71" t="n">
        <v>-1967.85498908204</v>
      </c>
      <c r="C288" s="71" t="n">
        <v>-1879.777781885769</v>
      </c>
      <c r="D288" s="66" t="n">
        <v>0.0275</v>
      </c>
    </row>
    <row r="289">
      <c r="A289" s="65" t="inlineStr">
        <is>
          <t>independent</t>
        </is>
      </c>
      <c r="B289" s="71" t="n">
        <v>-1879.777781885769</v>
      </c>
      <c r="C289" s="71" t="n">
        <v>-1791.700574689499</v>
      </c>
      <c r="D289" s="66" t="n">
        <v>0.0314</v>
      </c>
    </row>
    <row r="290">
      <c r="A290" s="65" t="inlineStr">
        <is>
          <t>independent</t>
        </is>
      </c>
      <c r="B290" s="71" t="n">
        <v>-1791.700574689499</v>
      </c>
      <c r="C290" s="71" t="n">
        <v>-1703.623367493228</v>
      </c>
      <c r="D290" s="66" t="n">
        <v>0.0319</v>
      </c>
    </row>
    <row r="291">
      <c r="A291" s="65" t="inlineStr">
        <is>
          <t>independent</t>
        </is>
      </c>
      <c r="B291" s="71" t="n">
        <v>-1703.623367493228</v>
      </c>
      <c r="C291" s="71" t="n">
        <v>-1615.546160296957</v>
      </c>
      <c r="D291" s="66" t="n">
        <v>0.0331</v>
      </c>
    </row>
    <row r="292">
      <c r="A292" s="65" t="inlineStr">
        <is>
          <t>independent</t>
        </is>
      </c>
      <c r="B292" s="71" t="n">
        <v>-1615.546160296957</v>
      </c>
      <c r="C292" s="71" t="n">
        <v>-1527.468953100687</v>
      </c>
      <c r="D292" s="66" t="n">
        <v>0.0346</v>
      </c>
    </row>
    <row r="293">
      <c r="A293" s="65" t="inlineStr">
        <is>
          <t>independent</t>
        </is>
      </c>
      <c r="B293" s="71" t="n">
        <v>-1527.468953100687</v>
      </c>
      <c r="C293" s="71" t="n">
        <v>-1439.391745904416</v>
      </c>
      <c r="D293" s="66" t="n">
        <v>0.0396</v>
      </c>
    </row>
    <row r="294">
      <c r="A294" s="65" t="inlineStr">
        <is>
          <t>independent</t>
        </is>
      </c>
      <c r="B294" s="71" t="n">
        <v>-1439.391745904416</v>
      </c>
      <c r="C294" s="71" t="n">
        <v>-1351.314538708145</v>
      </c>
      <c r="D294" s="66" t="n">
        <v>0.0397</v>
      </c>
    </row>
    <row r="295">
      <c r="A295" s="65" t="inlineStr">
        <is>
          <t>independent</t>
        </is>
      </c>
      <c r="B295" s="71" t="n">
        <v>-1351.314538708145</v>
      </c>
      <c r="C295" s="71" t="n">
        <v>-1263.237331511875</v>
      </c>
      <c r="D295" s="66" t="n">
        <v>0.0409</v>
      </c>
    </row>
    <row r="296">
      <c r="A296" s="65" t="inlineStr">
        <is>
          <t>independent</t>
        </is>
      </c>
      <c r="B296" s="71" t="n">
        <v>-1263.237331511875</v>
      </c>
      <c r="C296" s="71" t="n">
        <v>-1175.160124315604</v>
      </c>
      <c r="D296" s="66" t="n">
        <v>0.0419</v>
      </c>
    </row>
    <row r="297">
      <c r="A297" s="65" t="inlineStr">
        <is>
          <t>independent</t>
        </is>
      </c>
      <c r="B297" s="71" t="n">
        <v>-1175.160124315604</v>
      </c>
      <c r="C297" s="71" t="n">
        <v>-1087.082917119334</v>
      </c>
      <c r="D297" s="66" t="n">
        <v>0.0451</v>
      </c>
    </row>
    <row r="298">
      <c r="A298" s="65" t="inlineStr">
        <is>
          <t>independent</t>
        </is>
      </c>
      <c r="B298" s="71" t="n">
        <v>-1087.082917119334</v>
      </c>
      <c r="C298" s="71" t="n">
        <v>-999.005709923063</v>
      </c>
      <c r="D298" s="66" t="n">
        <v>0.047</v>
      </c>
    </row>
    <row r="299">
      <c r="A299" s="65" t="inlineStr">
        <is>
          <t>independent</t>
        </is>
      </c>
      <c r="B299" s="71" t="n">
        <v>-999.005709923063</v>
      </c>
      <c r="C299" s="71" t="n">
        <v>-910.9285027267924</v>
      </c>
      <c r="D299" s="66" t="n">
        <v>0.0552</v>
      </c>
    </row>
    <row r="300">
      <c r="A300" s="65" t="inlineStr">
        <is>
          <t>independent</t>
        </is>
      </c>
      <c r="B300" s="71" t="n">
        <v>-910.9285027267924</v>
      </c>
      <c r="C300" s="71" t="n">
        <v>-822.8512955305218</v>
      </c>
      <c r="D300" s="66" t="n">
        <v>0.06469999999999999</v>
      </c>
    </row>
    <row r="301">
      <c r="A301" s="65" t="inlineStr">
        <is>
          <t>independent</t>
        </is>
      </c>
      <c r="B301" s="71" t="n">
        <v>-822.8512955305218</v>
      </c>
      <c r="C301" s="71" t="n">
        <v>-734.7740883342512</v>
      </c>
      <c r="D301" s="66" t="n">
        <v>0.0692</v>
      </c>
    </row>
    <row r="302">
      <c r="A302" s="65" t="inlineStr">
        <is>
          <t>independent</t>
        </is>
      </c>
      <c r="B302" s="71" t="n">
        <v>-734.7740883342512</v>
      </c>
      <c r="C302" s="71" t="n">
        <v>-646.6968811379802</v>
      </c>
      <c r="D302" s="66" t="n">
        <v>0.0781</v>
      </c>
    </row>
    <row r="303">
      <c r="A303" s="65" t="inlineStr">
        <is>
          <t>independent</t>
        </is>
      </c>
      <c r="B303" s="71" t="n">
        <v>-646.6968811379802</v>
      </c>
      <c r="C303" s="71" t="n">
        <v>-558.6196739417096</v>
      </c>
      <c r="D303" s="66" t="n">
        <v>0.0668</v>
      </c>
    </row>
    <row r="304">
      <c r="A304" s="65" t="inlineStr">
        <is>
          <t>independent</t>
        </is>
      </c>
      <c r="B304" s="71" t="n">
        <v>-558.6196739417096</v>
      </c>
      <c r="C304" s="71" t="n">
        <v>-470.542466745439</v>
      </c>
      <c r="D304" s="66" t="n">
        <v>0.0563</v>
      </c>
    </row>
    <row r="305">
      <c r="A305" s="65" t="inlineStr">
        <is>
          <t>independent</t>
        </is>
      </c>
      <c r="B305" s="71" t="n">
        <v>-470.542466745439</v>
      </c>
      <c r="C305" s="71" t="n">
        <v>-382.4652595491683</v>
      </c>
      <c r="D305" s="66" t="n">
        <v>0.0395</v>
      </c>
    </row>
    <row r="306">
      <c r="A306" s="65" t="inlineStr">
        <is>
          <t>correlated</t>
        </is>
      </c>
      <c r="B306" s="71" t="n">
        <v>-2996.336691435433</v>
      </c>
      <c r="C306" s="71" t="n">
        <v>-2908.863544230463</v>
      </c>
      <c r="D306" s="66" t="n">
        <v>0.0134</v>
      </c>
    </row>
    <row r="307">
      <c r="A307" s="65" t="inlineStr">
        <is>
          <t>correlated</t>
        </is>
      </c>
      <c r="B307" s="71" t="n">
        <v>-2908.863544230463</v>
      </c>
      <c r="C307" s="71" t="n">
        <v>-2821.390397025493</v>
      </c>
      <c r="D307" s="66" t="n">
        <v>0.0042</v>
      </c>
    </row>
    <row r="308">
      <c r="A308" s="65" t="inlineStr">
        <is>
          <t>correlated</t>
        </is>
      </c>
      <c r="B308" s="71" t="n">
        <v>-2821.390397025493</v>
      </c>
      <c r="C308" s="71" t="n">
        <v>-2733.917249820523</v>
      </c>
      <c r="D308" s="66" t="n">
        <v>0.0063</v>
      </c>
    </row>
    <row r="309">
      <c r="A309" s="65" t="inlineStr">
        <is>
          <t>correlated</t>
        </is>
      </c>
      <c r="B309" s="71" t="n">
        <v>-2733.917249820523</v>
      </c>
      <c r="C309" s="71" t="n">
        <v>-2646.444102615554</v>
      </c>
      <c r="D309" s="66" t="n">
        <v>0.0074</v>
      </c>
    </row>
    <row r="310">
      <c r="A310" s="65" t="inlineStr">
        <is>
          <t>correlated</t>
        </is>
      </c>
      <c r="B310" s="71" t="n">
        <v>-2646.444102615554</v>
      </c>
      <c r="C310" s="71" t="n">
        <v>-2558.970955410584</v>
      </c>
      <c r="D310" s="66" t="n">
        <v>0.008699999999999999</v>
      </c>
    </row>
    <row r="311">
      <c r="A311" s="65" t="inlineStr">
        <is>
          <t>correlated</t>
        </is>
      </c>
      <c r="B311" s="71" t="n">
        <v>-2558.970955410584</v>
      </c>
      <c r="C311" s="71" t="n">
        <v>-2471.497808205614</v>
      </c>
      <c r="D311" s="66" t="n">
        <v>0.0098</v>
      </c>
    </row>
    <row r="312">
      <c r="A312" s="65" t="inlineStr">
        <is>
          <t>correlated</t>
        </is>
      </c>
      <c r="B312" s="71" t="n">
        <v>-2471.497808205614</v>
      </c>
      <c r="C312" s="71" t="n">
        <v>-2384.024661000644</v>
      </c>
      <c r="D312" s="66" t="n">
        <v>0.0138</v>
      </c>
    </row>
    <row r="313">
      <c r="A313" s="65" t="inlineStr">
        <is>
          <t>correlated</t>
        </is>
      </c>
      <c r="B313" s="71" t="n">
        <v>-2384.024661000644</v>
      </c>
      <c r="C313" s="71" t="n">
        <v>-2296.551513795675</v>
      </c>
      <c r="D313" s="66" t="n">
        <v>0.0141</v>
      </c>
    </row>
    <row r="314">
      <c r="A314" s="65" t="inlineStr">
        <is>
          <t>correlated</t>
        </is>
      </c>
      <c r="B314" s="71" t="n">
        <v>-2296.551513795675</v>
      </c>
      <c r="C314" s="71" t="n">
        <v>-2209.078366590705</v>
      </c>
      <c r="D314" s="66" t="n">
        <v>0.0206</v>
      </c>
    </row>
    <row r="315">
      <c r="A315" s="65" t="inlineStr">
        <is>
          <t>correlated</t>
        </is>
      </c>
      <c r="B315" s="71" t="n">
        <v>-2209.078366590705</v>
      </c>
      <c r="C315" s="71" t="n">
        <v>-2121.605219385735</v>
      </c>
      <c r="D315" s="66" t="n">
        <v>0.0192</v>
      </c>
    </row>
    <row r="316">
      <c r="A316" s="65" t="inlineStr">
        <is>
          <t>correlated</t>
        </is>
      </c>
      <c r="B316" s="71" t="n">
        <v>-2121.605219385735</v>
      </c>
      <c r="C316" s="71" t="n">
        <v>-2034.132072180765</v>
      </c>
      <c r="D316" s="66" t="n">
        <v>0.0261</v>
      </c>
    </row>
    <row r="317">
      <c r="A317" s="65" t="inlineStr">
        <is>
          <t>correlated</t>
        </is>
      </c>
      <c r="B317" s="71" t="n">
        <v>-2034.132072180765</v>
      </c>
      <c r="C317" s="71" t="n">
        <v>-1946.658924975796</v>
      </c>
      <c r="D317" s="66" t="n">
        <v>0.0263</v>
      </c>
    </row>
    <row r="318">
      <c r="A318" s="65" t="inlineStr">
        <is>
          <t>correlated</t>
        </is>
      </c>
      <c r="B318" s="71" t="n">
        <v>-1946.658924975796</v>
      </c>
      <c r="C318" s="71" t="n">
        <v>-1859.185777770826</v>
      </c>
      <c r="D318" s="66" t="n">
        <v>0.0273</v>
      </c>
    </row>
    <row r="319">
      <c r="A319" s="65" t="inlineStr">
        <is>
          <t>correlated</t>
        </is>
      </c>
      <c r="B319" s="71" t="n">
        <v>-1859.185777770826</v>
      </c>
      <c r="C319" s="71" t="n">
        <v>-1771.712630565856</v>
      </c>
      <c r="D319" s="66" t="n">
        <v>0.031</v>
      </c>
    </row>
    <row r="320">
      <c r="A320" s="65" t="inlineStr">
        <is>
          <t>correlated</t>
        </is>
      </c>
      <c r="B320" s="71" t="n">
        <v>-1771.712630565856</v>
      </c>
      <c r="C320" s="71" t="n">
        <v>-1684.239483360886</v>
      </c>
      <c r="D320" s="66" t="n">
        <v>0.0302</v>
      </c>
    </row>
    <row r="321">
      <c r="A321" s="65" t="inlineStr">
        <is>
          <t>correlated</t>
        </is>
      </c>
      <c r="B321" s="71" t="n">
        <v>-1684.239483360886</v>
      </c>
      <c r="C321" s="71" t="n">
        <v>-1596.766336155916</v>
      </c>
      <c r="D321" s="66" t="n">
        <v>0.0365</v>
      </c>
    </row>
    <row r="322">
      <c r="A322" s="65" t="inlineStr">
        <is>
          <t>correlated</t>
        </is>
      </c>
      <c r="B322" s="71" t="n">
        <v>-1596.766336155916</v>
      </c>
      <c r="C322" s="71" t="n">
        <v>-1509.293188950947</v>
      </c>
      <c r="D322" s="66" t="n">
        <v>0.038</v>
      </c>
    </row>
    <row r="323">
      <c r="A323" s="65" t="inlineStr">
        <is>
          <t>correlated</t>
        </is>
      </c>
      <c r="B323" s="71" t="n">
        <v>-1509.293188950947</v>
      </c>
      <c r="C323" s="71" t="n">
        <v>-1421.820041745977</v>
      </c>
      <c r="D323" s="66" t="n">
        <v>0.038</v>
      </c>
    </row>
    <row r="324">
      <c r="A324" s="65" t="inlineStr">
        <is>
          <t>correlated</t>
        </is>
      </c>
      <c r="B324" s="71" t="n">
        <v>-1421.820041745977</v>
      </c>
      <c r="C324" s="71" t="n">
        <v>-1334.346894541007</v>
      </c>
      <c r="D324" s="66" t="n">
        <v>0.0389</v>
      </c>
    </row>
    <row r="325">
      <c r="A325" s="65" t="inlineStr">
        <is>
          <t>correlated</t>
        </is>
      </c>
      <c r="B325" s="71" t="n">
        <v>-1334.346894541007</v>
      </c>
      <c r="C325" s="71" t="n">
        <v>-1246.873747336037</v>
      </c>
      <c r="D325" s="66" t="n">
        <v>0.037</v>
      </c>
    </row>
    <row r="326">
      <c r="A326" s="65" t="inlineStr">
        <is>
          <t>correlated</t>
        </is>
      </c>
      <c r="B326" s="71" t="n">
        <v>-1246.873747336037</v>
      </c>
      <c r="C326" s="71" t="n">
        <v>-1159.400600131067</v>
      </c>
      <c r="D326" s="66" t="n">
        <v>0.0458</v>
      </c>
    </row>
    <row r="327">
      <c r="A327" s="65" t="inlineStr">
        <is>
          <t>correlated</t>
        </is>
      </c>
      <c r="B327" s="71" t="n">
        <v>-1159.400600131067</v>
      </c>
      <c r="C327" s="71" t="n">
        <v>-1071.927452926098</v>
      </c>
      <c r="D327" s="66" t="n">
        <v>0.0428</v>
      </c>
    </row>
    <row r="328">
      <c r="A328" s="65" t="inlineStr">
        <is>
          <t>correlated</t>
        </is>
      </c>
      <c r="B328" s="71" t="n">
        <v>-1071.927452926098</v>
      </c>
      <c r="C328" s="71" t="n">
        <v>-984.4543057211279</v>
      </c>
      <c r="D328" s="66" t="n">
        <v>0.0508</v>
      </c>
    </row>
    <row r="329">
      <c r="A329" s="65" t="inlineStr">
        <is>
          <t>correlated</t>
        </is>
      </c>
      <c r="B329" s="71" t="n">
        <v>-984.4543057211279</v>
      </c>
      <c r="C329" s="71" t="n">
        <v>-896.9811585161583</v>
      </c>
      <c r="D329" s="66" t="n">
        <v>0.0538</v>
      </c>
    </row>
    <row r="330">
      <c r="A330" s="65" t="inlineStr">
        <is>
          <t>correlated</t>
        </is>
      </c>
      <c r="B330" s="71" t="n">
        <v>-896.9811585161583</v>
      </c>
      <c r="C330" s="71" t="n">
        <v>-809.5080113111885</v>
      </c>
      <c r="D330" s="66" t="n">
        <v>0.06270000000000001</v>
      </c>
    </row>
    <row r="331">
      <c r="A331" s="65" t="inlineStr">
        <is>
          <t>correlated</t>
        </is>
      </c>
      <c r="B331" s="71" t="n">
        <v>-809.5080113111885</v>
      </c>
      <c r="C331" s="71" t="n">
        <v>-722.0348641062187</v>
      </c>
      <c r="D331" s="66" t="n">
        <v>0.0737</v>
      </c>
    </row>
    <row r="332">
      <c r="A332" s="65" t="inlineStr">
        <is>
          <t>correlated</t>
        </is>
      </c>
      <c r="B332" s="71" t="n">
        <v>-722.0348641062187</v>
      </c>
      <c r="C332" s="71" t="n">
        <v>-634.5617169012489</v>
      </c>
      <c r="D332" s="66" t="n">
        <v>0.0727</v>
      </c>
    </row>
    <row r="333">
      <c r="A333" s="65" t="inlineStr">
        <is>
          <t>correlated</t>
        </is>
      </c>
      <c r="B333" s="71" t="n">
        <v>-634.5617169012489</v>
      </c>
      <c r="C333" s="71" t="n">
        <v>-547.0885696962791</v>
      </c>
      <c r="D333" s="66" t="n">
        <v>0.0624</v>
      </c>
    </row>
    <row r="334">
      <c r="A334" s="65" t="inlineStr">
        <is>
          <t>correlated</t>
        </is>
      </c>
      <c r="B334" s="71" t="n">
        <v>-547.0885696962791</v>
      </c>
      <c r="C334" s="71" t="n">
        <v>-459.6154224913093</v>
      </c>
      <c r="D334" s="66" t="n">
        <v>0.0492</v>
      </c>
    </row>
    <row r="335">
      <c r="A335" s="65" t="inlineStr">
        <is>
          <t>correlated</t>
        </is>
      </c>
      <c r="B335" s="71" t="n">
        <v>-459.6154224913093</v>
      </c>
      <c r="C335" s="71" t="n">
        <v>-372.1422752863396</v>
      </c>
      <c r="D335" s="66" t="n">
        <v>0.0393</v>
      </c>
    </row>
    <row r="336">
      <c r="A336" s="65" t="inlineStr">
        <is>
          <t>weekly</t>
        </is>
      </c>
      <c r="B336" s="71" t="n">
        <v>-1699.348417760701</v>
      </c>
      <c r="C336" s="71" t="n">
        <v>-1654.496110600475</v>
      </c>
      <c r="D336" s="66" t="n">
        <v>0.0124</v>
      </c>
    </row>
    <row r="337">
      <c r="A337" s="65" t="inlineStr">
        <is>
          <t>weekly</t>
        </is>
      </c>
      <c r="B337" s="71" t="n">
        <v>-1654.496110600475</v>
      </c>
      <c r="C337" s="71" t="n">
        <v>-1609.643803440248</v>
      </c>
      <c r="D337" s="66" t="n">
        <v>0.0019</v>
      </c>
    </row>
    <row r="338">
      <c r="A338" s="65" t="inlineStr">
        <is>
          <t>weekly</t>
        </is>
      </c>
      <c r="B338" s="71" t="n">
        <v>-1609.643803440248</v>
      </c>
      <c r="C338" s="71" t="n">
        <v>-1564.791496280022</v>
      </c>
      <c r="D338" s="66" t="n">
        <v>0.0028</v>
      </c>
    </row>
    <row r="339">
      <c r="A339" s="65" t="inlineStr">
        <is>
          <t>weekly</t>
        </is>
      </c>
      <c r="B339" s="71" t="n">
        <v>-1564.791496280022</v>
      </c>
      <c r="C339" s="71" t="n">
        <v>-1519.939189119795</v>
      </c>
      <c r="D339" s="66" t="n">
        <v>0.0032</v>
      </c>
    </row>
    <row r="340">
      <c r="A340" s="65" t="inlineStr">
        <is>
          <t>weekly</t>
        </is>
      </c>
      <c r="B340" s="71" t="n">
        <v>-1519.939189119795</v>
      </c>
      <c r="C340" s="71" t="n">
        <v>-1475.086881959568</v>
      </c>
      <c r="D340" s="66" t="n">
        <v>0.0045</v>
      </c>
    </row>
    <row r="341">
      <c r="A341" s="65" t="inlineStr">
        <is>
          <t>weekly</t>
        </is>
      </c>
      <c r="B341" s="71" t="n">
        <v>-1475.086881959568</v>
      </c>
      <c r="C341" s="71" t="n">
        <v>-1430.234574799342</v>
      </c>
      <c r="D341" s="66" t="n">
        <v>0.0059</v>
      </c>
    </row>
    <row r="342">
      <c r="A342" s="65" t="inlineStr">
        <is>
          <t>weekly</t>
        </is>
      </c>
      <c r="B342" s="71" t="n">
        <v>-1430.234574799342</v>
      </c>
      <c r="C342" s="71" t="n">
        <v>-1385.382267639115</v>
      </c>
      <c r="D342" s="66" t="n">
        <v>0.0055</v>
      </c>
    </row>
    <row r="343">
      <c r="A343" s="65" t="inlineStr">
        <is>
          <t>weekly</t>
        </is>
      </c>
      <c r="B343" s="71" t="n">
        <v>-1385.382267639115</v>
      </c>
      <c r="C343" s="71" t="n">
        <v>-1340.529960478889</v>
      </c>
      <c r="D343" s="66" t="n">
        <v>0.0076</v>
      </c>
    </row>
    <row r="344">
      <c r="A344" s="65" t="inlineStr">
        <is>
          <t>weekly</t>
        </is>
      </c>
      <c r="B344" s="71" t="n">
        <v>-1340.529960478889</v>
      </c>
      <c r="C344" s="71" t="n">
        <v>-1295.677653318662</v>
      </c>
      <c r="D344" s="66" t="n">
        <v>0.0086</v>
      </c>
    </row>
    <row r="345">
      <c r="A345" s="65" t="inlineStr">
        <is>
          <t>weekly</t>
        </is>
      </c>
      <c r="B345" s="71" t="n">
        <v>-1295.677653318662</v>
      </c>
      <c r="C345" s="71" t="n">
        <v>-1250.825346158435</v>
      </c>
      <c r="D345" s="66" t="n">
        <v>0.0112</v>
      </c>
    </row>
    <row r="346">
      <c r="A346" s="65" t="inlineStr">
        <is>
          <t>weekly</t>
        </is>
      </c>
      <c r="B346" s="71" t="n">
        <v>-1250.825346158435</v>
      </c>
      <c r="C346" s="71" t="n">
        <v>-1205.973038998209</v>
      </c>
      <c r="D346" s="66" t="n">
        <v>0.0125</v>
      </c>
    </row>
    <row r="347">
      <c r="A347" s="65" t="inlineStr">
        <is>
          <t>weekly</t>
        </is>
      </c>
      <c r="B347" s="71" t="n">
        <v>-1205.973038998209</v>
      </c>
      <c r="C347" s="71" t="n">
        <v>-1161.120731837982</v>
      </c>
      <c r="D347" s="66" t="n">
        <v>0.0153</v>
      </c>
    </row>
    <row r="348">
      <c r="A348" s="65" t="inlineStr">
        <is>
          <t>weekly</t>
        </is>
      </c>
      <c r="B348" s="71" t="n">
        <v>-1161.120731837982</v>
      </c>
      <c r="C348" s="71" t="n">
        <v>-1116.268424677756</v>
      </c>
      <c r="D348" s="66" t="n">
        <v>0.022</v>
      </c>
    </row>
    <row r="349">
      <c r="A349" s="65" t="inlineStr">
        <is>
          <t>weekly</t>
        </is>
      </c>
      <c r="B349" s="71" t="n">
        <v>-1116.268424677756</v>
      </c>
      <c r="C349" s="71" t="n">
        <v>-1071.416117517529</v>
      </c>
      <c r="D349" s="66" t="n">
        <v>0.0226</v>
      </c>
    </row>
    <row r="350">
      <c r="A350" s="65" t="inlineStr">
        <is>
          <t>weekly</t>
        </is>
      </c>
      <c r="B350" s="71" t="n">
        <v>-1071.416117517529</v>
      </c>
      <c r="C350" s="71" t="n">
        <v>-1026.563810357303</v>
      </c>
      <c r="D350" s="66" t="n">
        <v>0.0304</v>
      </c>
    </row>
    <row r="351">
      <c r="A351" s="65" t="inlineStr">
        <is>
          <t>weekly</t>
        </is>
      </c>
      <c r="B351" s="71" t="n">
        <v>-1026.563810357303</v>
      </c>
      <c r="C351" s="71" t="n">
        <v>-981.711503197076</v>
      </c>
      <c r="D351" s="66" t="n">
        <v>0.0364</v>
      </c>
    </row>
    <row r="352">
      <c r="A352" s="65" t="inlineStr">
        <is>
          <t>weekly</t>
        </is>
      </c>
      <c r="B352" s="71" t="n">
        <v>-981.711503197076</v>
      </c>
      <c r="C352" s="71" t="n">
        <v>-936.8591960368494</v>
      </c>
      <c r="D352" s="66" t="n">
        <v>0.0429</v>
      </c>
    </row>
    <row r="353">
      <c r="A353" s="65" t="inlineStr">
        <is>
          <t>weekly</t>
        </is>
      </c>
      <c r="B353" s="71" t="n">
        <v>-936.8591960368494</v>
      </c>
      <c r="C353" s="71" t="n">
        <v>-892.0068888766228</v>
      </c>
      <c r="D353" s="66" t="n">
        <v>0.0478</v>
      </c>
    </row>
    <row r="354">
      <c r="A354" s="65" t="inlineStr">
        <is>
          <t>weekly</t>
        </is>
      </c>
      <c r="B354" s="71" t="n">
        <v>-892.0068888766228</v>
      </c>
      <c r="C354" s="71" t="n">
        <v>-847.1545817163963</v>
      </c>
      <c r="D354" s="66" t="n">
        <v>0.0538</v>
      </c>
    </row>
    <row r="355">
      <c r="A355" s="65" t="inlineStr">
        <is>
          <t>weekly</t>
        </is>
      </c>
      <c r="B355" s="71" t="n">
        <v>-847.1545817163963</v>
      </c>
      <c r="C355" s="71" t="n">
        <v>-802.3022745561697</v>
      </c>
      <c r="D355" s="66" t="n">
        <v>0.0623</v>
      </c>
    </row>
    <row r="356">
      <c r="A356" s="65" t="inlineStr">
        <is>
          <t>weekly</t>
        </is>
      </c>
      <c r="B356" s="71" t="n">
        <v>-802.3022745561697</v>
      </c>
      <c r="C356" s="71" t="n">
        <v>-757.4499673959431</v>
      </c>
      <c r="D356" s="66" t="n">
        <v>0.066</v>
      </c>
    </row>
    <row r="357">
      <c r="A357" s="65" t="inlineStr">
        <is>
          <t>weekly</t>
        </is>
      </c>
      <c r="B357" s="71" t="n">
        <v>-757.4499673959431</v>
      </c>
      <c r="C357" s="71" t="n">
        <v>-712.5976602357165</v>
      </c>
      <c r="D357" s="66" t="n">
        <v>0.07539999999999999</v>
      </c>
    </row>
    <row r="358">
      <c r="A358" s="65" t="inlineStr">
        <is>
          <t>weekly</t>
        </is>
      </c>
      <c r="B358" s="71" t="n">
        <v>-712.5976602357165</v>
      </c>
      <c r="C358" s="71" t="n">
        <v>-667.7453530754899</v>
      </c>
      <c r="D358" s="66" t="n">
        <v>0.07729999999999999</v>
      </c>
    </row>
    <row r="359">
      <c r="A359" s="65" t="inlineStr">
        <is>
          <t>weekly</t>
        </is>
      </c>
      <c r="B359" s="71" t="n">
        <v>-667.7453530754899</v>
      </c>
      <c r="C359" s="71" t="n">
        <v>-622.8930459152634</v>
      </c>
      <c r="D359" s="66" t="n">
        <v>0.08260000000000001</v>
      </c>
    </row>
    <row r="360">
      <c r="A360" s="65" t="inlineStr">
        <is>
          <t>weekly</t>
        </is>
      </c>
      <c r="B360" s="71" t="n">
        <v>-622.8930459152634</v>
      </c>
      <c r="C360" s="71" t="n">
        <v>-578.0407387550367</v>
      </c>
      <c r="D360" s="66" t="n">
        <v>0.0723</v>
      </c>
    </row>
    <row r="361">
      <c r="A361" s="65" t="inlineStr">
        <is>
          <t>weekly</t>
        </is>
      </c>
      <c r="B361" s="71" t="n">
        <v>-578.0407387550367</v>
      </c>
      <c r="C361" s="71" t="n">
        <v>-533.1884315948103</v>
      </c>
      <c r="D361" s="66" t="n">
        <v>0.0643</v>
      </c>
    </row>
    <row r="362">
      <c r="A362" s="65" t="inlineStr">
        <is>
          <t>weekly</t>
        </is>
      </c>
      <c r="B362" s="71" t="n">
        <v>-533.1884315948103</v>
      </c>
      <c r="C362" s="71" t="n">
        <v>-488.3361244345836</v>
      </c>
      <c r="D362" s="66" t="n">
        <v>0.0549</v>
      </c>
    </row>
    <row r="363">
      <c r="A363" s="65" t="inlineStr">
        <is>
          <t>weekly</t>
        </is>
      </c>
      <c r="B363" s="71" t="n">
        <v>-488.3361244345836</v>
      </c>
      <c r="C363" s="71" t="n">
        <v>-443.4838172743571</v>
      </c>
      <c r="D363" s="66" t="n">
        <v>0.0436</v>
      </c>
    </row>
    <row r="364">
      <c r="A364" s="65" t="inlineStr">
        <is>
          <t>weekly</t>
        </is>
      </c>
      <c r="B364" s="71" t="n">
        <v>-443.4838172743571</v>
      </c>
      <c r="C364" s="71" t="n">
        <v>-398.6315101141304</v>
      </c>
      <c r="D364" s="66" t="n">
        <v>0.0285</v>
      </c>
    </row>
    <row r="365">
      <c r="A365" s="65" t="inlineStr">
        <is>
          <t>weekly</t>
        </is>
      </c>
      <c r="B365" s="71" t="n">
        <v>-398.6315101141304</v>
      </c>
      <c r="C365" s="71" t="n">
        <v>-353.7792029539038</v>
      </c>
      <c r="D365" s="66" t="n">
        <v>0.0255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4" customWidth="1" min="9" max="9"/>
  </cols>
  <sheetData>
    <row r="1">
      <c r="A1" s="1" t="inlineStr">
        <is>
          <t>Sensitivity on net value per saver: one input at a time, and debit cost x retention</t>
        </is>
      </c>
    </row>
    <row r="2">
      <c r="A2" s="28" t="inlineStr">
        <is>
          <t>Each input moved to the 10th and 90th percentile of its distribution, all others at the middle case. Break-even = the value at which the average saver's net value reaches zero with all else at the middle case (blank = no value in a wide range gets there). Grid: the whole retention curve, both halves, at one percentile.</t>
        </is>
      </c>
    </row>
    <row r="4">
      <c r="A4" s="2" t="inlineStr">
        <is>
          <t>One at a time (sorted by swing)</t>
        </is>
      </c>
    </row>
    <row r="5">
      <c r="A5" s="64" t="inlineStr">
        <is>
          <t>input</t>
        </is>
      </c>
      <c r="B5" s="64" t="inlineStr">
        <is>
          <t>p10_value</t>
        </is>
      </c>
      <c r="C5" s="64" t="inlineStr">
        <is>
          <t>base_value</t>
        </is>
      </c>
      <c r="D5" s="64" t="inlineStr">
        <is>
          <t>p90_value</t>
        </is>
      </c>
      <c r="E5" s="64" t="inlineStr">
        <is>
          <t>net_at_p10</t>
        </is>
      </c>
      <c r="F5" s="64" t="inlineStr">
        <is>
          <t>net_at_base</t>
        </is>
      </c>
      <c r="G5" s="64" t="inlineStr">
        <is>
          <t>net_at_p90</t>
        </is>
      </c>
      <c r="H5" s="64" t="inlineStr">
        <is>
          <t>swing</t>
        </is>
      </c>
      <c r="I5" s="64" t="inlineStr">
        <is>
          <t>breakeven_value</t>
        </is>
      </c>
    </row>
    <row r="6">
      <c r="A6" s="65" t="inlineStr">
        <is>
          <t>pay_flat</t>
        </is>
      </c>
      <c r="B6" s="65" t="n">
        <v>0</v>
      </c>
      <c r="C6" s="65" t="n">
        <v>0</v>
      </c>
      <c r="D6" s="65" t="n">
        <v>1</v>
      </c>
      <c r="E6" s="71" t="n">
        <v>-670.6724373139015</v>
      </c>
      <c r="F6" s="71" t="n">
        <v>-670.6724373139015</v>
      </c>
      <c r="G6" s="71" t="n">
        <v>-1339.303572759609</v>
      </c>
      <c r="H6" s="71" t="n">
        <v>668.6311354457079</v>
      </c>
      <c r="I6" s="65" t="inlineStr"/>
    </row>
    <row r="7">
      <c r="A7" s="65" t="inlineStr">
        <is>
          <t>cac_target@ng</t>
        </is>
      </c>
      <c r="B7" s="65" t="n">
        <v>231.3246639888299</v>
      </c>
      <c r="C7" s="65" t="n">
        <v>499.2394215203764</v>
      </c>
      <c r="D7" s="65" t="n">
        <v>1077.446717968799</v>
      </c>
      <c r="E7" s="71" t="n">
        <v>-536.7150585481281</v>
      </c>
      <c r="F7" s="71" t="n">
        <v>-670.6724373139015</v>
      </c>
      <c r="G7" s="71" t="n">
        <v>-959.776085538113</v>
      </c>
      <c r="H7" s="71" t="n">
        <v>423.0610269899848</v>
      </c>
      <c r="I7" s="65" t="inlineStr"/>
    </row>
    <row r="8">
      <c r="A8" s="65" t="inlineStr">
        <is>
          <t>cac_target@gig</t>
        </is>
      </c>
      <c r="B8" s="65" t="n">
        <v>208.8558667057065</v>
      </c>
      <c r="C8" s="65" t="n">
        <v>450.1199840042655</v>
      </c>
      <c r="D8" s="65" t="n">
        <v>970.0852707455426</v>
      </c>
      <c r="E8" s="71" t="n">
        <v>-550.0403786646219</v>
      </c>
      <c r="F8" s="71" t="n">
        <v>-670.6724373139015</v>
      </c>
      <c r="G8" s="71" t="n">
        <v>-930.6550806845401</v>
      </c>
      <c r="H8" s="71" t="n">
        <v>380.6147020199181</v>
      </c>
      <c r="I8" s="65" t="inlineStr"/>
    </row>
    <row r="9">
      <c r="A9" s="65" t="inlineStr">
        <is>
          <t>ret_m12@ng</t>
        </is>
      </c>
      <c r="B9" s="65" t="n">
        <v>0.1339355462291012</v>
      </c>
      <c r="C9" s="65" t="n">
        <v>0.2415425502763293</v>
      </c>
      <c r="D9" s="65" t="n">
        <v>0.3775269088829408</v>
      </c>
      <c r="E9" s="71" t="n">
        <v>-629.6435645706375</v>
      </c>
      <c r="F9" s="71" t="n">
        <v>-670.6724373139015</v>
      </c>
      <c r="G9" s="71" t="n">
        <v>-718.7774242130004</v>
      </c>
      <c r="H9" s="71" t="n">
        <v>89.13385964236284</v>
      </c>
      <c r="I9" s="65" t="inlineStr"/>
    </row>
    <row r="10">
      <c r="A10" s="65" t="inlineStr">
        <is>
          <t>daily_amount@ng</t>
        </is>
      </c>
      <c r="B10" s="65" t="n">
        <v>29.44423903558523</v>
      </c>
      <c r="C10" s="65" t="n">
        <v>52.44044240850757</v>
      </c>
      <c r="D10" s="65" t="n">
        <v>93.39687796571846</v>
      </c>
      <c r="E10" s="71" t="n">
        <v>-643.3801289264944</v>
      </c>
      <c r="F10" s="71" t="n">
        <v>-670.6724373139015</v>
      </c>
      <c r="G10" s="71" t="n">
        <v>-719.2802727704511</v>
      </c>
      <c r="H10" s="71" t="n">
        <v>75.9001438439567</v>
      </c>
      <c r="I10" s="65" t="inlineStr"/>
    </row>
    <row r="11">
      <c r="A11" s="65" t="inlineStr">
        <is>
          <t>cost_support</t>
        </is>
      </c>
      <c r="B11" s="65" t="n">
        <v>2.938360183278564</v>
      </c>
      <c r="C11" s="65" t="n">
        <v>6</v>
      </c>
      <c r="D11" s="65" t="n">
        <v>12.25173149461613</v>
      </c>
      <c r="E11" s="71" t="n">
        <v>-647.3070250361308</v>
      </c>
      <c r="F11" s="71" t="n">
        <v>-670.6724373139015</v>
      </c>
      <c r="G11" s="71" t="n">
        <v>-718.3835635619437</v>
      </c>
      <c r="H11" s="71" t="n">
        <v>71.07653852581291</v>
      </c>
      <c r="I11" s="65" t="inlineStr"/>
    </row>
    <row r="12">
      <c r="A12" s="65" t="inlineStr">
        <is>
          <t>ret_m12@gig</t>
        </is>
      </c>
      <c r="B12" s="65" t="n">
        <v>0.09514178469371365</v>
      </c>
      <c r="C12" s="65" t="n">
        <v>0.1898851827591756</v>
      </c>
      <c r="D12" s="65" t="n">
        <v>0.3185908840528097</v>
      </c>
      <c r="E12" s="71" t="n">
        <v>-640.3990844267912</v>
      </c>
      <c r="F12" s="71" t="n">
        <v>-670.6724373139015</v>
      </c>
      <c r="G12" s="71" t="n">
        <v>-708.2020360540977</v>
      </c>
      <c r="H12" s="71" t="n">
        <v>67.80295162730647</v>
      </c>
      <c r="I12" s="65" t="inlineStr"/>
    </row>
    <row r="13">
      <c r="A13" s="65" t="inlineStr">
        <is>
          <t>pay_pct</t>
        </is>
      </c>
      <c r="B13" s="65" t="n">
        <v>0.01808220700148449</v>
      </c>
      <c r="C13" s="65" t="n">
        <v>0.0224674374053292</v>
      </c>
      <c r="D13" s="65" t="n">
        <v>0.02884248121670895</v>
      </c>
      <c r="E13" s="71" t="n">
        <v>-643.3893604112795</v>
      </c>
      <c r="F13" s="71" t="n">
        <v>-670.6724373139015</v>
      </c>
      <c r="G13" s="71" t="n">
        <v>-710.3353043803537</v>
      </c>
      <c r="H13" s="71" t="n">
        <v>66.94594396907416</v>
      </c>
      <c r="I13" s="65" t="inlineStr"/>
    </row>
    <row r="14">
      <c r="A14" s="65" t="inlineStr">
        <is>
          <t>gold_margin</t>
        </is>
      </c>
      <c r="B14" s="65" t="n">
        <v>0.008774917217635375</v>
      </c>
      <c r="C14" s="65" t="n">
        <v>0.01354772751981656</v>
      </c>
      <c r="D14" s="65" t="n">
        <v>0.0193256016429919</v>
      </c>
      <c r="E14" s="71" t="n">
        <v>-686.9279665981019</v>
      </c>
      <c r="F14" s="71" t="n">
        <v>-670.6724373139015</v>
      </c>
      <c r="G14" s="71" t="n">
        <v>-650.9938001875154</v>
      </c>
      <c r="H14" s="71" t="n">
        <v>35.9341664105865</v>
      </c>
      <c r="I14" s="65" t="inlineStr"/>
    </row>
    <row r="15">
      <c r="A15" s="65" t="inlineStr">
        <is>
          <t>cost_tech</t>
        </is>
      </c>
      <c r="B15" s="65" t="n">
        <v>3.264911064067352</v>
      </c>
      <c r="C15" s="65" t="n">
        <v>5.101020514433644</v>
      </c>
      <c r="D15" s="65" t="n">
        <v>7.809109769979336</v>
      </c>
      <c r="E15" s="71" t="n">
        <v>-656.6598633786498</v>
      </c>
      <c r="F15" s="71" t="n">
        <v>-670.6724373139015</v>
      </c>
      <c r="G15" s="71" t="n">
        <v>-691.3396698195804</v>
      </c>
      <c r="H15" s="71" t="n">
        <v>34.67980644093063</v>
      </c>
      <c r="I15" s="65" t="inlineStr"/>
    </row>
    <row r="16">
      <c r="A16" s="65" t="inlineStr">
        <is>
          <t>daily_amount@gig</t>
        </is>
      </c>
      <c r="B16" s="65" t="n">
        <v>22.7803470257045</v>
      </c>
      <c r="C16" s="65" t="n">
        <v>36.05551275463989</v>
      </c>
      <c r="D16" s="65" t="n">
        <v>57.06673381810766</v>
      </c>
      <c r="E16" s="71" t="n">
        <v>-658.7986217215157</v>
      </c>
      <c r="F16" s="71" t="n">
        <v>-670.6724373139015</v>
      </c>
      <c r="G16" s="71" t="n">
        <v>-689.4656764622969</v>
      </c>
      <c r="H16" s="71" t="n">
        <v>30.66705474078117</v>
      </c>
      <c r="I16" s="65" t="inlineStr"/>
    </row>
    <row r="17">
      <c r="A17" s="65" t="inlineStr">
        <is>
          <t>cost_notice</t>
        </is>
      </c>
      <c r="B17" s="65" t="n">
        <v>0.015</v>
      </c>
      <c r="C17" s="65" t="n">
        <v>0.075</v>
      </c>
      <c r="D17" s="65" t="n">
        <v>0.135</v>
      </c>
      <c r="E17" s="71" t="n">
        <v>-656.9354386407443</v>
      </c>
      <c r="F17" s="71" t="n">
        <v>-670.6724373139015</v>
      </c>
      <c r="G17" s="71" t="n">
        <v>-684.4094359870585</v>
      </c>
      <c r="H17" s="71" t="n">
        <v>27.47399734631415</v>
      </c>
      <c r="I17" s="65" t="inlineStr"/>
    </row>
    <row r="18">
      <c r="A18" s="65" t="inlineStr">
        <is>
          <t>debits_success@ng</t>
        </is>
      </c>
      <c r="B18" s="65" t="n">
        <v>15.01662062579967</v>
      </c>
      <c r="C18" s="65" t="n">
        <v>18.74536878161602</v>
      </c>
      <c r="D18" s="65" t="n">
        <v>22.20715199124621</v>
      </c>
      <c r="E18" s="71" t="n">
        <v>-658.2924688379998</v>
      </c>
      <c r="F18" s="71" t="n">
        <v>-670.6724373139015</v>
      </c>
      <c r="G18" s="71" t="n">
        <v>-682.1660446090942</v>
      </c>
      <c r="H18" s="71" t="n">
        <v>23.87357577109447</v>
      </c>
      <c r="I18" s="65" t="inlineStr"/>
    </row>
    <row r="19">
      <c r="A19" s="65" t="inlineStr">
        <is>
          <t>ret_m24_ratio</t>
        </is>
      </c>
      <c r="B19" s="65" t="n">
        <v>0.4894427190999916</v>
      </c>
      <c r="C19" s="65" t="n">
        <v>0.6000000000000001</v>
      </c>
      <c r="D19" s="65" t="n">
        <v>0.7105572809000085</v>
      </c>
      <c r="E19" s="71" t="n">
        <v>-659.1214850320357</v>
      </c>
      <c r="F19" s="71" t="n">
        <v>-670.6724373139015</v>
      </c>
      <c r="G19" s="71" t="n">
        <v>-682.0047885957166</v>
      </c>
      <c r="H19" s="71" t="n">
        <v>22.8833035636809</v>
      </c>
      <c r="I19" s="65" t="inlineStr"/>
    </row>
    <row r="20">
      <c r="A20" s="65" t="inlineStr">
        <is>
          <t>cost_rewards</t>
        </is>
      </c>
      <c r="B20" s="65" t="n">
        <v>0.230925158772688</v>
      </c>
      <c r="C20" s="65" t="n">
        <v>1.318019484660536</v>
      </c>
      <c r="D20" s="65" t="n">
        <v>3.076975052924229</v>
      </c>
      <c r="E20" s="71" t="n">
        <v>-662.376096584836</v>
      </c>
      <c r="F20" s="71" t="n">
        <v>-670.6724373139015</v>
      </c>
      <c r="G20" s="71" t="n">
        <v>-684.0961985957796</v>
      </c>
      <c r="H20" s="71" t="n">
        <v>21.72010201094361</v>
      </c>
      <c r="I20" s="65" t="inlineStr"/>
    </row>
    <row r="21">
      <c r="A21" s="65" t="inlineStr">
        <is>
          <t>debits_success@gig</t>
        </is>
      </c>
      <c r="B21" s="65" t="n">
        <v>13.13049516849971</v>
      </c>
      <c r="C21" s="65" t="n">
        <v>17</v>
      </c>
      <c r="D21" s="65" t="n">
        <v>20.86950483150029</v>
      </c>
      <c r="E21" s="71" t="n">
        <v>-663.3318890879159</v>
      </c>
      <c r="F21" s="71" t="n">
        <v>-670.6724373139015</v>
      </c>
      <c r="G21" s="71" t="n">
        <v>-678.012985539887</v>
      </c>
      <c r="H21" s="71" t="n">
        <v>14.68109645197114</v>
      </c>
      <c r="I21" s="65" t="inlineStr"/>
    </row>
    <row r="22">
      <c r="A22" s="65" t="inlineStr">
        <is>
          <t>card_fee</t>
        </is>
      </c>
      <c r="B22" s="65" t="n">
        <v>264.5751311064591</v>
      </c>
      <c r="C22" s="65" t="n">
        <v>606.2746066806228</v>
      </c>
      <c r="D22" s="65" t="n">
        <v>1045.035213014023</v>
      </c>
      <c r="E22" s="71" t="n">
        <v>-675.5685332824958</v>
      </c>
      <c r="F22" s="71" t="n">
        <v>-670.6724373139015</v>
      </c>
      <c r="G22" s="71" t="n">
        <v>-664.3855853009235</v>
      </c>
      <c r="H22" s="71" t="n">
        <v>11.18294798157228</v>
      </c>
      <c r="I22" s="65" t="inlineStr"/>
    </row>
    <row r="23">
      <c r="A23" s="65" t="inlineStr">
        <is>
          <t>card_uptake</t>
        </is>
      </c>
      <c r="B23" s="65" t="n">
        <v>0.0075</v>
      </c>
      <c r="C23" s="65" t="n">
        <v>0.0175</v>
      </c>
      <c r="D23" s="65" t="n">
        <v>0.0275</v>
      </c>
      <c r="E23" s="71" t="n">
        <v>-675.5431867167893</v>
      </c>
      <c r="F23" s="71" t="n">
        <v>-670.6724373139015</v>
      </c>
      <c r="G23" s="71" t="n">
        <v>-666.7041964834324</v>
      </c>
      <c r="H23" s="71" t="n">
        <v>8.838990233356867</v>
      </c>
      <c r="I23" s="65" t="inlineStr"/>
    </row>
    <row r="24">
      <c r="A24" s="65" t="inlineStr">
        <is>
          <t>churn_late</t>
        </is>
      </c>
      <c r="B24" s="65" t="n">
        <v>0.01192428337406972</v>
      </c>
      <c r="C24" s="65" t="n">
        <v>0.01715476742133487</v>
      </c>
      <c r="D24" s="65" t="n">
        <v>0.02425543735346197</v>
      </c>
      <c r="E24" s="71" t="n">
        <v>-674.3707133723296</v>
      </c>
      <c r="F24" s="71" t="n">
        <v>-670.6724373139015</v>
      </c>
      <c r="G24" s="71" t="n">
        <v>-666.2610025200244</v>
      </c>
      <c r="H24" s="71" t="n">
        <v>8.109710852305284</v>
      </c>
      <c r="I24" s="65" t="inlineStr"/>
    </row>
    <row r="25">
      <c r="A25" s="65" t="inlineStr">
        <is>
          <t>cost_fraud</t>
        </is>
      </c>
      <c r="B25" s="65" t="n">
        <v>0.000432379000772445</v>
      </c>
      <c r="C25" s="65" t="n">
        <v>0.0008381049961377749</v>
      </c>
      <c r="D25" s="65" t="n">
        <v>0.001480384757729337</v>
      </c>
      <c r="E25" s="71" t="n">
        <v>-667.9087444866343</v>
      </c>
      <c r="F25" s="71" t="n">
        <v>-670.6724373139015</v>
      </c>
      <c r="G25" s="71" t="n">
        <v>-675.0474687156018</v>
      </c>
      <c r="H25" s="71" t="n">
        <v>7.138724228967476</v>
      </c>
      <c r="I25" s="65" t="inlineStr"/>
    </row>
    <row r="26">
      <c r="A26" s="65" t="inlineStr">
        <is>
          <t>card_eligible</t>
        </is>
      </c>
      <c r="B26" s="65" t="n">
        <v>0.2422603939955857</v>
      </c>
      <c r="C26" s="65" t="n">
        <v>0.3872022120425379</v>
      </c>
      <c r="D26" s="65" t="n">
        <v>0.5189339828220179</v>
      </c>
      <c r="E26" s="71" t="n">
        <v>-674.1567929988936</v>
      </c>
      <c r="F26" s="71" t="n">
        <v>-670.6724373139015</v>
      </c>
      <c r="G26" s="71" t="n">
        <v>-667.5056470073188</v>
      </c>
      <c r="H26" s="71" t="n">
        <v>6.651145991574822</v>
      </c>
      <c r="I26" s="65" t="inlineStr"/>
    </row>
    <row r="27">
      <c r="A27" s="65" t="inlineStr">
        <is>
          <t>amount_growth</t>
        </is>
      </c>
      <c r="B27" s="65" t="n">
        <v>0.04472135954999579</v>
      </c>
      <c r="C27" s="65" t="n">
        <v>0.1</v>
      </c>
      <c r="D27" s="65" t="n">
        <v>0.1552786404500042</v>
      </c>
      <c r="E27" s="71" t="n">
        <v>-672.9402916753844</v>
      </c>
      <c r="F27" s="71" t="n">
        <v>-670.6724373139015</v>
      </c>
      <c r="G27" s="71" t="n">
        <v>-668.2134588821749</v>
      </c>
      <c r="H27" s="71" t="n">
        <v>4.726832793209496</v>
      </c>
      <c r="I27" s="65" t="inlineStr"/>
    </row>
    <row r="28">
      <c r="A28" s="65" t="inlineStr">
        <is>
          <t>ins_premium</t>
        </is>
      </c>
      <c r="B28" s="65" t="n">
        <v>544.9489742783178</v>
      </c>
      <c r="C28" s="65" t="n">
        <v>851.9259301592141</v>
      </c>
      <c r="D28" s="65" t="n">
        <v>1210.172465076211</v>
      </c>
      <c r="E28" s="71" t="n">
        <v>-672.7390740310163</v>
      </c>
      <c r="F28" s="71" t="n">
        <v>-670.6724373139015</v>
      </c>
      <c r="G28" s="71" t="n">
        <v>-668.2606424587661</v>
      </c>
      <c r="H28" s="71" t="n">
        <v>4.478431572250201</v>
      </c>
      <c r="I28" s="65" t="inlineStr"/>
    </row>
    <row r="29">
      <c r="A29" s="65" t="inlineStr">
        <is>
          <t>sip_uptake</t>
        </is>
      </c>
      <c r="B29" s="65" t="n">
        <v>0.005244044240850758</v>
      </c>
      <c r="C29" s="65" t="n">
        <v>0.01198790794251143</v>
      </c>
      <c r="D29" s="65" t="n">
        <v>0.0205627815372442</v>
      </c>
      <c r="E29" s="71" t="n">
        <v>-672.7470291039918</v>
      </c>
      <c r="F29" s="71" t="n">
        <v>-670.6724373139015</v>
      </c>
      <c r="G29" s="71" t="n">
        <v>-668.3399133509097</v>
      </c>
      <c r="H29" s="71" t="n">
        <v>4.407115753082167</v>
      </c>
      <c r="I29" s="65" t="inlineStr"/>
    </row>
    <row r="30">
      <c r="A30" s="65" t="inlineStr">
        <is>
          <t>sip_amount</t>
        </is>
      </c>
      <c r="B30" s="65" t="n">
        <v>223.606797749979</v>
      </c>
      <c r="C30" s="65" t="n">
        <v>500</v>
      </c>
      <c r="D30" s="65" t="n">
        <v>776.3932022500211</v>
      </c>
      <c r="E30" s="71" t="n">
        <v>-672.8055138638928</v>
      </c>
      <c r="F30" s="71" t="n">
        <v>-670.6724373139015</v>
      </c>
      <c r="G30" s="71" t="n">
        <v>-668.5393607639102</v>
      </c>
      <c r="H30" s="71" t="n">
        <v>4.266153099982603</v>
      </c>
      <c r="I30" s="65" t="inlineStr"/>
    </row>
    <row r="31">
      <c r="A31" s="65" t="inlineStr">
        <is>
          <t>ins_ops_cost</t>
        </is>
      </c>
      <c r="B31" s="65" t="n">
        <v>34.49489742783178</v>
      </c>
      <c r="C31" s="65" t="n">
        <v>65.1925930159214</v>
      </c>
      <c r="D31" s="65" t="n">
        <v>101.0172465076211</v>
      </c>
      <c r="E31" s="71" t="n">
        <v>-668.9575674368355</v>
      </c>
      <c r="F31" s="71" t="n">
        <v>-670.6724373139015</v>
      </c>
      <c r="G31" s="71" t="n">
        <v>-672.6737151933094</v>
      </c>
      <c r="H31" s="71" t="n">
        <v>3.716147756473902</v>
      </c>
      <c r="I31" s="65" t="inlineStr"/>
    </row>
    <row r="32">
      <c r="A32" s="65" t="inlineStr">
        <is>
          <t>withdraw_rate</t>
        </is>
      </c>
      <c r="B32" s="65" t="n">
        <v>0.05411521443121589</v>
      </c>
      <c r="C32" s="65" t="n">
        <v>0.1025337899554654</v>
      </c>
      <c r="D32" s="65" t="n">
        <v>0.1536478537437294</v>
      </c>
      <c r="E32" s="71" t="n">
        <v>-668.43060915208</v>
      </c>
      <c r="F32" s="71" t="n">
        <v>-670.6724373139015</v>
      </c>
      <c r="G32" s="71" t="n">
        <v>-671.8984948145708</v>
      </c>
      <c r="H32" s="71" t="n">
        <v>3.467885662490744</v>
      </c>
      <c r="I32" s="65" t="inlineStr"/>
    </row>
    <row r="33">
      <c r="A33" s="65" t="inlineStr">
        <is>
          <t>loan_ops_cost</t>
        </is>
      </c>
      <c r="B33" s="65" t="n">
        <v>68.11862178478972</v>
      </c>
      <c r="C33" s="65" t="n">
        <v>106.4907412699018</v>
      </c>
      <c r="D33" s="65" t="n">
        <v>151.2715581345264</v>
      </c>
      <c r="E33" s="71" t="n">
        <v>-669.1727899904274</v>
      </c>
      <c r="F33" s="71" t="n">
        <v>-670.6724373139015</v>
      </c>
      <c r="G33" s="71" t="n">
        <v>-672.4225473692002</v>
      </c>
      <c r="H33" s="71" t="n">
        <v>3.249757378772756</v>
      </c>
      <c r="I33" s="65" t="inlineStr"/>
    </row>
    <row r="34">
      <c r="A34" s="65" t="inlineStr">
        <is>
          <t>trail_equity</t>
        </is>
      </c>
      <c r="B34" s="65" t="n">
        <v>0.004736067977499789</v>
      </c>
      <c r="C34" s="65" t="n">
        <v>0.0075</v>
      </c>
      <c r="D34" s="65" t="n">
        <v>0.01026393202250021</v>
      </c>
      <c r="E34" s="71" t="n">
        <v>-672.094488347229</v>
      </c>
      <c r="F34" s="71" t="n">
        <v>-670.6724373139015</v>
      </c>
      <c r="G34" s="71" t="n">
        <v>-669.2503862805739</v>
      </c>
      <c r="H34" s="71" t="n">
        <v>2.844102066655068</v>
      </c>
      <c r="I34" s="65" t="inlineStr"/>
    </row>
    <row r="35">
      <c r="A35" s="65" t="inlineStr">
        <is>
          <t>ins_comm_first</t>
        </is>
      </c>
      <c r="B35" s="65" t="n">
        <v>0.07236067977499791</v>
      </c>
      <c r="C35" s="65" t="n">
        <v>0.1</v>
      </c>
      <c r="D35" s="65" t="n">
        <v>0.1276393202250021</v>
      </c>
      <c r="E35" s="71" t="n">
        <v>-671.98782748168</v>
      </c>
      <c r="F35" s="71" t="n">
        <v>-670.6724373139015</v>
      </c>
      <c r="G35" s="71" t="n">
        <v>-669.3570471461229</v>
      </c>
      <c r="H35" s="71" t="n">
        <v>2.63078033555712</v>
      </c>
      <c r="I35" s="65" t="inlineStr"/>
    </row>
    <row r="36">
      <c r="A36" s="65" t="inlineStr">
        <is>
          <t>loan_apply</t>
        </is>
      </c>
      <c r="B36" s="65" t="n">
        <v>0.01091607978309962</v>
      </c>
      <c r="C36" s="65" t="n">
        <v>0.01908349933664811</v>
      </c>
      <c r="D36" s="65" t="n">
        <v>0.03064585653306515</v>
      </c>
      <c r="E36" s="71" t="n">
        <v>-669.5443863498163</v>
      </c>
      <c r="F36" s="71" t="n">
        <v>-670.6724373139015</v>
      </c>
      <c r="G36" s="71" t="n">
        <v>-672.0630199969471</v>
      </c>
      <c r="H36" s="71" t="n">
        <v>2.518633647130855</v>
      </c>
      <c r="I36" s="65" t="inlineStr"/>
    </row>
    <row r="37">
      <c r="A37" s="65" t="inlineStr">
        <is>
          <t>loan_eligible</t>
        </is>
      </c>
      <c r="B37" s="65" t="n">
        <v>0.2870185174601965</v>
      </c>
      <c r="C37" s="65" t="n">
        <v>0.4872844186547359</v>
      </c>
      <c r="D37" s="65" t="n">
        <v>0.6741689687100164</v>
      </c>
      <c r="E37" s="71" t="n">
        <v>-669.4922749548823</v>
      </c>
      <c r="F37" s="71" t="n">
        <v>-670.6724373139015</v>
      </c>
      <c r="G37" s="71" t="n">
        <v>-671.7737436778002</v>
      </c>
      <c r="H37" s="71" t="n">
        <v>2.281468722917907</v>
      </c>
      <c r="I37" s="65" t="inlineStr"/>
    </row>
    <row r="38">
      <c r="A38" s="65" t="inlineStr">
        <is>
          <t>unsec_fee</t>
        </is>
      </c>
      <c r="B38" s="65" t="n">
        <v>524.4044240850758</v>
      </c>
      <c r="C38" s="65" t="n">
        <v>1198.790794251143</v>
      </c>
      <c r="D38" s="65" t="n">
        <v>2056.27815372442</v>
      </c>
      <c r="E38" s="71" t="n">
        <v>-671.6077216576623</v>
      </c>
      <c r="F38" s="71" t="n">
        <v>-670.6724373139015</v>
      </c>
      <c r="G38" s="71" t="n">
        <v>-669.483216211923</v>
      </c>
      <c r="H38" s="71" t="n">
        <v>2.12450544573926</v>
      </c>
      <c r="I38" s="65" t="inlineStr"/>
    </row>
    <row r="39">
      <c r="A39" s="65" t="inlineStr">
        <is>
          <t>fd_fee</t>
        </is>
      </c>
      <c r="B39" s="65" t="n">
        <v>0.002</v>
      </c>
      <c r="C39" s="65" t="n">
        <v>0.00326138721247417</v>
      </c>
      <c r="D39" s="65" t="n">
        <v>0.004775255128608411</v>
      </c>
      <c r="E39" s="71" t="n">
        <v>-671.4410394466684</v>
      </c>
      <c r="F39" s="71" t="n">
        <v>-670.6724373139015</v>
      </c>
      <c r="G39" s="71" t="n">
        <v>-669.749990901284</v>
      </c>
      <c r="H39" s="71" t="n">
        <v>1.691048545384319</v>
      </c>
      <c r="I39" s="65" t="inlineStr"/>
    </row>
    <row r="40">
      <c r="A40" s="65" t="inlineStr">
        <is>
          <t>unsec_grad</t>
        </is>
      </c>
      <c r="B40" s="65" t="n">
        <v>0.005244044240850758</v>
      </c>
      <c r="C40" s="65" t="n">
        <v>0.01198790794251143</v>
      </c>
      <c r="D40" s="65" t="n">
        <v>0.0205627815372442</v>
      </c>
      <c r="E40" s="71" t="n">
        <v>-671.4598938870205</v>
      </c>
      <c r="F40" s="71" t="n">
        <v>-670.6724373139015</v>
      </c>
      <c r="G40" s="71" t="n">
        <v>-669.8633053708279</v>
      </c>
      <c r="H40" s="71" t="n">
        <v>1.596588516192583</v>
      </c>
      <c r="I40" s="65" t="inlineStr"/>
    </row>
    <row r="41">
      <c r="A41" s="65" t="inlineStr">
        <is>
          <t>card_ic_share</t>
        </is>
      </c>
      <c r="B41" s="65" t="n">
        <v>0.0001924376323105734</v>
      </c>
      <c r="C41" s="65" t="n">
        <v>0.001098349570550446</v>
      </c>
      <c r="D41" s="65" t="n">
        <v>0.002564145877436858</v>
      </c>
      <c r="E41" s="71" t="n">
        <v>-671.1937982045083</v>
      </c>
      <c r="F41" s="71" t="n">
        <v>-670.6724373139015</v>
      </c>
      <c r="G41" s="71" t="n">
        <v>-669.8288576724946</v>
      </c>
      <c r="H41" s="71" t="n">
        <v>1.364940532013748</v>
      </c>
      <c r="I41" s="65" t="inlineStr"/>
    </row>
    <row r="42">
      <c r="A42" s="65" t="inlineStr">
        <is>
          <t>card_ops_cost</t>
        </is>
      </c>
      <c r="B42" s="65" t="n">
        <v>68.11862178478972</v>
      </c>
      <c r="C42" s="65" t="n">
        <v>106.4907412699018</v>
      </c>
      <c r="D42" s="65" t="n">
        <v>151.2715581345264</v>
      </c>
      <c r="E42" s="71" t="n">
        <v>-670.0693991854919</v>
      </c>
      <c r="F42" s="71" t="n">
        <v>-670.6724373139015</v>
      </c>
      <c r="G42" s="71" t="n">
        <v>-671.3761915071295</v>
      </c>
      <c r="H42" s="71" t="n">
        <v>1.306792321637658</v>
      </c>
      <c r="I42" s="65" t="inlineStr"/>
    </row>
    <row r="43">
      <c r="A43" s="65" t="inlineStr">
        <is>
          <t>ins_persist</t>
        </is>
      </c>
      <c r="B43" s="65" t="n">
        <v>0.2545446208934917</v>
      </c>
      <c r="C43" s="65" t="n">
        <v>0.4465389315542903</v>
      </c>
      <c r="D43" s="65" t="n">
        <v>0.650366518972459</v>
      </c>
      <c r="E43" s="71" t="n">
        <v>-671.184691474768</v>
      </c>
      <c r="F43" s="71" t="n">
        <v>-670.6724373139015</v>
      </c>
      <c r="G43" s="71" t="n">
        <v>-669.8991460204832</v>
      </c>
      <c r="H43" s="71" t="n">
        <v>1.285545454284829</v>
      </c>
      <c r="I43" s="65" t="inlineStr"/>
    </row>
    <row r="44">
      <c r="A44" s="65" t="inlineStr">
        <is>
          <t>sip_redeem</t>
        </is>
      </c>
      <c r="B44" s="65" t="n">
        <v>0.00894427190999916</v>
      </c>
      <c r="C44" s="65" t="n">
        <v>0.02</v>
      </c>
      <c r="D44" s="65" t="n">
        <v>0.03105572809000084</v>
      </c>
      <c r="E44" s="71" t="n">
        <v>-669.9708776735279</v>
      </c>
      <c r="F44" s="71" t="n">
        <v>-670.6724373139015</v>
      </c>
      <c r="G44" s="71" t="n">
        <v>-671.2178394800418</v>
      </c>
      <c r="H44" s="71" t="n">
        <v>1.246961806513923</v>
      </c>
      <c r="I44" s="65" t="inlineStr"/>
    </row>
    <row r="45">
      <c r="A45" s="65" t="inlineStr">
        <is>
          <t>fd_share</t>
        </is>
      </c>
      <c r="B45" s="65" t="n">
        <v>0.1894427190999916</v>
      </c>
      <c r="C45" s="65" t="n">
        <v>0.3</v>
      </c>
      <c r="D45" s="65" t="n">
        <v>0.4105572809000084</v>
      </c>
      <c r="E45" s="71" t="n">
        <v>-671.2774734466678</v>
      </c>
      <c r="F45" s="71" t="n">
        <v>-670.6724373139015</v>
      </c>
      <c r="G45" s="71" t="n">
        <v>-670.067401181135</v>
      </c>
      <c r="H45" s="71" t="n">
        <v>1.210072265532858</v>
      </c>
      <c r="I45" s="65" t="inlineStr"/>
    </row>
    <row r="46">
      <c r="A46" s="65" t="inlineStr">
        <is>
          <t>secured_fee</t>
        </is>
      </c>
      <c r="B46" s="65" t="n">
        <v>0.005458039891549808</v>
      </c>
      <c r="C46" s="65" t="n">
        <v>0.009541749668324054</v>
      </c>
      <c r="D46" s="65" t="n">
        <v>0.01532292826653258</v>
      </c>
      <c r="E46" s="71" t="n">
        <v>-671.1413617391114</v>
      </c>
      <c r="F46" s="71" t="n">
        <v>-670.6724373139015</v>
      </c>
      <c r="G46" s="71" t="n">
        <v>-670.0085958561614</v>
      </c>
      <c r="H46" s="71" t="n">
        <v>1.132765882950025</v>
      </c>
      <c r="I46" s="65" t="inlineStr"/>
    </row>
    <row r="47">
      <c r="A47" s="65" t="inlineStr">
        <is>
          <t>sip_stop</t>
        </is>
      </c>
      <c r="B47" s="65" t="n">
        <v>0.01724744871391589</v>
      </c>
      <c r="C47" s="65" t="n">
        <v>0.0325962965079607</v>
      </c>
      <c r="D47" s="65" t="n">
        <v>0.05050862325381056</v>
      </c>
      <c r="E47" s="71" t="n">
        <v>-670.1360861779424</v>
      </c>
      <c r="F47" s="71" t="n">
        <v>-670.6724373139015</v>
      </c>
      <c r="G47" s="71" t="n">
        <v>-671.1605362929098</v>
      </c>
      <c r="H47" s="71" t="n">
        <v>1.024450114967408</v>
      </c>
      <c r="I47" s="65" t="inlineStr"/>
    </row>
    <row r="48">
      <c r="A48" s="65" t="inlineStr">
        <is>
          <t>ins_uptake@ng</t>
        </is>
      </c>
      <c r="B48" s="65" t="n">
        <v>0.00679583152331272</v>
      </c>
      <c r="C48" s="65" t="n">
        <v>0.01277298073936252</v>
      </c>
      <c r="D48" s="65" t="n">
        <v>0.01953191075420307</v>
      </c>
      <c r="E48" s="71" t="n">
        <v>-671.1921051362106</v>
      </c>
      <c r="F48" s="71" t="n">
        <v>-670.6724373139015</v>
      </c>
      <c r="G48" s="71" t="n">
        <v>-670.1702659508383</v>
      </c>
      <c r="H48" s="71" t="n">
        <v>1.021839185372301</v>
      </c>
      <c r="I48" s="65" t="inlineStr"/>
    </row>
    <row r="49">
      <c r="A49" s="65" t="inlineStr">
        <is>
          <t>service_cost</t>
        </is>
      </c>
      <c r="B49" s="65" t="n">
        <v>139.4427190999916</v>
      </c>
      <c r="C49" s="65" t="n">
        <v>250</v>
      </c>
      <c r="D49" s="65" t="n">
        <v>360.5572809000084</v>
      </c>
      <c r="E49" s="71" t="n">
        <v>-670.164163982636</v>
      </c>
      <c r="F49" s="71" t="n">
        <v>-670.6724373139015</v>
      </c>
      <c r="G49" s="71" t="n">
        <v>-671.180710645167</v>
      </c>
      <c r="H49" s="71" t="n">
        <v>1.016546662531027</v>
      </c>
      <c r="I49" s="65" t="inlineStr"/>
    </row>
    <row r="50">
      <c r="A50" s="65" t="inlineStr">
        <is>
          <t>loan_approval@gig</t>
        </is>
      </c>
      <c r="B50" s="65" t="n">
        <v>0.3870185174601966</v>
      </c>
      <c r="C50" s="65" t="n">
        <v>0.587284418654736</v>
      </c>
      <c r="D50" s="65" t="n">
        <v>0.7741689687100165</v>
      </c>
      <c r="E50" s="71" t="n">
        <v>-670.1972834788471</v>
      </c>
      <c r="F50" s="71" t="n">
        <v>-670.6724373139015</v>
      </c>
      <c r="G50" s="71" t="n">
        <v>-671.0747081966275</v>
      </c>
      <c r="H50" s="71" t="n">
        <v>0.8774247177804</v>
      </c>
      <c r="I50" s="65" t="inlineStr"/>
    </row>
    <row r="51">
      <c r="A51" s="65" t="inlineStr">
        <is>
          <t>ins_uptake@gig</t>
        </is>
      </c>
      <c r="B51" s="65" t="n">
        <v>0.005714835124201342</v>
      </c>
      <c r="C51" s="65" t="n">
        <v>0.01101786854589044</v>
      </c>
      <c r="D51" s="65" t="n">
        <v>0.01874700071965461</v>
      </c>
      <c r="E51" s="71" t="n">
        <v>-671.0612105454254</v>
      </c>
      <c r="F51" s="71" t="n">
        <v>-670.6724373139015</v>
      </c>
      <c r="G51" s="71" t="n">
        <v>-670.1883854447944</v>
      </c>
      <c r="H51" s="71" t="n">
        <v>0.872825100630962</v>
      </c>
      <c r="I51" s="65" t="inlineStr"/>
    </row>
    <row r="52">
      <c r="A52" s="65" t="inlineStr">
        <is>
          <t>loan_approval@ng</t>
        </is>
      </c>
      <c r="B52" s="65" t="n">
        <v>0.3370185174601965</v>
      </c>
      <c r="C52" s="65" t="n">
        <v>0.5372844186547359</v>
      </c>
      <c r="D52" s="65" t="n">
        <v>0.7241689687100163</v>
      </c>
      <c r="E52" s="71" t="n">
        <v>-670.2196782768112</v>
      </c>
      <c r="F52" s="71" t="n">
        <v>-670.6724373139015</v>
      </c>
      <c r="G52" s="71" t="n">
        <v>-671.0594078693846</v>
      </c>
      <c r="H52" s="71" t="n">
        <v>0.8397295925733488</v>
      </c>
      <c r="I52" s="65" t="inlineStr"/>
    </row>
    <row r="53">
      <c r="A53" s="65" t="inlineStr">
        <is>
          <t>card_spend</t>
        </is>
      </c>
      <c r="B53" s="65" t="n">
        <v>1423.024947075771</v>
      </c>
      <c r="C53" s="65" t="n">
        <v>3192.437632310573</v>
      </c>
      <c r="D53" s="65" t="n">
        <v>5159.009742330269</v>
      </c>
      <c r="E53" s="71" t="n">
        <v>-671.0227854137581</v>
      </c>
      <c r="F53" s="71" t="n">
        <v>-670.6724373139015</v>
      </c>
      <c r="G53" s="71" t="n">
        <v>-670.283051158978</v>
      </c>
      <c r="H53" s="71" t="n">
        <v>0.73973425478016</v>
      </c>
      <c r="I53" s="65" t="inlineStr"/>
    </row>
    <row r="54">
      <c r="A54" s="65" t="inlineStr">
        <is>
          <t>leaver_withdraw</t>
        </is>
      </c>
      <c r="B54" s="65" t="n">
        <v>0.3788854381999832</v>
      </c>
      <c r="C54" s="65" t="n">
        <v>0.6000000000000001</v>
      </c>
      <c r="D54" s="65" t="n">
        <v>0.8211145618000169</v>
      </c>
      <c r="E54" s="71" t="n">
        <v>-670.3242842227776</v>
      </c>
      <c r="F54" s="71" t="n">
        <v>-670.6724373139015</v>
      </c>
      <c r="G54" s="71" t="n">
        <v>-671.0205904050254</v>
      </c>
      <c r="H54" s="71" t="n">
        <v>0.6963061822477812</v>
      </c>
      <c r="I54" s="65" t="inlineStr"/>
    </row>
    <row r="55">
      <c r="A55" s="65" t="inlineStr">
        <is>
          <t>trail_liquid</t>
        </is>
      </c>
      <c r="B55" s="65" t="n">
        <v>0.0003869306393762916</v>
      </c>
      <c r="C55" s="65" t="n">
        <v>0.0005669872981077806</v>
      </c>
      <c r="D55" s="65" t="n">
        <v>0.0008063508326896292</v>
      </c>
      <c r="E55" s="71" t="n">
        <v>-670.9679607775898</v>
      </c>
      <c r="F55" s="71" t="n">
        <v>-670.6724373139015</v>
      </c>
      <c r="G55" s="71" t="n">
        <v>-670.2795746376823</v>
      </c>
      <c r="H55" s="71" t="n">
        <v>0.6883861399074931</v>
      </c>
      <c r="I55" s="65" t="inlineStr"/>
    </row>
    <row r="56">
      <c r="A56" s="65" t="inlineStr">
        <is>
          <t>dlg_fee_uplift</t>
        </is>
      </c>
      <c r="B56" s="65" t="n">
        <v>0.03448683298050514</v>
      </c>
      <c r="C56" s="65" t="n">
        <v>0.04628291754873716</v>
      </c>
      <c r="D56" s="65" t="n">
        <v>0.05939339828220179</v>
      </c>
      <c r="E56" s="71" t="n">
        <v>-670.9585711916795</v>
      </c>
      <c r="F56" s="71" t="n">
        <v>-670.6724373139015</v>
      </c>
      <c r="G56" s="71" t="n">
        <v>-670.3544205457016</v>
      </c>
      <c r="H56" s="71" t="n">
        <v>0.6041506459779384</v>
      </c>
      <c r="I56" s="65" t="inlineStr"/>
    </row>
    <row r="57">
      <c r="A57" s="65" t="inlineStr">
        <is>
          <t>dormant_withdraw</t>
        </is>
      </c>
      <c r="B57" s="65" t="n">
        <v>0.02621320343559643</v>
      </c>
      <c r="C57" s="65" t="n">
        <v>0.05255955759149242</v>
      </c>
      <c r="D57" s="65" t="n">
        <v>0.08154792120088285</v>
      </c>
      <c r="E57" s="71" t="n">
        <v>-670.3629006379431</v>
      </c>
      <c r="F57" s="71" t="n">
        <v>-670.6724373139015</v>
      </c>
      <c r="G57" s="71" t="n">
        <v>-670.8531936394547</v>
      </c>
      <c r="H57" s="71" t="n">
        <v>0.4902930015116453</v>
      </c>
      <c r="I57" s="65" t="inlineStr"/>
    </row>
    <row r="58">
      <c r="A58" s="65" t="inlineStr">
        <is>
          <t>ins_eligible</t>
        </is>
      </c>
      <c r="B58" s="65" t="n">
        <v>0.7774596669241483</v>
      </c>
      <c r="C58" s="65" t="n">
        <v>0.8732050807568877</v>
      </c>
      <c r="D58" s="65" t="n">
        <v>0.9452277442494834</v>
      </c>
      <c r="E58" s="71" t="n">
        <v>-670.9019848691269</v>
      </c>
      <c r="F58" s="71" t="n">
        <v>-670.6724373139015</v>
      </c>
      <c r="G58" s="71" t="n">
        <v>-670.499764538635</v>
      </c>
      <c r="H58" s="71" t="n">
        <v>0.4022203304919003</v>
      </c>
      <c r="I58" s="65" t="inlineStr"/>
    </row>
    <row r="59">
      <c r="A59" s="65" t="inlineStr">
        <is>
          <t>ins_comm_renew</t>
        </is>
      </c>
      <c r="B59" s="65" t="n">
        <v>0.03112372435695795</v>
      </c>
      <c r="C59" s="65" t="n">
        <v>0.03869306393762915</v>
      </c>
      <c r="D59" s="65" t="n">
        <v>0.04500000000000001</v>
      </c>
      <c r="E59" s="71" t="n">
        <v>-670.8634120100661</v>
      </c>
      <c r="F59" s="71" t="n">
        <v>-670.6724373139015</v>
      </c>
      <c r="G59" s="71" t="n">
        <v>-670.5133131016231</v>
      </c>
      <c r="H59" s="71" t="n">
        <v>0.3500989084429875</v>
      </c>
      <c r="I59" s="65" t="inlineStr"/>
    </row>
    <row r="60">
      <c r="A60" s="65" t="inlineStr">
        <is>
          <t>card_churn</t>
        </is>
      </c>
      <c r="B60" s="65" t="n">
        <v>0.01310660171779821</v>
      </c>
      <c r="C60" s="65" t="n">
        <v>0.02627977879574621</v>
      </c>
      <c r="D60" s="65" t="n">
        <v>0.04077396060044142</v>
      </c>
      <c r="E60" s="71" t="n">
        <v>-670.5319257402771</v>
      </c>
      <c r="F60" s="71" t="n">
        <v>-670.6724373139015</v>
      </c>
      <c r="G60" s="71" t="n">
        <v>-670.7891153809774</v>
      </c>
      <c r="H60" s="71" t="n">
        <v>0.2571896407002896</v>
      </c>
      <c r="I60" s="65" t="inlineStr"/>
    </row>
    <row r="61">
      <c r="A61" s="65" t="inlineStr">
        <is>
          <t>lsp_fee</t>
        </is>
      </c>
      <c r="B61" s="65" t="n">
        <v>0.01112284418654736</v>
      </c>
      <c r="C61" s="65" t="n">
        <v>0.01564585653306515</v>
      </c>
      <c r="D61" s="65" t="n">
        <v>0.02081669986732963</v>
      </c>
      <c r="E61" s="71" t="n">
        <v>-670.7821505882055</v>
      </c>
      <c r="F61" s="71" t="n">
        <v>-670.6724373139015</v>
      </c>
      <c r="G61" s="71" t="n">
        <v>-670.5470098090325</v>
      </c>
      <c r="H61" s="71" t="n">
        <v>0.2351407791729798</v>
      </c>
      <c r="I61" s="65" t="inlineStr"/>
    </row>
    <row r="62">
      <c r="A62" s="65" t="inlineStr">
        <is>
          <t>sip_return</t>
        </is>
      </c>
      <c r="B62" s="65" t="n">
        <v>0.07788854381999832</v>
      </c>
      <c r="C62" s="65" t="n">
        <v>0.1</v>
      </c>
      <c r="D62" s="65" t="n">
        <v>0.1221114561800017</v>
      </c>
      <c r="E62" s="71" t="n">
        <v>-670.7701386801947</v>
      </c>
      <c r="F62" s="71" t="n">
        <v>-670.6724373139015</v>
      </c>
      <c r="G62" s="71" t="n">
        <v>-670.5706736571293</v>
      </c>
      <c r="H62" s="71" t="n">
        <v>0.199465023065386</v>
      </c>
      <c r="I62" s="65" t="inlineStr"/>
    </row>
    <row r="63">
      <c r="A63" s="65" t="inlineStr">
        <is>
          <t>ladder_dpd90</t>
        </is>
      </c>
      <c r="B63" s="65" t="n">
        <v>0.01</v>
      </c>
      <c r="C63" s="65" t="n">
        <v>0.01630693606237085</v>
      </c>
      <c r="D63" s="65" t="n">
        <v>0.02387627564304206</v>
      </c>
      <c r="E63" s="71" t="n">
        <v>-670.6119678344219</v>
      </c>
      <c r="F63" s="71" t="n">
        <v>-670.6724373139015</v>
      </c>
      <c r="G63" s="71" t="n">
        <v>-670.7416270884758</v>
      </c>
      <c r="H63" s="71" t="n">
        <v>0.1296592540538768</v>
      </c>
      <c r="I63" s="65" t="inlineStr"/>
    </row>
    <row r="64">
      <c r="A64" s="65" t="inlineStr">
        <is>
          <t>loan_repeat</t>
        </is>
      </c>
      <c r="B64" s="65" t="n">
        <v>0.3836660026534076</v>
      </c>
      <c r="C64" s="65" t="n">
        <v>0.487082869338697</v>
      </c>
      <c r="D64" s="65" t="n">
        <v>0.5775431162690527</v>
      </c>
      <c r="E64" s="71" t="n">
        <v>-670.5477016426344</v>
      </c>
      <c r="F64" s="71" t="n">
        <v>-670.6724373139015</v>
      </c>
      <c r="G64" s="71" t="n">
        <v>-670.6576683700021</v>
      </c>
      <c r="H64" s="71" t="n">
        <v>0.1099667273676914</v>
      </c>
      <c r="I64" s="65" t="inlineStr"/>
    </row>
    <row r="65">
      <c r="A65" s="65" t="inlineStr">
        <is>
          <t>loan_lgd</t>
        </is>
      </c>
      <c r="B65" s="65" t="n">
        <v>0.3894427190999916</v>
      </c>
      <c r="C65" s="65" t="n">
        <v>0.5</v>
      </c>
      <c r="D65" s="65" t="n">
        <v>0.6105572809000084</v>
      </c>
      <c r="E65" s="71" t="n">
        <v>-670.637452375993</v>
      </c>
      <c r="F65" s="71" t="n">
        <v>-670.6724373139015</v>
      </c>
      <c r="G65" s="71" t="n">
        <v>-670.7074222518099</v>
      </c>
      <c r="H65" s="71" t="n">
        <v>0.06996987581692338</v>
      </c>
      <c r="I65" s="65" t="inlineStr"/>
    </row>
    <row r="66">
      <c r="A66" s="65" t="inlineStr">
        <is>
          <t>loan_ead</t>
        </is>
      </c>
      <c r="B66" s="65" t="n">
        <v>0.6894427190999916</v>
      </c>
      <c r="C66" s="65" t="n">
        <v>0.8</v>
      </c>
      <c r="D66" s="65" t="n">
        <v>0.9105572809000084</v>
      </c>
      <c r="E66" s="71" t="n">
        <v>-670.6505717277087</v>
      </c>
      <c r="F66" s="71" t="n">
        <v>-670.6724373139015</v>
      </c>
      <c r="G66" s="71" t="n">
        <v>-670.6943029000943</v>
      </c>
      <c r="H66" s="71" t="n">
        <v>0.04373117238560553</v>
      </c>
      <c r="I66" s="65" t="inlineStr"/>
    </row>
    <row r="67">
      <c r="A67" s="65" t="inlineStr">
        <is>
          <t>fund_yield</t>
        </is>
      </c>
      <c r="B67" s="65" t="n">
        <v>0.04947213595499958</v>
      </c>
      <c r="C67" s="65" t="n">
        <v>0.055</v>
      </c>
      <c r="D67" s="65" t="n">
        <v>0.06052786404500042</v>
      </c>
      <c r="E67" s="71" t="n">
        <v>-670.6894714662656</v>
      </c>
      <c r="F67" s="71" t="n">
        <v>-670.6724373139015</v>
      </c>
      <c r="G67" s="71" t="n">
        <v>-670.6552814216715</v>
      </c>
      <c r="H67" s="71" t="n">
        <v>0.0341900445940837</v>
      </c>
      <c r="I67" s="65" t="inlineStr"/>
    </row>
    <row r="68">
      <c r="A68" s="65" t="inlineStr">
        <is>
          <t>wk_success</t>
        </is>
      </c>
      <c r="B68" s="65" t="n">
        <v>3.342052627529741</v>
      </c>
      <c r="C68" s="65" t="n">
        <v>3.764852927038918</v>
      </c>
      <c r="D68" s="65" t="n">
        <v>4.071964914980172</v>
      </c>
      <c r="E68" s="71" t="n">
        <v>-670.6724373139015</v>
      </c>
      <c r="F68" s="71" t="n">
        <v>-670.6724373139015</v>
      </c>
      <c r="G68" s="71" t="n">
        <v>-670.6724373139015</v>
      </c>
      <c r="H68" s="71" t="n">
        <v>0</v>
      </c>
      <c r="I68" s="65" t="inlineStr"/>
    </row>
    <row r="69">
      <c r="A69" s="65" t="inlineStr">
        <is>
          <t>fail_billed</t>
        </is>
      </c>
      <c r="B69" s="65" t="n">
        <v>0</v>
      </c>
      <c r="C69" s="65" t="n">
        <v>0</v>
      </c>
      <c r="D69" s="65" t="n">
        <v>1</v>
      </c>
      <c r="E69" s="71" t="n">
        <v>-670.6724373139015</v>
      </c>
      <c r="F69" s="71" t="n">
        <v>-670.6724373139015</v>
      </c>
      <c r="G69" s="71" t="n">
        <v>-670.6724373139015</v>
      </c>
      <c r="H69" s="71" t="n">
        <v>0</v>
      </c>
      <c r="I69" s="65" t="inlineStr"/>
    </row>
    <row r="71">
      <c r="A71" s="2" t="inlineStr">
        <is>
          <t>Net value per saver: debit cost (rows) x retention percentile</t>
        </is>
      </c>
    </row>
    <row r="72">
      <c r="A72" s="64" t="inlineStr">
        <is>
          <t>cost_debit</t>
        </is>
      </c>
      <c r="B72" s="64" t="inlineStr">
        <is>
          <t>retention_percentile</t>
        </is>
      </c>
      <c r="C72" s="64" t="inlineStr">
        <is>
          <t>ret_m12_gig</t>
        </is>
      </c>
      <c r="D72" s="64" t="inlineStr">
        <is>
          <t>net</t>
        </is>
      </c>
      <c r="E72" s="64" t="inlineStr">
        <is>
          <t>ratio</t>
        </is>
      </c>
    </row>
    <row r="73">
      <c r="A73" s="65" t="n">
        <v>0.25</v>
      </c>
      <c r="B73" s="65" t="n">
        <v>0.1</v>
      </c>
      <c r="C73" s="72" t="n">
        <v>0.09514178469371365</v>
      </c>
      <c r="D73" s="71" t="n">
        <v>-531.6824745202154</v>
      </c>
      <c r="E73" s="70" t="n">
        <v>-0.1200868110141978</v>
      </c>
    </row>
    <row r="74">
      <c r="A74" s="65" t="n">
        <v>0.25</v>
      </c>
      <c r="B74" s="65" t="n">
        <v>0.25</v>
      </c>
      <c r="C74" s="72" t="n">
        <v>0.1352575007086311</v>
      </c>
      <c r="D74" s="71" t="n">
        <v>-546.3089235111116</v>
      </c>
      <c r="E74" s="70" t="n">
        <v>-0.1509001129223687</v>
      </c>
    </row>
    <row r="75">
      <c r="A75" s="65" t="n">
        <v>0.25</v>
      </c>
      <c r="B75" s="65" t="n">
        <v>0.5</v>
      </c>
      <c r="C75" s="72" t="n">
        <v>0.1898851827591756</v>
      </c>
      <c r="D75" s="71" t="n">
        <v>-565.1442384044874</v>
      </c>
      <c r="E75" s="70" t="n">
        <v>-0.1905801640890116</v>
      </c>
    </row>
    <row r="76">
      <c r="A76" s="65" t="n">
        <v>0.25</v>
      </c>
      <c r="B76" s="65" t="n">
        <v>0.75</v>
      </c>
      <c r="C76" s="72" t="n">
        <v>0.2541122104883611</v>
      </c>
      <c r="D76" s="71" t="n">
        <v>-586.1730482421459</v>
      </c>
      <c r="E76" s="70" t="n">
        <v>-0.2348812153353254</v>
      </c>
    </row>
    <row r="77">
      <c r="A77" s="65" t="n">
        <v>0.25</v>
      </c>
      <c r="B77" s="65" t="n">
        <v>0.9</v>
      </c>
      <c r="C77" s="72" t="n">
        <v>0.3185908840528097</v>
      </c>
      <c r="D77" s="71" t="n">
        <v>-606.5616233677622</v>
      </c>
      <c r="E77" s="70" t="n">
        <v>-0.2778334945395304</v>
      </c>
    </row>
    <row r="78">
      <c r="A78" s="65" t="n">
        <v>0.5</v>
      </c>
      <c r="B78" s="65" t="n">
        <v>0.1</v>
      </c>
      <c r="C78" s="72" t="n">
        <v>0.09514178469371365</v>
      </c>
      <c r="D78" s="71" t="n">
        <v>-552.7489633632441</v>
      </c>
      <c r="E78" s="70" t="n">
        <v>-0.16446724000755</v>
      </c>
    </row>
    <row r="79">
      <c r="A79" s="65" t="n">
        <v>0.5</v>
      </c>
      <c r="B79" s="65" t="n">
        <v>0.25</v>
      </c>
      <c r="C79" s="72" t="n">
        <v>0.1352575007086311</v>
      </c>
      <c r="D79" s="71" t="n">
        <v>-573.104974519181</v>
      </c>
      <c r="E79" s="70" t="n">
        <v>-0.2073509172271117</v>
      </c>
    </row>
    <row r="80">
      <c r="A80" s="65" t="n">
        <v>0.5</v>
      </c>
      <c r="B80" s="65" t="n">
        <v>0.5</v>
      </c>
      <c r="C80" s="72" t="n">
        <v>0.1898851827591756</v>
      </c>
      <c r="D80" s="71" t="n">
        <v>-599.3990762078113</v>
      </c>
      <c r="E80" s="70" t="n">
        <v>-0.2627442730744676</v>
      </c>
    </row>
    <row r="81">
      <c r="A81" s="65" t="n">
        <v>0.5</v>
      </c>
      <c r="B81" s="65" t="n">
        <v>0.75</v>
      </c>
      <c r="C81" s="72" t="n">
        <v>0.2541122104883611</v>
      </c>
      <c r="D81" s="71" t="n">
        <v>-628.8160504412904</v>
      </c>
      <c r="E81" s="70" t="n">
        <v>-0.3247165336583767</v>
      </c>
    </row>
    <row r="82">
      <c r="A82" s="65" t="n">
        <v>0.5</v>
      </c>
      <c r="B82" s="65" t="n">
        <v>0.9</v>
      </c>
      <c r="C82" s="72" t="n">
        <v>0.3185908840528097</v>
      </c>
      <c r="D82" s="71" t="n">
        <v>-657.386750721166</v>
      </c>
      <c r="E82" s="70" t="n">
        <v>-0.3849059626851775</v>
      </c>
    </row>
    <row r="83">
      <c r="A83" s="65" t="n">
        <v>1</v>
      </c>
      <c r="B83" s="65" t="n">
        <v>0.1</v>
      </c>
      <c r="C83" s="72" t="n">
        <v>0.09514178469371365</v>
      </c>
      <c r="D83" s="71" t="n">
        <v>-594.8819410493016</v>
      </c>
      <c r="E83" s="70" t="n">
        <v>-0.2532280979942546</v>
      </c>
    </row>
    <row r="84">
      <c r="A84" s="65" t="n">
        <v>1</v>
      </c>
      <c r="B84" s="65" t="n">
        <v>0.25</v>
      </c>
      <c r="C84" s="72" t="n">
        <v>0.1352575007086311</v>
      </c>
      <c r="D84" s="71" t="n">
        <v>-626.6970765353198</v>
      </c>
      <c r="E84" s="70" t="n">
        <v>-0.3202525258365978</v>
      </c>
    </row>
    <row r="85">
      <c r="A85" s="65" t="n">
        <v>1</v>
      </c>
      <c r="B85" s="65" t="n">
        <v>0.5</v>
      </c>
      <c r="C85" s="72" t="n">
        <v>0.1898851827591756</v>
      </c>
      <c r="D85" s="71" t="n">
        <v>-667.9087518144593</v>
      </c>
      <c r="E85" s="70" t="n">
        <v>-0.4070724910453795</v>
      </c>
    </row>
    <row r="86">
      <c r="A86" s="65" t="n">
        <v>1</v>
      </c>
      <c r="B86" s="65" t="n">
        <v>0.75</v>
      </c>
      <c r="C86" s="72" t="n">
        <v>0.2541122104883611</v>
      </c>
      <c r="D86" s="71" t="n">
        <v>-714.1020548395793</v>
      </c>
      <c r="E86" s="70" t="n">
        <v>-0.5043871703044792</v>
      </c>
    </row>
    <row r="87">
      <c r="A87" s="65" t="n">
        <v>1</v>
      </c>
      <c r="B87" s="65" t="n">
        <v>0.9</v>
      </c>
      <c r="C87" s="72" t="n">
        <v>0.3185908840528097</v>
      </c>
      <c r="D87" s="71" t="n">
        <v>-759.0370054279737</v>
      </c>
      <c r="E87" s="70" t="n">
        <v>-0.5990508989764716</v>
      </c>
    </row>
    <row r="88">
      <c r="A88" s="65" t="n">
        <v>2</v>
      </c>
      <c r="B88" s="65" t="n">
        <v>0.1</v>
      </c>
      <c r="C88" s="72" t="n">
        <v>0.09514178469371365</v>
      </c>
      <c r="D88" s="71" t="n">
        <v>-679.1478964214166</v>
      </c>
      <c r="E88" s="70" t="n">
        <v>-0.4307498139676636</v>
      </c>
    </row>
    <row r="89">
      <c r="A89" s="65" t="n">
        <v>2</v>
      </c>
      <c r="B89" s="65" t="n">
        <v>0.25</v>
      </c>
      <c r="C89" s="72" t="n">
        <v>0.1352575007086311</v>
      </c>
      <c r="D89" s="71" t="n">
        <v>-733.8812805675973</v>
      </c>
      <c r="E89" s="70" t="n">
        <v>-0.5460557430555699</v>
      </c>
    </row>
    <row r="90">
      <c r="A90" s="65" t="n">
        <v>2</v>
      </c>
      <c r="B90" s="65" t="n">
        <v>0.5</v>
      </c>
      <c r="C90" s="72" t="n">
        <v>0.1898851827591756</v>
      </c>
      <c r="D90" s="71" t="n">
        <v>-804.9281030277552</v>
      </c>
      <c r="E90" s="70" t="n">
        <v>-0.6957289269872033</v>
      </c>
    </row>
    <row r="91">
      <c r="A91" s="65" t="n">
        <v>2</v>
      </c>
      <c r="B91" s="65" t="n">
        <v>0.75</v>
      </c>
      <c r="C91" s="72" t="n">
        <v>0.2541122104883611</v>
      </c>
      <c r="D91" s="71" t="n">
        <v>-884.6740636361571</v>
      </c>
      <c r="E91" s="70" t="n">
        <v>-0.8637284435966843</v>
      </c>
    </row>
    <row r="92">
      <c r="A92" s="65" t="n">
        <v>2</v>
      </c>
      <c r="B92" s="65" t="n">
        <v>0.9</v>
      </c>
      <c r="C92" s="72" t="n">
        <v>0.3185908840528097</v>
      </c>
      <c r="D92" s="71" t="n">
        <v>-962.3375148415889</v>
      </c>
      <c r="E92" s="70" t="n">
        <v>-1.02734077155906</v>
      </c>
    </row>
    <row r="93">
      <c r="A93" s="65" t="n">
        <v>3</v>
      </c>
      <c r="B93" s="65" t="n">
        <v>0.1</v>
      </c>
      <c r="C93" s="72" t="n">
        <v>0.09514178469371365</v>
      </c>
      <c r="D93" s="71" t="n">
        <v>-763.4138517935315</v>
      </c>
      <c r="E93" s="70" t="n">
        <v>-0.6082715299410726</v>
      </c>
    </row>
    <row r="94">
      <c r="A94" s="65" t="n">
        <v>3</v>
      </c>
      <c r="B94" s="65" t="n">
        <v>0.25</v>
      </c>
      <c r="C94" s="72" t="n">
        <v>0.1352575007086311</v>
      </c>
      <c r="D94" s="71" t="n">
        <v>-841.0654845998747</v>
      </c>
      <c r="E94" s="70" t="n">
        <v>-0.771858960274542</v>
      </c>
    </row>
    <row r="95">
      <c r="A95" s="65" t="n">
        <v>3</v>
      </c>
      <c r="B95" s="65" t="n">
        <v>0.5</v>
      </c>
      <c r="C95" s="72" t="n">
        <v>0.1898851827591756</v>
      </c>
      <c r="D95" s="71" t="n">
        <v>-941.9474542410512</v>
      </c>
      <c r="E95" s="70" t="n">
        <v>-0.9843853629290275</v>
      </c>
    </row>
    <row r="96">
      <c r="A96" s="65" t="n">
        <v>3</v>
      </c>
      <c r="B96" s="65" t="n">
        <v>0.75</v>
      </c>
      <c r="C96" s="72" t="n">
        <v>0.2541122104883611</v>
      </c>
      <c r="D96" s="71" t="n">
        <v>-1055.246072432735</v>
      </c>
      <c r="E96" s="70" t="n">
        <v>-1.22306971688889</v>
      </c>
    </row>
    <row r="97">
      <c r="A97" s="65" t="n">
        <v>3</v>
      </c>
      <c r="B97" s="65" t="n">
        <v>0.9</v>
      </c>
      <c r="C97" s="72" t="n">
        <v>0.3185908840528097</v>
      </c>
      <c r="D97" s="71" t="n">
        <v>-1165.638024255204</v>
      </c>
      <c r="E97" s="70" t="n">
        <v>-1.455630644141648</v>
      </c>
    </row>
    <row r="98">
      <c r="A98" s="65" t="n">
        <v>5.9</v>
      </c>
      <c r="B98" s="65" t="n">
        <v>0.1</v>
      </c>
      <c r="C98" s="72" t="n">
        <v>0.09514178469371365</v>
      </c>
      <c r="D98" s="71" t="n">
        <v>-1007.785122372665</v>
      </c>
      <c r="E98" s="70" t="n">
        <v>-1.123084506263959</v>
      </c>
    </row>
    <row r="99">
      <c r="A99" s="65" t="n">
        <v>5.9</v>
      </c>
      <c r="B99" s="65" t="n">
        <v>0.25</v>
      </c>
      <c r="C99" s="72" t="n">
        <v>0.1352575007086311</v>
      </c>
      <c r="D99" s="71" t="n">
        <v>-1151.899676293479</v>
      </c>
      <c r="E99" s="70" t="n">
        <v>-1.426688290209561</v>
      </c>
    </row>
    <row r="100">
      <c r="A100" s="65" t="n">
        <v>5.9</v>
      </c>
      <c r="B100" s="65" t="n">
        <v>0.5</v>
      </c>
      <c r="C100" s="72" t="n">
        <v>0.1898851827591756</v>
      </c>
      <c r="D100" s="71" t="n">
        <v>-1339.303572759609</v>
      </c>
      <c r="E100" s="70" t="n">
        <v>-1.821489027160317</v>
      </c>
    </row>
    <row r="101">
      <c r="A101" s="65" t="n">
        <v>5.9</v>
      </c>
      <c r="B101" s="65" t="n">
        <v>0.75</v>
      </c>
      <c r="C101" s="72" t="n">
        <v>0.2541122104883611</v>
      </c>
      <c r="D101" s="71" t="n">
        <v>-1549.904897942811</v>
      </c>
      <c r="E101" s="70" t="n">
        <v>-2.265159409436285</v>
      </c>
    </row>
    <row r="102">
      <c r="A102" s="65" t="n">
        <v>5.9</v>
      </c>
      <c r="B102" s="65" t="n">
        <v>0.9</v>
      </c>
      <c r="C102" s="72" t="n">
        <v>0.3185908840528097</v>
      </c>
      <c r="D102" s="71" t="n">
        <v>-1755.209501554689</v>
      </c>
      <c r="E102" s="70" t="n">
        <v>-2.697671274631154</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0" customWidth="1" min="1" max="1"/>
    <col width="13" customWidth="1" min="2" max="2"/>
    <col width="16" customWidth="1" min="3" max="3"/>
    <col width="14" customWidth="1" min="4" max="4"/>
    <col width="16" customWidth="1" min="5" max="5"/>
    <col width="22" customWidth="1" min="6" max="6"/>
  </cols>
  <sheetData>
    <row r="1">
      <c r="A1" s="1" t="inlineStr">
        <is>
          <t>The flip: what daily minimum makes one saver break even?</t>
        </is>
      </c>
    </row>
    <row r="2">
      <c r="A2" s="28" t="inlineStr">
        <is>
          <t>Written by model/flip.py. Every saver puts in exactly the minimum per successful debit; everything else at the evidence middle, so the savers a higher minimum would lose are NOT counted. Flat fee steps from Rs 5.90 to Rs 17.70 above Rs 1,000 a debit.</t>
        </is>
      </c>
    </row>
    <row r="4">
      <c r="A4" s="2" t="inlineStr">
        <is>
          <t>Break-even amount per case (first Rs 50 step with net value &gt;= 0)</t>
        </is>
      </c>
    </row>
    <row r="5">
      <c r="A5" s="64" t="inlineStr">
        <is>
          <t>case</t>
        </is>
      </c>
      <c r="B5" s="64" t="inlineStr">
        <is>
          <t>design</t>
        </is>
      </c>
      <c r="C5" s="64" t="inlineStr">
        <is>
          <t>breakeven_amount</t>
        </is>
      </c>
      <c r="D5" s="64" t="inlineStr">
        <is>
          <t>monthly_gig</t>
        </is>
      </c>
      <c r="E5" s="64" t="inlineStr">
        <is>
          <t>share_income_gig</t>
        </is>
      </c>
      <c r="F5" s="64" t="inlineStr">
        <is>
          <t>best_net_at_or_below_1000</t>
        </is>
      </c>
    </row>
    <row r="6">
      <c r="A6" s="65" t="inlineStr">
        <is>
          <t>best_case_flat_failed_free</t>
        </is>
      </c>
      <c r="B6" s="65" t="inlineStr">
        <is>
          <t>daily</t>
        </is>
      </c>
      <c r="C6" s="71" t="n">
        <v>700</v>
      </c>
      <c r="D6" s="71" t="n">
        <v>11900</v>
      </c>
      <c r="E6" s="72" t="n">
        <v>0.6342945471989766</v>
      </c>
      <c r="F6" s="71" t="n">
        <v>2320.856557261695</v>
      </c>
    </row>
    <row r="7">
      <c r="A7" s="65" t="inlineStr">
        <is>
          <t>best_case_percent</t>
        </is>
      </c>
      <c r="B7" s="65" t="inlineStr">
        <is>
          <t>daily</t>
        </is>
      </c>
      <c r="C7" s="71" t="inlineStr"/>
      <c r="D7" s="71" t="inlineStr"/>
      <c r="E7" s="72" t="inlineStr"/>
      <c r="F7" s="71" t="n">
        <v>-234.7385809321723</v>
      </c>
    </row>
    <row r="8">
      <c r="A8" s="65" t="inlineStr">
        <is>
          <t>evidence_flat_failed_billed</t>
        </is>
      </c>
      <c r="B8" s="65" t="inlineStr">
        <is>
          <t>daily</t>
        </is>
      </c>
      <c r="C8" s="71" t="n">
        <v>4650</v>
      </c>
      <c r="D8" s="71" t="n">
        <v>79050</v>
      </c>
      <c r="E8" s="72" t="n">
        <v>4.213528063536059</v>
      </c>
      <c r="F8" s="71" t="n">
        <v>-929.7731516719161</v>
      </c>
    </row>
    <row r="9">
      <c r="A9" s="65" t="inlineStr">
        <is>
          <t>evidence_flat_failed_free</t>
        </is>
      </c>
      <c r="B9" s="65" t="inlineStr">
        <is>
          <t>daily</t>
        </is>
      </c>
      <c r="C9" s="71" t="n">
        <v>3050</v>
      </c>
      <c r="D9" s="71" t="n">
        <v>51850</v>
      </c>
      <c r="E9" s="72" t="n">
        <v>2.763711955652684</v>
      </c>
      <c r="F9" s="71" t="n">
        <v>-387.3824543032509</v>
      </c>
    </row>
    <row r="10">
      <c r="A10" s="65" t="inlineStr">
        <is>
          <t>evidence_flat_failed_free</t>
        </is>
      </c>
      <c r="B10" s="65" t="inlineStr">
        <is>
          <t>weekly</t>
        </is>
      </c>
      <c r="C10" s="71" t="n">
        <v>5150</v>
      </c>
      <c r="D10" s="71" t="n">
        <v>19388.99257425043</v>
      </c>
      <c r="E10" s="72" t="n">
        <v>1.033473299624243</v>
      </c>
      <c r="F10" s="71" t="n">
        <v>-521.9222603148024</v>
      </c>
    </row>
    <row r="11">
      <c r="A11" s="65" t="inlineStr">
        <is>
          <t>evidence_percent</t>
        </is>
      </c>
      <c r="B11" s="65" t="inlineStr">
        <is>
          <t>daily</t>
        </is>
      </c>
      <c r="C11" s="71" t="inlineStr"/>
      <c r="D11" s="71" t="inlineStr"/>
      <c r="E11" s="72" t="inlineStr"/>
      <c r="F11" s="71" t="n">
        <v>-680.2485586419709</v>
      </c>
    </row>
    <row r="12">
      <c r="A12" s="65" t="inlineStr">
        <is>
          <t>plan</t>
        </is>
      </c>
      <c r="B12" s="65" t="inlineStr">
        <is>
          <t>daily</t>
        </is>
      </c>
      <c r="C12" s="71" t="n">
        <v>450</v>
      </c>
      <c r="D12" s="71" t="n">
        <v>9000</v>
      </c>
      <c r="E12" s="72" t="n">
        <v>0.4797185651084697</v>
      </c>
      <c r="F12" s="71" t="n">
        <v>785.4080073854567</v>
      </c>
    </row>
    <row r="14">
      <c r="A14" s="2" t="inlineStr">
        <is>
          <t>Monte Carlo by amount (2,000 draws each): share of futures with net value &gt; 0</t>
        </is>
      </c>
    </row>
    <row r="15">
      <c r="A15" s="64" t="inlineStr">
        <is>
          <t>amount</t>
        </is>
      </c>
      <c r="B15" s="64" t="inlineStr">
        <is>
          <t>p_pos</t>
        </is>
      </c>
      <c r="C15" s="64" t="inlineStr">
        <is>
          <t>p_pos_flat</t>
        </is>
      </c>
      <c r="D15" s="64" t="inlineStr">
        <is>
          <t>p_pos_percent</t>
        </is>
      </c>
      <c r="E15" s="64" t="inlineStr">
        <is>
          <t>p50</t>
        </is>
      </c>
    </row>
    <row r="16">
      <c r="A16" s="65" t="n">
        <v>50</v>
      </c>
      <c r="B16" s="66" t="n">
        <v>0</v>
      </c>
      <c r="C16" s="66" t="n">
        <v>0</v>
      </c>
      <c r="D16" s="66" t="n">
        <v>0</v>
      </c>
      <c r="E16" s="71" t="n">
        <v>-1119.268045010493</v>
      </c>
    </row>
    <row r="17">
      <c r="A17" s="65" t="n">
        <v>100</v>
      </c>
      <c r="B17" s="66" t="n">
        <v>0</v>
      </c>
      <c r="C17" s="66" t="n">
        <v>0</v>
      </c>
      <c r="D17" s="66" t="n">
        <v>0</v>
      </c>
      <c r="E17" s="71" t="n">
        <v>-1170.11852907007</v>
      </c>
    </row>
    <row r="18">
      <c r="A18" s="65" t="n">
        <v>150</v>
      </c>
      <c r="B18" s="66" t="n">
        <v>0</v>
      </c>
      <c r="C18" s="66" t="n">
        <v>0</v>
      </c>
      <c r="D18" s="66" t="n">
        <v>0</v>
      </c>
      <c r="E18" s="71" t="n">
        <v>-1215.30330380464</v>
      </c>
    </row>
    <row r="19">
      <c r="A19" s="65" t="n">
        <v>200</v>
      </c>
      <c r="B19" s="66" t="n">
        <v>0</v>
      </c>
      <c r="C19" s="66" t="n">
        <v>0</v>
      </c>
      <c r="D19" s="66" t="n">
        <v>0</v>
      </c>
      <c r="E19" s="71" t="n">
        <v>-1251.052332449329</v>
      </c>
    </row>
    <row r="20">
      <c r="A20" s="65" t="n">
        <v>250</v>
      </c>
      <c r="B20" s="66" t="n">
        <v>0</v>
      </c>
      <c r="C20" s="66" t="n">
        <v>0</v>
      </c>
      <c r="D20" s="66" t="n">
        <v>0</v>
      </c>
      <c r="E20" s="71" t="n">
        <v>-1296.234518349898</v>
      </c>
    </row>
    <row r="21">
      <c r="A21" s="65" t="n">
        <v>300</v>
      </c>
      <c r="B21" s="66" t="n">
        <v>0</v>
      </c>
      <c r="C21" s="66" t="n">
        <v>0</v>
      </c>
      <c r="D21" s="66" t="n">
        <v>0</v>
      </c>
      <c r="E21" s="71" t="n">
        <v>-1337.325438884289</v>
      </c>
    </row>
    <row r="22">
      <c r="A22" s="65" t="n">
        <v>350</v>
      </c>
      <c r="B22" s="66" t="n">
        <v>0</v>
      </c>
      <c r="C22" s="66" t="n">
        <v>0</v>
      </c>
      <c r="D22" s="66" t="n">
        <v>0</v>
      </c>
      <c r="E22" s="71" t="n">
        <v>-1381.38705031023</v>
      </c>
    </row>
    <row r="23">
      <c r="A23" s="65" t="n">
        <v>400</v>
      </c>
      <c r="B23" s="66" t="n">
        <v>0</v>
      </c>
      <c r="C23" s="66" t="n">
        <v>0</v>
      </c>
      <c r="D23" s="66" t="n">
        <v>0</v>
      </c>
      <c r="E23" s="71" t="n">
        <v>-1419.784973084482</v>
      </c>
    </row>
    <row r="24">
      <c r="A24" s="65" t="n">
        <v>450</v>
      </c>
      <c r="B24" s="66" t="n">
        <v>0</v>
      </c>
      <c r="C24" s="66" t="n">
        <v>0</v>
      </c>
      <c r="D24" s="66" t="n">
        <v>0</v>
      </c>
      <c r="E24" s="71" t="n">
        <v>-1446.192062118715</v>
      </c>
    </row>
    <row r="25">
      <c r="A25" s="65" t="n">
        <v>500</v>
      </c>
      <c r="B25" s="66" t="n">
        <v>0</v>
      </c>
      <c r="C25" s="66" t="n">
        <v>0</v>
      </c>
      <c r="D25" s="66" t="n">
        <v>0</v>
      </c>
      <c r="E25" s="71" t="n">
        <v>-1480.235633785191</v>
      </c>
    </row>
    <row r="26">
      <c r="A26" s="65" t="n">
        <v>550</v>
      </c>
      <c r="B26" s="66" t="n">
        <v>0</v>
      </c>
      <c r="C26" s="66" t="n">
        <v>0</v>
      </c>
      <c r="D26" s="66" t="n">
        <v>0</v>
      </c>
      <c r="E26" s="71" t="n">
        <v>-1494.791815648114</v>
      </c>
    </row>
    <row r="27">
      <c r="A27" s="65" t="n">
        <v>600</v>
      </c>
      <c r="B27" s="66" t="n">
        <v>0</v>
      </c>
      <c r="C27" s="66" t="n">
        <v>0</v>
      </c>
      <c r="D27" s="66" t="n">
        <v>0</v>
      </c>
      <c r="E27" s="71" t="n">
        <v>-1514.622603092105</v>
      </c>
    </row>
    <row r="28">
      <c r="A28" s="65" t="n">
        <v>650</v>
      </c>
      <c r="B28" s="66" t="n">
        <v>0</v>
      </c>
      <c r="C28" s="66" t="n">
        <v>0</v>
      </c>
      <c r="D28" s="66" t="n">
        <v>0</v>
      </c>
      <c r="E28" s="71" t="n">
        <v>-1534.344446542255</v>
      </c>
    </row>
    <row r="29">
      <c r="A29" s="65" t="n">
        <v>700</v>
      </c>
      <c r="B29" s="66" t="n">
        <v>0</v>
      </c>
      <c r="C29" s="66" t="n">
        <v>0</v>
      </c>
      <c r="D29" s="66" t="n">
        <v>0</v>
      </c>
      <c r="E29" s="71" t="n">
        <v>-1539.522144116444</v>
      </c>
    </row>
    <row r="30">
      <c r="A30" s="65" t="n">
        <v>750</v>
      </c>
      <c r="B30" s="66" t="n">
        <v>0.0015</v>
      </c>
      <c r="C30" s="66" t="n">
        <v>0.002949852507374631</v>
      </c>
      <c r="D30" s="66" t="n">
        <v>0</v>
      </c>
      <c r="E30" s="71" t="n">
        <v>-1541.72035356843</v>
      </c>
    </row>
    <row r="31">
      <c r="A31" s="65" t="n">
        <v>800</v>
      </c>
      <c r="B31" s="66" t="n">
        <v>0.007</v>
      </c>
      <c r="C31" s="66" t="n">
        <v>0.01376597836774828</v>
      </c>
      <c r="D31" s="66" t="n">
        <v>0</v>
      </c>
      <c r="E31" s="71" t="n">
        <v>-1546.532651951723</v>
      </c>
    </row>
    <row r="32">
      <c r="A32" s="65" t="n">
        <v>850</v>
      </c>
      <c r="B32" s="66" t="n">
        <v>0.012</v>
      </c>
      <c r="C32" s="66" t="n">
        <v>0.02359882005899705</v>
      </c>
      <c r="D32" s="66" t="n">
        <v>0</v>
      </c>
      <c r="E32" s="71" t="n">
        <v>-1535.532646221419</v>
      </c>
    </row>
    <row r="33">
      <c r="A33" s="65" t="n">
        <v>900</v>
      </c>
      <c r="B33" s="66" t="n">
        <v>0.015</v>
      </c>
      <c r="C33" s="66" t="n">
        <v>0.02949852507374631</v>
      </c>
      <c r="D33" s="66" t="n">
        <v>0</v>
      </c>
      <c r="E33" s="71" t="n">
        <v>-1548.457298671238</v>
      </c>
    </row>
    <row r="34">
      <c r="A34" s="65" t="n">
        <v>950</v>
      </c>
      <c r="B34" s="66" t="n">
        <v>0.021</v>
      </c>
      <c r="C34" s="66" t="n">
        <v>0.04129793510324484</v>
      </c>
      <c r="D34" s="66" t="n">
        <v>0</v>
      </c>
      <c r="E34" s="71" t="n">
        <v>-1547.109560056566</v>
      </c>
    </row>
    <row r="35">
      <c r="A35" s="65" t="n">
        <v>1000</v>
      </c>
      <c r="B35" s="66" t="n">
        <v>0.031</v>
      </c>
      <c r="C35" s="66" t="n">
        <v>0.06096361848574238</v>
      </c>
      <c r="D35" s="66" t="n">
        <v>0</v>
      </c>
      <c r="E35" s="71" t="n">
        <v>-1551.34008556995</v>
      </c>
    </row>
    <row r="36">
      <c r="A36" s="65" t="n">
        <v>1250</v>
      </c>
      <c r="B36" s="66" t="n">
        <v>0</v>
      </c>
      <c r="C36" s="66" t="n">
        <v>0</v>
      </c>
      <c r="D36" s="66" t="n">
        <v>0</v>
      </c>
      <c r="E36" s="71" t="n">
        <v>-2897.225058682464</v>
      </c>
    </row>
    <row r="37">
      <c r="A37" s="65" t="n">
        <v>1500</v>
      </c>
      <c r="B37" s="66" t="n">
        <v>0</v>
      </c>
      <c r="C37" s="66" t="n">
        <v>0</v>
      </c>
      <c r="D37" s="66" t="n">
        <v>0</v>
      </c>
      <c r="E37" s="71" t="n">
        <v>-3056.089725242997</v>
      </c>
    </row>
    <row r="38">
      <c r="A38" s="65" t="n">
        <v>1750</v>
      </c>
      <c r="B38" s="66" t="n">
        <v>0.001</v>
      </c>
      <c r="C38" s="66" t="n">
        <v>0.001966568338249754</v>
      </c>
      <c r="D38" s="66" t="n">
        <v>0</v>
      </c>
      <c r="E38" s="71" t="n">
        <v>-3123.722152419034</v>
      </c>
    </row>
    <row r="39">
      <c r="A39" s="65" t="n">
        <v>2000</v>
      </c>
      <c r="B39" s="66" t="n">
        <v>0.0145</v>
      </c>
      <c r="C39" s="66" t="n">
        <v>0.02851524090462143</v>
      </c>
      <c r="D39" s="66" t="n">
        <v>0</v>
      </c>
      <c r="E39" s="71" t="n">
        <v>-3177.784009191873</v>
      </c>
    </row>
    <row r="40">
      <c r="A40" s="65" t="n">
        <v>2250</v>
      </c>
      <c r="B40" s="66" t="n">
        <v>0.037</v>
      </c>
      <c r="C40" s="66" t="n">
        <v>0.0727630285152409</v>
      </c>
      <c r="D40" s="66" t="n">
        <v>0</v>
      </c>
      <c r="E40" s="71" t="n">
        <v>-3206.613204964413</v>
      </c>
    </row>
    <row r="41">
      <c r="A41" s="65" t="n">
        <v>2500</v>
      </c>
      <c r="B41" s="66" t="n">
        <v>0.0575</v>
      </c>
      <c r="C41" s="66" t="n">
        <v>0.1130776794493609</v>
      </c>
      <c r="D41" s="66" t="n">
        <v>0</v>
      </c>
      <c r="E41" s="71" t="n">
        <v>-3232.598945108009</v>
      </c>
    </row>
    <row r="42">
      <c r="A42" s="65" t="n">
        <v>2750</v>
      </c>
      <c r="B42" s="66" t="n">
        <v>0.09950000000000001</v>
      </c>
      <c r="C42" s="66" t="n">
        <v>0.1956735496558505</v>
      </c>
      <c r="D42" s="66" t="n">
        <v>0</v>
      </c>
      <c r="E42" s="71" t="n">
        <v>-3209.149189517889</v>
      </c>
    </row>
    <row r="43">
      <c r="A43" s="65" t="n">
        <v>3000</v>
      </c>
      <c r="B43" s="66" t="n">
        <v>0.133</v>
      </c>
      <c r="C43" s="66" t="n">
        <v>0.2615535889872173</v>
      </c>
      <c r="D43" s="66" t="n">
        <v>0</v>
      </c>
      <c r="E43" s="71" t="n">
        <v>-3155.282826407955</v>
      </c>
    </row>
    <row r="44">
      <c r="A44" s="65" t="n">
        <v>3250</v>
      </c>
      <c r="B44" s="66" t="n">
        <v>0.1655</v>
      </c>
      <c r="C44" s="66" t="n">
        <v>0.3254670599803343</v>
      </c>
      <c r="D44" s="66" t="n">
        <v>0</v>
      </c>
      <c r="E44" s="71" t="n">
        <v>-3136.167569516967</v>
      </c>
    </row>
    <row r="45">
      <c r="A45" s="65" t="n">
        <v>3500</v>
      </c>
      <c r="B45" s="66" t="n">
        <v>0.1975</v>
      </c>
      <c r="C45" s="66" t="n">
        <v>0.3883972468043265</v>
      </c>
      <c r="D45" s="66" t="n">
        <v>0</v>
      </c>
      <c r="E45" s="71" t="n">
        <v>-3064.256726979595</v>
      </c>
    </row>
    <row r="46">
      <c r="A46" s="65" t="n">
        <v>3750</v>
      </c>
      <c r="B46" s="66" t="n">
        <v>0.231</v>
      </c>
      <c r="C46" s="66" t="n">
        <v>0.4542772861356932</v>
      </c>
      <c r="D46" s="66" t="n">
        <v>0</v>
      </c>
      <c r="E46" s="71" t="n">
        <v>-2994.377038401279</v>
      </c>
    </row>
    <row r="47">
      <c r="A47" s="65" t="n">
        <v>4000</v>
      </c>
      <c r="B47" s="66" t="n">
        <v>0.253</v>
      </c>
      <c r="C47" s="66" t="n">
        <v>0.4975417895771878</v>
      </c>
      <c r="D47" s="66" t="n">
        <v>0</v>
      </c>
      <c r="E47" s="71" t="n">
        <v>-2911.230541515908</v>
      </c>
    </row>
    <row r="48">
      <c r="A48" s="65" t="n">
        <v>4250</v>
      </c>
      <c r="B48" s="66" t="n">
        <v>0.275</v>
      </c>
      <c r="C48" s="66" t="n">
        <v>0.5408062930186824</v>
      </c>
      <c r="D48" s="66" t="n">
        <v>0</v>
      </c>
      <c r="E48" s="71" t="n">
        <v>-2905.126938364308</v>
      </c>
    </row>
    <row r="49">
      <c r="A49" s="65" t="n">
        <v>4500</v>
      </c>
      <c r="B49" s="66" t="n">
        <v>0.302</v>
      </c>
      <c r="C49" s="66" t="n">
        <v>0.5939036381514258</v>
      </c>
      <c r="D49" s="66" t="n">
        <v>0</v>
      </c>
      <c r="E49" s="71" t="n">
        <v>-2813.051870344957</v>
      </c>
    </row>
    <row r="50">
      <c r="A50" s="65" t="n">
        <v>4750</v>
      </c>
      <c r="B50" s="66" t="n">
        <v>0.325</v>
      </c>
      <c r="C50" s="66" t="n">
        <v>0.6391347099311701</v>
      </c>
      <c r="D50" s="66" t="n">
        <v>0</v>
      </c>
      <c r="E50" s="71" t="n">
        <v>-2711.392537941502</v>
      </c>
    </row>
    <row r="51">
      <c r="A51" s="65" t="n">
        <v>5000</v>
      </c>
      <c r="B51" s="66" t="n">
        <v>0.3445</v>
      </c>
      <c r="C51" s="66" t="n">
        <v>0.6774827925270404</v>
      </c>
      <c r="D51" s="66" t="n">
        <v>0</v>
      </c>
      <c r="E51" s="71" t="n">
        <v>-2599.407556067267</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26" customWidth="1" min="6" max="6"/>
    <col width="34" customWidth="1" min="7" max="7"/>
    <col width="30" customWidth="1" min="8" max="8"/>
  </cols>
  <sheetData>
    <row r="1">
      <c r="A1" s="1" t="inlineStr">
        <is>
          <t>Everything we could sell, and what one customer is worth with it</t>
        </is>
      </c>
    </row>
    <row r="2">
      <c r="A2" s="28" t="inlineStr">
        <is>
          <t>Cross-sell: take rate x ticket x yearly take-up per ACTIVE saver (take-up is the researchers' estimate; research/xs_*.csv). LTV: model/ltv.py, per customer won, 5 years discounted; cross-sell from month 1, before selling costs; replaces the model's own lines.</t>
        </is>
      </c>
    </row>
    <row r="4">
      <c r="A4" s="2" t="inlineStr">
        <is>
          <t>Cross-sell map (Rs per active saver a year)</t>
        </is>
      </c>
    </row>
    <row r="5">
      <c r="A5" s="64" t="inlineStr">
        <is>
          <t>product</t>
        </is>
      </c>
      <c r="B5" s="64" t="inlineStr">
        <is>
          <t>group</t>
        </is>
      </c>
      <c r="C5" s="64" t="inlineStr">
        <is>
          <t>rs_per_active_saver_year_low</t>
        </is>
      </c>
      <c r="D5" s="64" t="inlineStr">
        <is>
          <t>mid</t>
        </is>
      </c>
      <c r="E5" s="64" t="inlineStr">
        <is>
          <t>high</t>
        </is>
      </c>
      <c r="F5" s="64" t="inlineStr">
        <is>
          <t>take_rate_mid</t>
        </is>
      </c>
      <c r="G5" s="64" t="inlineStr">
        <is>
          <t>verdict</t>
        </is>
      </c>
      <c r="H5" s="64" t="inlineStr">
        <is>
          <t>evidence</t>
        </is>
      </c>
    </row>
    <row r="6">
      <c r="A6" s="65" t="inlineStr">
        <is>
          <t>Small personal loan, referral only</t>
        </is>
      </c>
      <c r="B6" s="65" t="inlineStr">
        <is>
          <t>loans</t>
        </is>
      </c>
      <c r="C6" s="73" t="n">
        <v>1.5</v>
      </c>
      <c r="D6" s="73" t="n">
        <v>15</v>
      </c>
      <c r="E6" s="73" t="n">
        <v>140</v>
      </c>
      <c r="F6" s="65" t="inlineStr">
        <is>
          <t>2% of loan</t>
        </is>
      </c>
      <c r="G6" s="65" t="inlineStr">
        <is>
          <t>small</t>
        </is>
      </c>
      <c r="H6" s="65" t="inlineStr">
        <is>
          <t>XL-13, XL-41, XL-42, XL-29, XL-37, XL-45, XL-48</t>
        </is>
      </c>
    </row>
    <row r="7">
      <c r="A7" s="65" t="inlineStr">
        <is>
          <t>Gold loan</t>
        </is>
      </c>
      <c r="B7" s="65" t="inlineStr">
        <is>
          <t>loans</t>
        </is>
      </c>
      <c r="C7" s="73" t="n">
        <v>1.5</v>
      </c>
      <c r="D7" s="73" t="n">
        <v>22.5</v>
      </c>
      <c r="E7" s="73" t="n">
        <v>180</v>
      </c>
      <c r="F7" s="65" t="inlineStr">
        <is>
          <t>1% of loan</t>
        </is>
      </c>
      <c r="G7" s="65" t="inlineStr">
        <is>
          <t>small; safest loan to refer</t>
        </is>
      </c>
      <c r="H7" s="65" t="inlineStr">
        <is>
          <t>XL-17, XL-29, XL-32, XL-52</t>
        </is>
      </c>
    </row>
    <row r="8">
      <c r="A8" s="65" t="inlineStr">
        <is>
          <t>Business or property loan</t>
        </is>
      </c>
      <c r="B8" s="65" t="inlineStr">
        <is>
          <t>loans</t>
        </is>
      </c>
      <c r="C8" s="73" t="n">
        <v>2.5</v>
      </c>
      <c r="D8" s="73" t="n">
        <v>30</v>
      </c>
      <c r="E8" s="73" t="n">
        <v>150</v>
      </c>
      <c r="F8" s="65" t="inlineStr">
        <is>
          <t>2% of loan</t>
        </is>
      </c>
      <c r="G8" s="65" t="inlineStr">
        <is>
          <t>small; shopkeepers only</t>
        </is>
      </c>
      <c r="H8" s="65" t="inlineStr">
        <is>
          <t>XL-14, XL-16, XL-43, XL-53</t>
        </is>
      </c>
    </row>
    <row r="9">
      <c r="A9" s="65" t="inlineStr">
        <is>
          <t>Credit card backed by an FD</t>
        </is>
      </c>
      <c r="B9" s="65" t="inlineStr">
        <is>
          <t>loans</t>
        </is>
      </c>
      <c r="C9" s="73" t="n">
        <v>1.5</v>
      </c>
      <c r="D9" s="73" t="n">
        <v>15</v>
      </c>
      <c r="E9" s="73" t="n">
        <v>75</v>
      </c>
      <c r="F9" s="65" t="inlineStr">
        <is>
          <t>Rs 750 per card (assumed)</t>
        </is>
      </c>
      <c r="G9" s="65" t="inlineStr">
        <is>
          <t>small; fits the story</t>
        </is>
      </c>
      <c r="H9" s="65" t="inlineStr">
        <is>
          <t>XL-20, XL-40, XL-54</t>
        </is>
      </c>
    </row>
    <row r="10">
      <c r="A10" s="65" t="inlineStr">
        <is>
          <t>Home loan (affordable housing)</t>
        </is>
      </c>
      <c r="B10" s="65" t="inlineStr">
        <is>
          <t>loans</t>
        </is>
      </c>
      <c r="C10" s="73" t="n">
        <v>1.2</v>
      </c>
      <c r="D10" s="73" t="n">
        <v>11</v>
      </c>
      <c r="E10" s="73" t="n">
        <v>75</v>
      </c>
      <c r="F10" s="65" t="inlineStr">
        <is>
          <t>0.5% of loan</t>
        </is>
      </c>
      <c r="G10" s="65" t="inlineStr">
        <is>
          <t>small: big fee, very rare</t>
        </is>
      </c>
      <c r="H10" s="65" t="inlineStr">
        <is>
          <t>XL-15, XL-24..XL-27, XL-30, XL-51</t>
        </is>
      </c>
    </row>
    <row r="11">
      <c r="A11" s="65" t="inlineStr">
        <is>
          <t>Auto-rickshaw or used-car loan</t>
        </is>
      </c>
      <c r="B11" s="65" t="inlineStr">
        <is>
          <t>loans</t>
        </is>
      </c>
      <c r="C11" s="73" t="n">
        <v>0.75</v>
      </c>
      <c r="D11" s="73" t="n">
        <v>9</v>
      </c>
      <c r="E11" s="73" t="n">
        <v>120</v>
      </c>
      <c r="F11" s="65" t="inlineStr">
        <is>
          <t>1% of loan</t>
        </is>
      </c>
      <c r="G11" s="65" t="inlineStr">
        <is>
          <t>small</t>
        </is>
      </c>
      <c r="H11" s="65" t="inlineStr">
        <is>
          <t>XL-18, XL-44, XL-54</t>
        </is>
      </c>
    </row>
    <row r="12">
      <c r="A12" s="65" t="inlineStr">
        <is>
          <t>Phone / consumer-durable EMI</t>
        </is>
      </c>
      <c r="B12" s="65" t="inlineStr">
        <is>
          <t>loans</t>
        </is>
      </c>
      <c r="C12" s="73" t="n">
        <v>0.5</v>
      </c>
      <c r="D12" s="73" t="n">
        <v>8</v>
      </c>
      <c r="E12" s="73" t="n">
        <v>45</v>
      </c>
      <c r="F12" s="65" t="inlineStr">
        <is>
          <t>2% of loan (assumed)</t>
        </is>
      </c>
      <c r="G12" s="65" t="inlineStr">
        <is>
          <t>small; sold at the shop</t>
        </is>
      </c>
      <c r="H12" s="65" t="inlineStr">
        <is>
          <t>XL-29, XL-35, XL-54</t>
        </is>
      </c>
    </row>
    <row r="13">
      <c r="A13" s="65" t="inlineStr">
        <is>
          <t>Two-wheeler loan incl. EV</t>
        </is>
      </c>
      <c r="B13" s="65" t="inlineStr">
        <is>
          <t>loans</t>
        </is>
      </c>
      <c r="C13" s="73" t="n">
        <v>0.7</v>
      </c>
      <c r="D13" s="73" t="n">
        <v>4.7</v>
      </c>
      <c r="E13" s="73" t="n">
        <v>48</v>
      </c>
      <c r="F13" s="65" t="inlineStr">
        <is>
          <t>1% of loan</t>
        </is>
      </c>
      <c r="G13" s="65" t="inlineStr">
        <is>
          <t>small; most riders own a bike</t>
        </is>
      </c>
      <c r="H13" s="65" t="inlineStr">
        <is>
          <t>XL-19, XL-21..XL-23, XL-31, XL-36, XL-50</t>
        </is>
      </c>
    </row>
    <row r="14">
      <c r="A14" s="65" t="inlineStr">
        <is>
          <t>Microfinance group loans</t>
        </is>
      </c>
      <c r="B14" s="65" t="inlineStr">
        <is>
          <t>loans</t>
        </is>
      </c>
      <c r="C14" s="73" t="inlineStr"/>
      <c r="D14" s="73" t="inlineStr"/>
      <c r="E14" s="73" t="inlineStr"/>
      <c r="F14" s="65" t="inlineStr">
        <is>
          <t>no data</t>
        </is>
      </c>
      <c r="G14" s="65" t="inlineStr">
        <is>
          <t>needs field staff</t>
        </is>
      </c>
      <c r="H14" s="65" t="inlineStr">
        <is>
          <t>XL-33, XL-34</t>
        </is>
      </c>
    </row>
    <row r="15">
      <c r="A15" s="65" t="inlineStr">
        <is>
          <t>Personal loan we guarantee (before defaults)</t>
        </is>
      </c>
      <c r="B15" s="65" t="inlineStr">
        <is>
          <t>loans (excluded from total)</t>
        </is>
      </c>
      <c r="C15" s="73" t="n">
        <v>6.8</v>
      </c>
      <c r="D15" s="73" t="n">
        <v>37.5</v>
      </c>
      <c r="E15" s="73" t="n">
        <v>351</v>
      </c>
      <c r="F15" s="65" t="inlineStr">
        <is>
          <t>5% of loan, minus defaults</t>
        </is>
      </c>
      <c r="G15" s="65" t="inlineStr">
        <is>
          <t>not advised: we carry defaults</t>
        </is>
      </c>
      <c r="H15" s="65" t="inlineStr">
        <is>
          <t>XL-02, XL-07, XL-10, XL-11, XL-49</t>
        </is>
      </c>
    </row>
    <row r="16">
      <c r="A16" s="65" t="inlineStr">
        <is>
          <t>Mobile recharge</t>
        </is>
      </c>
      <c r="B16" s="65" t="inlineStr">
        <is>
          <t>other</t>
        </is>
      </c>
      <c r="C16" s="73" t="n">
        <v>2.6</v>
      </c>
      <c r="D16" s="73" t="n">
        <v>13</v>
      </c>
      <c r="E16" s="73" t="n">
        <v>39</v>
      </c>
      <c r="F16" s="65" t="inlineStr">
        <is>
          <t>2% of recharge</t>
        </is>
      </c>
      <c r="G16" s="65" t="inlineStr">
        <is>
          <t>small; others do it free</t>
        </is>
      </c>
      <c r="H16" s="65" t="inlineStr">
        <is>
          <t>XO-25, XO-33</t>
        </is>
      </c>
    </row>
    <row r="17">
      <c r="A17" s="65" t="inlineStr">
        <is>
          <t>Bill payments</t>
        </is>
      </c>
      <c r="B17" s="65" t="inlineStr">
        <is>
          <t>other</t>
        </is>
      </c>
      <c r="C17" s="73" t="n">
        <v>1.2</v>
      </c>
      <c r="D17" s="73" t="n">
        <v>12</v>
      </c>
      <c r="E17" s="73" t="n">
        <v>54</v>
      </c>
      <c r="F17" s="65" t="inlineStr">
        <is>
          <t>Rs 2 per bill</t>
        </is>
      </c>
      <c r="G17" s="65" t="inlineStr">
        <is>
          <t>small</t>
        </is>
      </c>
      <c r="H17" s="65" t="inlineStr">
        <is>
          <t>XO-26</t>
        </is>
      </c>
    </row>
    <row r="18">
      <c r="A18" s="65" t="inlineStr">
        <is>
          <t>Term life (small cover)</t>
        </is>
      </c>
      <c r="B18" s="65" t="inlineStr">
        <is>
          <t>other</t>
        </is>
      </c>
      <c r="C18" s="73" t="n">
        <v>0.4</v>
      </c>
      <c r="D18" s="73" t="n">
        <v>7.5</v>
      </c>
      <c r="E18" s="73" t="n">
        <v>36</v>
      </c>
      <c r="F18" s="65" t="inlineStr">
        <is>
          <t>25% of year-1 premium</t>
        </is>
      </c>
      <c r="G18" s="65" t="inlineStr">
        <is>
          <t>small; caps proposed</t>
        </is>
      </c>
      <c r="H18" s="65" t="inlineStr">
        <is>
          <t>XO-20, XO-32</t>
        </is>
      </c>
    </row>
    <row r="19">
      <c r="A19" s="65" t="inlineStr">
        <is>
          <t>Accident or hospital-cash cover</t>
        </is>
      </c>
      <c r="B19" s="65" t="inlineStr">
        <is>
          <t>other</t>
        </is>
      </c>
      <c r="C19" s="73" t="n">
        <v>0.6</v>
      </c>
      <c r="D19" s="73" t="n">
        <v>7.2</v>
      </c>
      <c r="E19" s="73" t="n">
        <v>45</v>
      </c>
      <c r="F19" s="65" t="inlineStr">
        <is>
          <t>15% of premium</t>
        </is>
      </c>
      <c r="G19" s="65" t="inlineStr">
        <is>
          <t>small</t>
        </is>
      </c>
      <c r="H19" s="65" t="inlineStr">
        <is>
          <t>XO-19, XO-09, XO-10, XO-30, XO-35, XO-31</t>
        </is>
      </c>
    </row>
    <row r="20">
      <c r="A20" s="65" t="inlineStr">
        <is>
          <t>Two-wheeler insurance</t>
        </is>
      </c>
      <c r="B20" s="65" t="inlineStr">
        <is>
          <t>other</t>
        </is>
      </c>
      <c r="C20" s="73" t="n">
        <v>0.9</v>
      </c>
      <c r="D20" s="73" t="n">
        <v>7.1</v>
      </c>
      <c r="E20" s="73" t="n">
        <v>33.2</v>
      </c>
      <c r="F20" s="65" t="inlineStr">
        <is>
          <t>4.75% blended</t>
        </is>
      </c>
      <c r="G20" s="65" t="inlineStr">
        <is>
          <t>small</t>
        </is>
      </c>
      <c r="H20" s="65" t="inlineStr">
        <is>
          <t>XO-18, XO-21, XO-22</t>
        </is>
      </c>
    </row>
    <row r="21">
      <c r="A21" s="65" t="inlineStr">
        <is>
          <t>NPS / NPS Lite</t>
        </is>
      </c>
      <c r="B21" s="65" t="inlineStr">
        <is>
          <t>other</t>
        </is>
      </c>
      <c r="C21" s="73" t="n">
        <v>0.3</v>
      </c>
      <c r="D21" s="73" t="n">
        <v>6</v>
      </c>
      <c r="E21" s="73" t="n">
        <v>10</v>
      </c>
      <c r="F21" s="65" t="inlineStr">
        <is>
          <t>Rs 200 once</t>
        </is>
      </c>
      <c r="G21" s="65" t="inlineStr">
        <is>
          <t>small; money locked to 60</t>
        </is>
      </c>
      <c r="H21" s="65" t="inlineStr">
        <is>
          <t>XO-16, XO-17</t>
        </is>
      </c>
    </row>
    <row r="22">
      <c r="A22" s="65" t="inlineStr">
        <is>
          <t>Choti SIP incentive (Rs 250 SIP)</t>
        </is>
      </c>
      <c r="B22" s="65" t="inlineStr">
        <is>
          <t>other</t>
        </is>
      </c>
      <c r="C22" s="73" t="n">
        <v>1.7</v>
      </c>
      <c r="D22" s="73" t="n">
        <v>5.6</v>
      </c>
      <c r="E22" s="73" t="n">
        <v>18</v>
      </c>
      <c r="F22" s="65" t="inlineStr">
        <is>
          <t>Rs 500 once, after 24 months</t>
        </is>
      </c>
      <c r="G22" s="65" t="inlineStr">
        <is>
          <t>small; equity only</t>
        </is>
      </c>
      <c r="H22" s="65" t="inlineStr">
        <is>
          <t>XO-01..XO-04</t>
        </is>
      </c>
    </row>
    <row r="23">
      <c r="A23" s="65" t="inlineStr">
        <is>
          <t>Equity SIP trail</t>
        </is>
      </c>
      <c r="B23" s="65" t="inlineStr">
        <is>
          <t>other</t>
        </is>
      </c>
      <c r="C23" s="73" t="n">
        <v>0.4</v>
      </c>
      <c r="D23" s="73" t="n">
        <v>2.3</v>
      </c>
      <c r="E23" s="73" t="n">
        <v>10.8</v>
      </c>
      <c r="F23" s="65" t="inlineStr">
        <is>
          <t>0.75% of balance a year</t>
        </is>
      </c>
      <c r="G23" s="65" t="inlineStr">
        <is>
          <t>small</t>
        </is>
      </c>
      <c r="H23" s="65" t="inlineStr">
        <is>
          <t>XO-05..XO-08</t>
        </is>
      </c>
    </row>
    <row r="24">
      <c r="A24" s="65" t="inlineStr">
        <is>
          <t>Device insurance</t>
        </is>
      </c>
      <c r="B24" s="65" t="inlineStr">
        <is>
          <t>other</t>
        </is>
      </c>
      <c r="C24" s="73" t="n">
        <v>0.2</v>
      </c>
      <c r="D24" s="73" t="n">
        <v>2.3</v>
      </c>
      <c r="E24" s="73" t="n">
        <v>9.4</v>
      </c>
      <c r="F24" s="65" t="inlineStr">
        <is>
          <t>15% (no published rate)</t>
        </is>
      </c>
      <c r="G24" s="65" t="inlineStr">
        <is>
          <t>small</t>
        </is>
      </c>
      <c r="H24" s="65" t="inlineStr">
        <is>
          <t>XO-34, XO-19</t>
        </is>
      </c>
    </row>
    <row r="25">
      <c r="A25" s="65" t="inlineStr">
        <is>
          <t>PMJJBY / PMSBY</t>
        </is>
      </c>
      <c r="B25" s="65" t="inlineStr">
        <is>
          <t>other</t>
        </is>
      </c>
      <c r="C25" s="73" t="n">
        <v>0</v>
      </c>
      <c r="D25" s="73" t="n">
        <v>0</v>
      </c>
      <c r="E25" s="73" t="n">
        <v>1.5</v>
      </c>
      <c r="F25" s="65" t="inlineStr">
        <is>
          <t>Rs 30 once; Rs 0 online</t>
        </is>
      </c>
      <c r="G25" s="65" t="inlineStr">
        <is>
          <t>not reachable; offer free</t>
        </is>
      </c>
      <c r="H25" s="65" t="inlineStr">
        <is>
          <t>XO-12, XO-13, XO-23</t>
        </is>
      </c>
    </row>
    <row r="26">
      <c r="A26" s="65" t="inlineStr">
        <is>
          <t>Atal Pension Yojana</t>
        </is>
      </c>
      <c r="B26" s="65" t="inlineStr">
        <is>
          <t>other</t>
        </is>
      </c>
      <c r="C26" s="73" t="n">
        <v>0</v>
      </c>
      <c r="D26" s="73" t="n">
        <v>0</v>
      </c>
      <c r="E26" s="73" t="n">
        <v>2.5</v>
      </c>
      <c r="F26" s="65" t="inlineStr">
        <is>
          <t>paid to banks only</t>
        </is>
      </c>
      <c r="G26" s="65" t="inlineStr">
        <is>
          <t>not reachable</t>
        </is>
      </c>
      <c r="H26" s="65" t="inlineStr">
        <is>
          <t>XO-14, XO-15</t>
        </is>
      </c>
    </row>
    <row r="27">
      <c r="A27" s="65" t="inlineStr">
        <is>
          <t>Money transfer, account referral, e-Shram</t>
        </is>
      </c>
      <c r="B27" s="65" t="inlineStr">
        <is>
          <t>other</t>
        </is>
      </c>
      <c r="C27" s="73" t="n">
        <v>0</v>
      </c>
      <c r="D27" s="73" t="n">
        <v>0</v>
      </c>
      <c r="E27" s="73" t="n">
        <v>0</v>
      </c>
      <c r="F27" s="65" t="inlineStr">
        <is>
          <t>no data or nil</t>
        </is>
      </c>
      <c r="G27" s="65" t="inlineStr">
        <is>
          <t>not reachable</t>
        </is>
      </c>
      <c r="H27" s="65" t="inlineStr">
        <is>
          <t>XO-27, XO-28, XO-29</t>
        </is>
      </c>
    </row>
    <row r="28">
      <c r="A28" s="65" t="inlineStr">
        <is>
          <t>TOTAL loans</t>
        </is>
      </c>
      <c r="B28" s="65" t="inlineStr">
        <is>
          <t>loans</t>
        </is>
      </c>
      <c r="C28" s="73" t="n">
        <v>10.15</v>
      </c>
      <c r="D28" s="73" t="n">
        <v>115.2</v>
      </c>
      <c r="E28" s="73" t="n">
        <v>833</v>
      </c>
      <c r="F28" s="65" t="inlineStr"/>
      <c r="G28" s="65" t="inlineStr">
        <is>
          <t>sum of products; high = every product at its best at once (not plausible)</t>
        </is>
      </c>
      <c r="H28" s="65" t="inlineStr">
        <is>
          <t>XL-54, XO-39</t>
        </is>
      </c>
    </row>
    <row r="29">
      <c r="A29" s="65" t="inlineStr">
        <is>
          <t>TOTAL other</t>
        </is>
      </c>
      <c r="B29" s="65" t="inlineStr">
        <is>
          <t>other</t>
        </is>
      </c>
      <c r="C29" s="73" t="n">
        <v>8.300000000000001</v>
      </c>
      <c r="D29" s="73" t="n">
        <v>63</v>
      </c>
      <c r="E29" s="73" t="n">
        <v>259.4</v>
      </c>
      <c r="F29" s="65" t="inlineStr"/>
      <c r="G29" s="65" t="inlineStr">
        <is>
          <t>sum of products; high = every product at its best at once (not plausible)</t>
        </is>
      </c>
      <c r="H29" s="65" t="inlineStr">
        <is>
          <t>XL-54, XO-39</t>
        </is>
      </c>
    </row>
    <row r="30">
      <c r="A30" s="65" t="inlineStr">
        <is>
          <t>TOTAL all cross-sell</t>
        </is>
      </c>
      <c r="B30" s="65" t="inlineStr">
        <is>
          <t>all</t>
        </is>
      </c>
      <c r="C30" s="73" t="n">
        <v>18.45</v>
      </c>
      <c r="D30" s="73" t="n">
        <v>178.2</v>
      </c>
      <c r="E30" s="73" t="n">
        <v>1092.4</v>
      </c>
      <c r="F30" s="65" t="inlineStr"/>
      <c r="G30" s="65" t="inlineStr">
        <is>
          <t>vs gap of Rs 1,029 per active saver a year</t>
        </is>
      </c>
      <c r="H30" s="65" t="inlineStr"/>
    </row>
    <row r="32">
      <c r="A32" s="2" t="inlineStr">
        <is>
          <t>One customer, case by case (Rs per customer won)</t>
        </is>
      </c>
    </row>
    <row r="33">
      <c r="A33" s="64" t="inlineStr">
        <is>
          <t>case</t>
        </is>
      </c>
      <c r="B33" s="64" t="inlineStr">
        <is>
          <t>cac</t>
        </is>
      </c>
      <c r="C33" s="64" t="inlineStr">
        <is>
          <t>savings_pv</t>
        </is>
      </c>
      <c r="D33" s="64" t="inlineStr">
        <is>
          <t>cross_sell_pv</t>
        </is>
      </c>
      <c r="E33" s="64" t="inlineStr">
        <is>
          <t>serve_pv</t>
        </is>
      </c>
      <c r="F33" s="64" t="inlineStr">
        <is>
          <t>ltv60</t>
        </is>
      </c>
      <c r="G33" s="64" t="inlineStr">
        <is>
          <t>net60</t>
        </is>
      </c>
      <c r="H33" s="64" t="inlineStr">
        <is>
          <t>payback_month</t>
        </is>
      </c>
    </row>
    <row r="34">
      <c r="A34" s="65" t="inlineStr">
        <is>
          <t>plan_as_is</t>
        </is>
      </c>
      <c r="B34" s="71" t="n">
        <v>256.0819168576521</v>
      </c>
      <c r="C34" s="71" t="n">
        <v>66.33727109318095</v>
      </c>
      <c r="D34" s="71" t="n">
        <v>48.62836320092314</v>
      </c>
      <c r="E34" s="71" t="n">
        <v>418.9966255595162</v>
      </c>
      <c r="F34" s="71" t="n">
        <v>-304.0309912654121</v>
      </c>
      <c r="G34" s="71" t="n">
        <v>-560.1129081230642</v>
      </c>
      <c r="H34" s="65" t="inlineStr"/>
    </row>
    <row r="35">
      <c r="A35" s="65" t="inlineStr">
        <is>
          <t>evidence_savings_only</t>
        </is>
      </c>
      <c r="B35" s="71" t="n">
        <v>474.679702762321</v>
      </c>
      <c r="C35" s="71" t="n">
        <v>49.05952806676774</v>
      </c>
      <c r="D35" s="71" t="n">
        <v>0</v>
      </c>
      <c r="E35" s="71" t="n">
        <v>257.4411880197042</v>
      </c>
      <c r="F35" s="71" t="n">
        <v>-208.3816599529365</v>
      </c>
      <c r="G35" s="71" t="n">
        <v>-683.0613627152575</v>
      </c>
      <c r="H35" s="65" t="inlineStr"/>
    </row>
    <row r="36">
      <c r="A36" s="65" t="inlineStr">
        <is>
          <t>evidence_everything_mid</t>
        </is>
      </c>
      <c r="B36" s="71" t="n">
        <v>474.679702762321</v>
      </c>
      <c r="C36" s="71" t="n">
        <v>49.05952806676774</v>
      </c>
      <c r="D36" s="71" t="n">
        <v>113.3302390535458</v>
      </c>
      <c r="E36" s="71" t="n">
        <v>257.4411880197042</v>
      </c>
      <c r="F36" s="71" t="n">
        <v>-95.05142089939068</v>
      </c>
      <c r="G36" s="71" t="n">
        <v>-569.7311236617116</v>
      </c>
      <c r="H36" s="65" t="inlineStr"/>
    </row>
    <row r="37">
      <c r="A37" s="65" t="inlineStr">
        <is>
          <t>evidence_everything_best</t>
        </is>
      </c>
      <c r="B37" s="71" t="n">
        <v>474.679702762321</v>
      </c>
      <c r="C37" s="71" t="n">
        <v>49.05952806676774</v>
      </c>
      <c r="D37" s="71" t="n">
        <v>694.7359884517027</v>
      </c>
      <c r="E37" s="71" t="n">
        <v>257.4411880197042</v>
      </c>
      <c r="F37" s="71" t="n">
        <v>486.3543284987662</v>
      </c>
      <c r="G37" s="71" t="n">
        <v>11.67462573644525</v>
      </c>
      <c r="H37" s="65" t="n">
        <v>32</v>
      </c>
    </row>
    <row r="38">
      <c r="A38" s="65" t="inlineStr">
        <is>
          <t>plan_everything_mid</t>
        </is>
      </c>
      <c r="B38" s="71" t="n">
        <v>256.0819168576521</v>
      </c>
      <c r="C38" s="71" t="n">
        <v>66.33727109318095</v>
      </c>
      <c r="D38" s="71" t="n">
        <v>114.1114983921355</v>
      </c>
      <c r="E38" s="71" t="n">
        <v>418.9966255595162</v>
      </c>
      <c r="F38" s="71" t="n">
        <v>-238.5478560741997</v>
      </c>
      <c r="G38" s="71" t="n">
        <v>-494.6297729318518</v>
      </c>
      <c r="H38" s="65" t="inlineStr"/>
    </row>
    <row r="39">
      <c r="A39" s="65" t="inlineStr">
        <is>
          <t>evidence_model_lines</t>
        </is>
      </c>
      <c r="B39" s="71" t="n">
        <v>474.679702762321</v>
      </c>
      <c r="C39" s="71" t="n">
        <v>49.05952806676774</v>
      </c>
      <c r="D39" s="71" t="n">
        <v>12.38892540135598</v>
      </c>
      <c r="E39" s="71" t="n">
        <v>257.4411880197042</v>
      </c>
      <c r="F39" s="71" t="n">
        <v>-195.9927345515805</v>
      </c>
      <c r="G39" s="71" t="n">
        <v>-670.6724373139015</v>
      </c>
      <c r="H39" s="6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60" customWidth="1" min="6" max="6"/>
    <col width="30" customWidth="1" min="7" max="7"/>
  </cols>
  <sheetData>
    <row r="1">
      <c r="A1" s="1" t="inlineStr">
        <is>
          <t>The redesign: shopkeepers</t>
        </is>
      </c>
    </row>
    <row r="2">
      <c r="A2" s="28" t="inlineStr">
        <is>
          <t>model/redesign.py and redesign_deck.py: shopkeepers save into debt funds (no fee per debit); partner lenders make Rs 50k-2.5 lakh unsecured loans; we earn 1-3% minus clawback. Futures = Monte Carlo draws; 'pays back' = net value per customer won &gt; 0 within 5 years.</t>
        </is>
      </c>
    </row>
    <row r="4">
      <c r="A4" s="2" t="inlineStr">
        <is>
          <t>Inputs this version adds or changes</t>
        </is>
      </c>
    </row>
    <row r="5">
      <c r="A5" s="64" t="inlineStr">
        <is>
          <t>input</t>
        </is>
      </c>
      <c r="B5" s="64" t="inlineStr">
        <is>
          <t>dist</t>
        </is>
      </c>
      <c r="C5" s="64" t="inlineStr">
        <is>
          <t>low</t>
        </is>
      </c>
      <c r="D5" s="64" t="inlineStr">
        <is>
          <t>mode</t>
        </is>
      </c>
      <c r="E5" s="64" t="inlineStr">
        <is>
          <t>high</t>
        </is>
      </c>
      <c r="F5" s="64" t="inlineStr">
        <is>
          <t>basis</t>
        </is>
      </c>
      <c r="G5" s="64" t="inlineStr">
        <is>
          <t>evidence</t>
        </is>
      </c>
    </row>
    <row r="6">
      <c r="A6" s="65" t="inlineStr">
        <is>
          <t>wc_loans_year</t>
        </is>
      </c>
      <c r="B6" s="65" t="inlineStr">
        <is>
          <t>triangular</t>
        </is>
      </c>
      <c r="C6" s="65" t="n">
        <v>0.02</v>
      </c>
      <c r="D6" s="65" t="n">
        <v>0.08</v>
      </c>
      <c r="E6" s="65" t="n">
        <v>0.2</v>
      </c>
      <c r="F6" s="65" t="inlineStr">
        <is>
          <t>unsecured loans a year per active saver: ordinary fintech users ~3.6% take any product a year; riders 6% ever took a digital loan; Paytm's engaged device merchants at most ~20% a year; mode near the middle (geometric mean)</t>
        </is>
      </c>
      <c r="G6" s="65" t="inlineStr">
        <is>
          <t>XL-04, XL-37, TB-31, XB-06</t>
        </is>
      </c>
    </row>
    <row r="7">
      <c r="A7" s="65" t="inlineStr">
        <is>
          <t>wc_ticket</t>
        </is>
      </c>
      <c r="B7" s="65" t="inlineStr">
        <is>
          <t>triangular</t>
        </is>
      </c>
      <c r="C7" s="65" t="n">
        <v>50000</v>
      </c>
      <c r="D7" s="65" t="n">
        <v>150000</v>
      </c>
      <c r="E7" s="65" t="n">
        <v>250000</v>
      </c>
      <c r="F7" s="65" t="inlineStr">
        <is>
          <t>Rs per loan: Paytm merchant loans averaged ~Rs 2.05 lakh; Bachatt lends up to Rs 5 lakh; founder's idea up to Rs 2 lakh; smaller shops borrow less</t>
        </is>
      </c>
      <c r="G7" s="65" t="inlineStr">
        <is>
          <t>XB-08, XB-10, founder</t>
        </is>
      </c>
    </row>
    <row r="8">
      <c r="A8" s="65" t="inlineStr">
        <is>
          <t>wc_fee</t>
        </is>
      </c>
      <c r="B8" s="65" t="inlineStr">
        <is>
          <t>triangular</t>
        </is>
      </c>
      <c r="C8" s="65" t="n">
        <v>0.01</v>
      </c>
      <c r="D8" s="65" t="n">
        <v>0.02</v>
      </c>
      <c r="E8" s="65" t="n">
        <v>0.03</v>
      </c>
      <c r="F8" s="65" t="inlineStr">
        <is>
          <t>referral fee as a share of the loan: lead-based sourcing pays 1-3%; Paisabazaar earns at most 4.6% incl. cards</t>
        </is>
      </c>
      <c r="G8" s="65" t="inlineStr">
        <is>
          <t>XL-13, XL-41, XL-42, XL-45, XL-09</t>
        </is>
      </c>
    </row>
    <row r="9">
      <c r="A9" s="65" t="inlineStr">
        <is>
          <t>wc_clawback</t>
        </is>
      </c>
      <c r="B9" s="65" t="inlineStr">
        <is>
          <t>triangular</t>
        </is>
      </c>
      <c r="C9" s="65" t="n">
        <v>0</v>
      </c>
      <c r="D9" s="65" t="n">
        <v>0.025</v>
      </c>
      <c r="E9" s="65" t="n">
        <v>0.05</v>
      </c>
      <c r="F9" s="65" t="inlineStr">
        <is>
          <t>share of fees clawed back on early defaults: merchant-loan ECL 4.5-5% (lenders' books)</t>
        </is>
      </c>
      <c r="G9" s="65" t="inlineStr">
        <is>
          <t>XB-07, XL-13, XL-21, XL-47</t>
        </is>
      </c>
    </row>
    <row r="10">
      <c r="A10" s="65" t="inlineStr">
        <is>
          <t>fund_trail</t>
        </is>
      </c>
      <c r="B10" s="65" t="inlineStr">
        <is>
          <t>triangular</t>
        </is>
      </c>
      <c r="C10" s="65" t="n">
        <v>0.002</v>
      </c>
      <c r="D10" s="65" t="n">
        <v>0.003</v>
      </c>
      <c r="E10" s="65" t="n">
        <v>0.005</v>
      </c>
      <c r="F10" s="65" t="inlineStr">
        <is>
          <t>distributor trail on debt funds, regular minus direct plan</t>
        </is>
      </c>
      <c r="G10" s="65" t="inlineStr">
        <is>
          <t>XB-04</t>
        </is>
      </c>
    </row>
    <row r="11">
      <c r="A11" s="65" t="inlineStr">
        <is>
          <t>incentive_share</t>
        </is>
      </c>
      <c r="B11" s="65" t="inlineStr">
        <is>
          <t>uniform</t>
        </is>
      </c>
      <c r="C11" s="65" t="n">
        <v>0</v>
      </c>
      <c r="D11" s="65" t="n">
        <v>0.25</v>
      </c>
      <c r="E11" s="65" t="n">
        <v>0.5</v>
      </c>
      <c r="F11" s="65" t="inlineStr">
        <is>
          <t>share of savers who are new B30 or women investors in eligible (non-liquid, non-low-duration) funds</t>
        </is>
      </c>
      <c r="G11" s="65" t="inlineStr">
        <is>
          <t>XB-05</t>
        </is>
      </c>
    </row>
    <row r="12">
      <c r="A12" s="65" t="inlineStr">
        <is>
          <t>xs_other</t>
        </is>
      </c>
      <c r="B12" s="65" t="inlineStr">
        <is>
          <t>lognormal</t>
        </is>
      </c>
      <c r="C12" s="65" t="n">
        <v>14</v>
      </c>
      <c r="D12" s="65" t="n">
        <v>105.9623</v>
      </c>
      <c r="E12" s="65" t="n">
        <v>802</v>
      </c>
      <c r="F12" s="65" t="inlineStr">
        <is>
          <t>everything else per active saver a year (insurance, funds, pension, bills, recharge, gold/home/vehicle/phone loans, FD card): the cross-sell map without personal and business loans; P5 = all low, P95 = all at their best</t>
        </is>
      </c>
      <c r="G12" s="65" t="inlineStr">
        <is>
          <t>crosssell_map.csv</t>
        </is>
      </c>
    </row>
    <row r="14">
      <c r="A14" s="2" t="inlineStr">
        <is>
          <t>Each step: share of futures that pay back</t>
        </is>
      </c>
    </row>
    <row r="15">
      <c r="A15" s="64" t="inlineStr">
        <is>
          <t>case</t>
        </is>
      </c>
      <c r="B15" s="64" t="inlineStr">
        <is>
          <t>p_net_pos</t>
        </is>
      </c>
      <c r="C15" s="64" t="inlineStr">
        <is>
          <t>net_p50</t>
        </is>
      </c>
      <c r="D15" s="64" t="inlineStr">
        <is>
          <t>p_payback_le_36</t>
        </is>
      </c>
    </row>
    <row r="16">
      <c r="A16" s="65" t="inlineStr">
        <is>
          <t>loans only while saving</t>
        </is>
      </c>
      <c r="B16" s="66" t="n">
        <v>0.13175</v>
      </c>
      <c r="C16" s="71" t="n">
        <v>-350.8725021979878</v>
      </c>
      <c r="D16" s="66" t="n">
        <v>0.1375</v>
      </c>
    </row>
    <row r="17">
      <c r="A17" s="65" t="inlineStr">
        <is>
          <t>proven savers keep borrowing</t>
        </is>
      </c>
      <c r="B17" s="66" t="n">
        <v>0.202</v>
      </c>
      <c r="C17" s="71" t="n">
        <v>-277.8910843395501</v>
      </c>
      <c r="D17" s="66" t="n">
        <v>0.20425</v>
      </c>
    </row>
    <row r="18">
      <c r="A18" s="65" t="inlineStr">
        <is>
          <t>proven savers keep borrowing, take-up 20%</t>
        </is>
      </c>
      <c r="B18" s="66" t="n">
        <v>0.428</v>
      </c>
      <c r="C18" s="71" t="n">
        <v>-69.07178506150564</v>
      </c>
      <c r="D18" s="66" t="n">
        <v>0.4345</v>
      </c>
    </row>
    <row r="19">
      <c r="A19" s="65" t="inlineStr">
        <is>
          <t>proven savers keep borrowing, cost to win at most Rs 250</t>
        </is>
      </c>
      <c r="B19" s="66" t="n">
        <v>0.442</v>
      </c>
      <c r="C19" s="71" t="n">
        <v>-30.01405517485694</v>
      </c>
      <c r="D19" s="66" t="n">
        <v>0.44575</v>
      </c>
    </row>
    <row r="20">
      <c r="A20" s="65" t="inlineStr">
        <is>
          <t>proven savers keep borrowing, take-up 20%, cost to win at most Rs 250</t>
        </is>
      </c>
      <c r="B20" s="66" t="n">
        <v>0.8129999999999999</v>
      </c>
      <c r="C20" s="71" t="n">
        <v>196.6243290454213</v>
      </c>
      <c r="D20" s="66" t="n">
        <v>0.8225</v>
      </c>
    </row>
    <row r="22">
      <c r="A22" s="2" t="inlineStr">
        <is>
          <t>Grid: fixed cost to win x fixed loans a year per proven saver</t>
        </is>
      </c>
    </row>
    <row r="23">
      <c r="A23" s="64" t="inlineStr">
        <is>
          <t>cac</t>
        </is>
      </c>
      <c r="B23" s="64" t="inlineStr">
        <is>
          <t>loans_year</t>
        </is>
      </c>
      <c r="C23" s="64" t="inlineStr">
        <is>
          <t>p_net_pos</t>
        </is>
      </c>
      <c r="D23" s="64" t="inlineStr">
        <is>
          <t>net_p50</t>
        </is>
      </c>
    </row>
    <row r="24">
      <c r="A24" s="71" t="n">
        <v>150</v>
      </c>
      <c r="B24" s="72" t="n">
        <v>0.05</v>
      </c>
      <c r="C24" s="66" t="n">
        <v>0.362</v>
      </c>
      <c r="D24" s="71" t="n">
        <v>-44.1923126705122</v>
      </c>
    </row>
    <row r="25">
      <c r="A25" s="71" t="n">
        <v>150</v>
      </c>
      <c r="B25" s="72" t="n">
        <v>0.1</v>
      </c>
      <c r="C25" s="66" t="n">
        <v>0.6805</v>
      </c>
      <c r="D25" s="71" t="n">
        <v>67.21826911103639</v>
      </c>
    </row>
    <row r="26">
      <c r="A26" s="71" t="n">
        <v>150</v>
      </c>
      <c r="B26" s="72" t="n">
        <v>0.2</v>
      </c>
      <c r="C26" s="66" t="n">
        <v>0.9330000000000001</v>
      </c>
      <c r="D26" s="71" t="n">
        <v>279.7402781640361</v>
      </c>
    </row>
    <row r="27">
      <c r="A27" s="71" t="n">
        <v>150</v>
      </c>
      <c r="B27" s="72" t="n">
        <v>0.3</v>
      </c>
      <c r="C27" s="66" t="n">
        <v>0.987</v>
      </c>
      <c r="D27" s="71" t="n">
        <v>493.2464951534089</v>
      </c>
    </row>
    <row r="28">
      <c r="A28" s="71" t="n">
        <v>250</v>
      </c>
      <c r="B28" s="72" t="n">
        <v>0.05</v>
      </c>
      <c r="C28" s="66" t="n">
        <v>0.1975</v>
      </c>
      <c r="D28" s="71" t="n">
        <v>-144.1923126705123</v>
      </c>
    </row>
    <row r="29">
      <c r="A29" s="71" t="n">
        <v>250</v>
      </c>
      <c r="B29" s="72" t="n">
        <v>0.1</v>
      </c>
      <c r="C29" s="66" t="n">
        <v>0.4195</v>
      </c>
      <c r="D29" s="71" t="n">
        <v>-32.78173088896364</v>
      </c>
    </row>
    <row r="30">
      <c r="A30" s="71" t="n">
        <v>250</v>
      </c>
      <c r="B30" s="72" t="n">
        <v>0.2</v>
      </c>
      <c r="C30" s="66" t="n">
        <v>0.802</v>
      </c>
      <c r="D30" s="71" t="n">
        <v>179.7402781640361</v>
      </c>
    </row>
    <row r="31">
      <c r="A31" s="71" t="n">
        <v>250</v>
      </c>
      <c r="B31" s="72" t="n">
        <v>0.3</v>
      </c>
      <c r="C31" s="66" t="n">
        <v>0.9285</v>
      </c>
      <c r="D31" s="71" t="n">
        <v>393.2464951534089</v>
      </c>
    </row>
    <row r="32">
      <c r="A32" s="71" t="n">
        <v>400</v>
      </c>
      <c r="B32" s="72" t="n">
        <v>0.05</v>
      </c>
      <c r="C32" s="66" t="n">
        <v>0.0965</v>
      </c>
      <c r="D32" s="71" t="n">
        <v>-294.1923126705122</v>
      </c>
    </row>
    <row r="33">
      <c r="A33" s="71" t="n">
        <v>400</v>
      </c>
      <c r="B33" s="72" t="n">
        <v>0.1</v>
      </c>
      <c r="C33" s="66" t="n">
        <v>0.187</v>
      </c>
      <c r="D33" s="71" t="n">
        <v>-182.7817308889636</v>
      </c>
    </row>
    <row r="34">
      <c r="A34" s="71" t="n">
        <v>400</v>
      </c>
      <c r="B34" s="72" t="n">
        <v>0.2</v>
      </c>
      <c r="C34" s="66" t="n">
        <v>0.5555</v>
      </c>
      <c r="D34" s="71" t="n">
        <v>29.74027816403611</v>
      </c>
    </row>
    <row r="35">
      <c r="A35" s="71" t="n">
        <v>400</v>
      </c>
      <c r="B35" s="72" t="n">
        <v>0.3</v>
      </c>
      <c r="C35" s="66" t="n">
        <v>0.791</v>
      </c>
      <c r="D35" s="71" t="n">
        <v>243.2464951534089</v>
      </c>
    </row>
    <row r="36">
      <c r="A36" s="71" t="n">
        <v>500</v>
      </c>
      <c r="B36" s="72" t="n">
        <v>0.05</v>
      </c>
      <c r="C36" s="66" t="n">
        <v>0.0665</v>
      </c>
      <c r="D36" s="71" t="n">
        <v>-394.1923126705122</v>
      </c>
    </row>
    <row r="37">
      <c r="A37" s="71" t="n">
        <v>500</v>
      </c>
      <c r="B37" s="72" t="n">
        <v>0.1</v>
      </c>
      <c r="C37" s="66" t="n">
        <v>0.12</v>
      </c>
      <c r="D37" s="71" t="n">
        <v>-282.7817308889636</v>
      </c>
    </row>
    <row r="38">
      <c r="A38" s="71" t="n">
        <v>500</v>
      </c>
      <c r="B38" s="72" t="n">
        <v>0.2</v>
      </c>
      <c r="C38" s="66" t="n">
        <v>0.399</v>
      </c>
      <c r="D38" s="71" t="n">
        <v>-70.25972183596389</v>
      </c>
    </row>
    <row r="39">
      <c r="A39" s="71" t="n">
        <v>500</v>
      </c>
      <c r="B39" s="72" t="n">
        <v>0.3</v>
      </c>
      <c r="C39" s="66" t="n">
        <v>0.6765</v>
      </c>
      <c r="D39" s="71" t="n">
        <v>143.2464951534089</v>
      </c>
    </row>
    <row r="41">
      <c r="A41" s="2" t="inlineStr">
        <is>
          <t>Target case and today's evidence (Rs per customer won, 5 years discounted)</t>
        </is>
      </c>
    </row>
    <row r="42">
      <c r="A42" s="64" t="inlineStr">
        <is>
          <t>item</t>
        </is>
      </c>
      <c r="B42" s="64" t="inlineStr">
        <is>
          <t>value</t>
        </is>
      </c>
    </row>
    <row r="43">
      <c r="A43" s="65" t="inlineStr">
        <is>
          <t>target_cac</t>
        </is>
      </c>
      <c r="B43" s="69" t="n">
        <v>250</v>
      </c>
    </row>
    <row r="44">
      <c r="A44" s="65" t="inlineStr">
        <is>
          <t>target_savings</t>
        </is>
      </c>
      <c r="B44" s="69" t="n">
        <v>30.6218732855278</v>
      </c>
    </row>
    <row r="45">
      <c r="A45" s="65" t="inlineStr">
        <is>
          <t>target_loans</t>
        </is>
      </c>
      <c r="B45" s="69" t="n">
        <v>436.6018825086163</v>
      </c>
    </row>
    <row r="46">
      <c r="A46" s="65" t="inlineStr">
        <is>
          <t>target_other</t>
        </is>
      </c>
      <c r="B46" s="69" t="n">
        <v>73.67253145689155</v>
      </c>
    </row>
    <row r="47">
      <c r="A47" s="65" t="inlineStr">
        <is>
          <t>target_serve</t>
        </is>
      </c>
      <c r="B47" s="69" t="n">
        <v>111.1528158455441</v>
      </c>
    </row>
    <row r="48">
      <c r="A48" s="65" t="inlineStr">
        <is>
          <t>target_net</t>
        </is>
      </c>
      <c r="B48" s="69" t="n">
        <v>179.7434714054916</v>
      </c>
    </row>
    <row r="49">
      <c r="A49" s="65" t="inlineStr">
        <is>
          <t>target_payback</t>
        </is>
      </c>
      <c r="B49" s="69" t="n">
        <v>21</v>
      </c>
    </row>
    <row r="50">
      <c r="A50" s="65" t="inlineStr">
        <is>
          <t>target_loans_per_customer</t>
        </is>
      </c>
      <c r="B50" s="69" t="n">
        <v>0.2332133711881714</v>
      </c>
    </row>
    <row r="51">
      <c r="A51" s="65" t="inlineStr">
        <is>
          <t>one_loan</t>
        </is>
      </c>
      <c r="B51" s="69" t="n">
        <v>2818.509258730098</v>
      </c>
    </row>
    <row r="52">
      <c r="A52" s="65" t="inlineStr">
        <is>
          <t>loan_ticket_mid</t>
        </is>
      </c>
      <c r="B52" s="69" t="n">
        <v>150000</v>
      </c>
    </row>
    <row r="53">
      <c r="A53" s="65" t="inlineStr">
        <is>
          <t>loan_fee_mid</t>
        </is>
      </c>
      <c r="B53" s="69" t="n">
        <v>0.02</v>
      </c>
    </row>
    <row r="54">
      <c r="A54" s="65" t="inlineStr">
        <is>
          <t>stayer_trail_5y</t>
        </is>
      </c>
      <c r="B54" s="69" t="n">
        <v>207.5741485652553</v>
      </c>
    </row>
    <row r="55">
      <c r="A55" s="65" t="inlineStr">
        <is>
          <t>target_takeup</t>
        </is>
      </c>
      <c r="B55" s="69" t="n">
        <v>0.2</v>
      </c>
    </row>
    <row r="57">
      <c r="A57" s="2" t="inlineStr">
        <is>
          <t>Drivers of the outcome (rank regression)</t>
        </is>
      </c>
    </row>
    <row r="58">
      <c r="A58" s="64" t="inlineStr">
        <is>
          <t>input</t>
        </is>
      </c>
      <c r="B58" s="64" t="inlineStr">
        <is>
          <t>variance_share</t>
        </is>
      </c>
    </row>
    <row r="59">
      <c r="A59" s="65" t="inlineStr">
        <is>
          <t>cac_target@ng</t>
        </is>
      </c>
      <c r="B59" s="66" t="n">
        <v>0.7749979847792751</v>
      </c>
    </row>
    <row r="60">
      <c r="A60" s="65" t="inlineStr">
        <is>
          <t>xs_other</t>
        </is>
      </c>
      <c r="B60" s="66" t="n">
        <v>0.1427179129196319</v>
      </c>
    </row>
    <row r="61">
      <c r="A61" s="65" t="inlineStr">
        <is>
          <t>wc_loans_year</t>
        </is>
      </c>
      <c r="B61" s="66" t="n">
        <v>0.02302571583943583</v>
      </c>
    </row>
    <row r="62">
      <c r="A62" s="65" t="inlineStr">
        <is>
          <t>ret_m12@ng</t>
        </is>
      </c>
      <c r="B62" s="66" t="n">
        <v>0.02269820960148212</v>
      </c>
    </row>
    <row r="63">
      <c r="A63" s="65" t="inlineStr">
        <is>
          <t>wc_ticket</t>
        </is>
      </c>
      <c r="B63" s="66" t="n">
        <v>0.01274641327508975</v>
      </c>
    </row>
    <row r="64">
      <c r="A64" s="65" t="inlineStr">
        <is>
          <t>cost_support</t>
        </is>
      </c>
      <c r="B64" s="66" t="n">
        <v>0.009390728620347661</v>
      </c>
    </row>
    <row r="65">
      <c r="A65" s="65" t="inlineStr">
        <is>
          <t>wc_fee</t>
        </is>
      </c>
      <c r="B65" s="66" t="n">
        <v>0.00748610641017039</v>
      </c>
    </row>
    <row r="66">
      <c r="A66" s="65" t="inlineStr">
        <is>
          <t>cost_tech</t>
        </is>
      </c>
      <c r="B66" s="66" t="n">
        <v>0.001793603777485787</v>
      </c>
    </row>
    <row r="67">
      <c r="A67" s="65" t="inlineStr">
        <is>
          <t>daily_amount@ng</t>
        </is>
      </c>
      <c r="B67" s="66" t="n">
        <v>0.001530932438374277</v>
      </c>
    </row>
    <row r="68">
      <c r="A68" s="65" t="inlineStr">
        <is>
          <t>ret_m24_ratio</t>
        </is>
      </c>
      <c r="B68" s="66" t="n">
        <v>0.0006915521764175148</v>
      </c>
    </row>
    <row r="69">
      <c r="A69" s="65" t="inlineStr">
        <is>
          <t>cost_rewards</t>
        </is>
      </c>
      <c r="B69" s="66" t="n">
        <v>0.0005259791330267349</v>
      </c>
    </row>
    <row r="70">
      <c r="A70" s="65" t="inlineStr">
        <is>
          <t>incentive_share</t>
        </is>
      </c>
      <c r="B70" s="66" t="n">
        <v>0.0003969381024058431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60" customWidth="1" min="6" max="6"/>
    <col width="30" customWidth="1" min="7" max="7"/>
  </cols>
  <sheetData>
    <row r="1">
      <c r="A1" s="1" t="inlineStr">
        <is>
          <t>The redesign: salaried</t>
        </is>
      </c>
    </row>
    <row r="2">
      <c r="A2" s="28" t="inlineStr">
        <is>
          <t>model/redesign_salaried.py: salaried workers save from pay via employers; retention from staffing exits and tenure; loans Rs 50k-2.5 lakh; account moves with the worker unless stated. Futures = Monte Carlo draws; 'pays back' = net value per customer won &gt; 0 within 5 years.</t>
        </is>
      </c>
    </row>
    <row r="4">
      <c r="A4" s="2" t="inlineStr">
        <is>
          <t>Inputs this version adds or changes</t>
        </is>
      </c>
    </row>
    <row r="5">
      <c r="A5" s="64" t="inlineStr">
        <is>
          <t>input</t>
        </is>
      </c>
      <c r="B5" s="64" t="inlineStr">
        <is>
          <t>dist</t>
        </is>
      </c>
      <c r="C5" s="64" t="inlineStr">
        <is>
          <t>low</t>
        </is>
      </c>
      <c r="D5" s="64" t="inlineStr">
        <is>
          <t>mode</t>
        </is>
      </c>
      <c r="E5" s="64" t="inlineStr">
        <is>
          <t>high</t>
        </is>
      </c>
      <c r="F5" s="64" t="inlineStr">
        <is>
          <t>basis</t>
        </is>
      </c>
      <c r="G5" s="64" t="inlineStr">
        <is>
          <t>evidence</t>
        </is>
      </c>
    </row>
    <row r="6">
      <c r="A6" s="65" t="inlineStr">
        <is>
          <t>ret_m12_salaried</t>
        </is>
      </c>
      <c r="B6" s="65" t="inlineStr">
        <is>
          <t>beta</t>
        </is>
      </c>
      <c r="C6" s="65" t="n">
        <v>0.249041740482052</v>
      </c>
      <c r="D6" s="65" t="n">
        <v>0.4007782101167315</v>
      </c>
      <c r="E6" s="65" t="n">
        <v>0.5614685758968576</v>
      </c>
      <c r="F6" s="65" t="inlineStr">
        <is>
          <t>still saving at month 12: staffing exits ~21%/quarter (0.39 a year); average blue-collar tenure 21 months (~0.56)</t>
        </is>
      </c>
      <c r="G6" s="65" t="inlineStr">
        <is>
          <t>SG-06, SG-07</t>
        </is>
      </c>
    </row>
    <row r="7">
      <c r="A7" s="65" t="inlineStr">
        <is>
          <t>wc_ticket_salaried</t>
        </is>
      </c>
      <c r="B7" s="65" t="inlineStr">
        <is>
          <t>triangular</t>
        </is>
      </c>
      <c r="C7" s="65" t="n">
        <v>50000</v>
      </c>
      <c r="D7" s="65" t="n">
        <v>150000</v>
      </c>
      <c r="E7" s="65" t="n">
        <v>250000</v>
      </c>
      <c r="F7" s="65" t="inlineStr">
        <is>
          <t>Rs 18-26k pay carries Rs 1.7-2.5 lakh under the 50% rule; actual salary advances Rs 5-20k</t>
        </is>
      </c>
      <c r="G7" s="65" t="inlineStr">
        <is>
          <t>SG-22, SG-14, SG-40</t>
        </is>
      </c>
    </row>
    <row r="9">
      <c r="A9" s="2" t="inlineStr">
        <is>
          <t>Each step: share of futures that pay back</t>
        </is>
      </c>
    </row>
    <row r="10">
      <c r="A10" s="64" t="inlineStr">
        <is>
          <t>case</t>
        </is>
      </c>
      <c r="B10" s="64" t="inlineStr">
        <is>
          <t>p_net_pos</t>
        </is>
      </c>
      <c r="C10" s="64" t="inlineStr">
        <is>
          <t>net_p50</t>
        </is>
      </c>
      <c r="D10" s="64" t="inlineStr">
        <is>
          <t>p_payback_le_36</t>
        </is>
      </c>
    </row>
    <row r="11">
      <c r="A11" s="65" t="inlineStr">
        <is>
          <t>loans stop when they change jobs</t>
        </is>
      </c>
      <c r="B11" s="66" t="n">
        <v>0.20775</v>
      </c>
      <c r="C11" s="71" t="n">
        <v>-280.0107617164138</v>
      </c>
      <c r="D11" s="66" t="n">
        <v>0.21775</v>
      </c>
    </row>
    <row r="12">
      <c r="A12" s="65" t="inlineStr">
        <is>
          <t>account moves with the worker</t>
        </is>
      </c>
      <c r="B12" s="66" t="n">
        <v>0.286</v>
      </c>
      <c r="C12" s="71" t="n">
        <v>-203.785959810686</v>
      </c>
      <c r="D12" s="66" t="n">
        <v>0.2915</v>
      </c>
    </row>
    <row r="13">
      <c r="A13" s="65" t="inlineStr">
        <is>
          <t>account moves, 1 in 5 borrow a year</t>
        </is>
      </c>
      <c r="B13" s="66" t="n">
        <v>0.593</v>
      </c>
      <c r="C13" s="71" t="n">
        <v>89.19739868219085</v>
      </c>
      <c r="D13" s="66" t="n">
        <v>0.60125</v>
      </c>
    </row>
    <row r="14">
      <c r="A14" s="65" t="inlineStr">
        <is>
          <t>account moves, win via employer for Rs 250</t>
        </is>
      </c>
      <c r="B14" s="66" t="n">
        <v>0.59</v>
      </c>
      <c r="C14" s="71" t="n">
        <v>57.36403373308721</v>
      </c>
      <c r="D14" s="66" t="n">
        <v>0.5922500000000001</v>
      </c>
    </row>
    <row r="15">
      <c r="A15" s="65" t="inlineStr">
        <is>
          <t>account moves, 1 in 5 borrow, win for Rs 250</t>
        </is>
      </c>
      <c r="B15" s="66" t="n">
        <v>0.93375</v>
      </c>
      <c r="C15" s="71" t="n">
        <v>368.1272486715249</v>
      </c>
      <c r="D15" s="66" t="n">
        <v>0.9345</v>
      </c>
    </row>
    <row r="17">
      <c r="A17" s="2" t="inlineStr">
        <is>
          <t>Grid: fixed cost to win x fixed loans a year per proven saver</t>
        </is>
      </c>
    </row>
    <row r="18">
      <c r="A18" s="64" t="inlineStr">
        <is>
          <t>cac</t>
        </is>
      </c>
      <c r="B18" s="64" t="inlineStr">
        <is>
          <t>loans_year</t>
        </is>
      </c>
      <c r="C18" s="64" t="inlineStr">
        <is>
          <t>p_net_pos</t>
        </is>
      </c>
      <c r="D18" s="64" t="inlineStr">
        <is>
          <t>net_p50</t>
        </is>
      </c>
    </row>
    <row r="19">
      <c r="A19" s="71" t="n">
        <v>100</v>
      </c>
      <c r="B19" s="72" t="n">
        <v>0.05</v>
      </c>
      <c r="C19" s="66" t="n">
        <v>0.618</v>
      </c>
      <c r="D19" s="71" t="n">
        <v>43.60310928276333</v>
      </c>
    </row>
    <row r="20">
      <c r="A20" s="71" t="n">
        <v>100</v>
      </c>
      <c r="B20" s="72" t="n">
        <v>0.1</v>
      </c>
      <c r="C20" s="66" t="n">
        <v>0.889</v>
      </c>
      <c r="D20" s="71" t="n">
        <v>202.178314359359</v>
      </c>
    </row>
    <row r="21">
      <c r="A21" s="71" t="n">
        <v>100</v>
      </c>
      <c r="B21" s="72" t="n">
        <v>0.2</v>
      </c>
      <c r="C21" s="66" t="n">
        <v>0.989</v>
      </c>
      <c r="D21" s="71" t="n">
        <v>508.5970221402863</v>
      </c>
    </row>
    <row r="22">
      <c r="A22" s="71" t="n">
        <v>100</v>
      </c>
      <c r="B22" s="72" t="n">
        <v>0.3</v>
      </c>
      <c r="C22" s="66" t="n">
        <v>0.9985000000000001</v>
      </c>
      <c r="D22" s="71" t="n">
        <v>798.085991147108</v>
      </c>
    </row>
    <row r="23">
      <c r="A23" s="71" t="n">
        <v>250</v>
      </c>
      <c r="B23" s="72" t="n">
        <v>0.05</v>
      </c>
      <c r="C23" s="66" t="n">
        <v>0.286</v>
      </c>
      <c r="D23" s="71" t="n">
        <v>-106.3968907172367</v>
      </c>
    </row>
    <row r="24">
      <c r="A24" s="71" t="n">
        <v>250</v>
      </c>
      <c r="B24" s="72" t="n">
        <v>0.1</v>
      </c>
      <c r="C24" s="66" t="n">
        <v>0.6135</v>
      </c>
      <c r="D24" s="71" t="n">
        <v>52.17831435935892</v>
      </c>
    </row>
    <row r="25">
      <c r="A25" s="71" t="n">
        <v>250</v>
      </c>
      <c r="B25" s="72" t="n">
        <v>0.2</v>
      </c>
      <c r="C25" s="66" t="n">
        <v>0.926</v>
      </c>
      <c r="D25" s="71" t="n">
        <v>358.5970221402863</v>
      </c>
    </row>
    <row r="26">
      <c r="A26" s="71" t="n">
        <v>250</v>
      </c>
      <c r="B26" s="72" t="n">
        <v>0.3</v>
      </c>
      <c r="C26" s="66" t="n">
        <v>0.9795</v>
      </c>
      <c r="D26" s="71" t="n">
        <v>648.085991147108</v>
      </c>
    </row>
    <row r="27">
      <c r="A27" s="71" t="n">
        <v>400</v>
      </c>
      <c r="B27" s="72" t="n">
        <v>0.05</v>
      </c>
      <c r="C27" s="66" t="n">
        <v>0.1655</v>
      </c>
      <c r="D27" s="71" t="n">
        <v>-256.3968907172367</v>
      </c>
    </row>
    <row r="28">
      <c r="A28" s="71" t="n">
        <v>400</v>
      </c>
      <c r="B28" s="72" t="n">
        <v>0.1</v>
      </c>
      <c r="C28" s="66" t="n">
        <v>0.3315</v>
      </c>
      <c r="D28" s="71" t="n">
        <v>-97.82168564064105</v>
      </c>
    </row>
    <row r="29">
      <c r="A29" s="71" t="n">
        <v>400</v>
      </c>
      <c r="B29" s="72" t="n">
        <v>0.2</v>
      </c>
      <c r="C29" s="66" t="n">
        <v>0.7675</v>
      </c>
      <c r="D29" s="71" t="n">
        <v>208.5970221402863</v>
      </c>
    </row>
    <row r="30">
      <c r="A30" s="71" t="n">
        <v>400</v>
      </c>
      <c r="B30" s="72" t="n">
        <v>0.3</v>
      </c>
      <c r="C30" s="66" t="n">
        <v>0.9320000000000001</v>
      </c>
      <c r="D30" s="71" t="n">
        <v>498.0859911471079</v>
      </c>
    </row>
    <row r="31">
      <c r="A31" s="71" t="n">
        <v>500</v>
      </c>
      <c r="B31" s="72" t="n">
        <v>0.05</v>
      </c>
      <c r="C31" s="66" t="n">
        <v>0.1145</v>
      </c>
      <c r="D31" s="71" t="n">
        <v>-356.3968907172367</v>
      </c>
    </row>
    <row r="32">
      <c r="A32" s="71" t="n">
        <v>500</v>
      </c>
      <c r="B32" s="72" t="n">
        <v>0.1</v>
      </c>
      <c r="C32" s="66" t="n">
        <v>0.222</v>
      </c>
      <c r="D32" s="71" t="n">
        <v>-197.821685640641</v>
      </c>
    </row>
    <row r="33">
      <c r="A33" s="71" t="n">
        <v>500</v>
      </c>
      <c r="B33" s="72" t="n">
        <v>0.2</v>
      </c>
      <c r="C33" s="66" t="n">
        <v>0.6375</v>
      </c>
      <c r="D33" s="71" t="n">
        <v>108.5970221402863</v>
      </c>
    </row>
    <row r="34">
      <c r="A34" s="71" t="n">
        <v>500</v>
      </c>
      <c r="B34" s="72" t="n">
        <v>0.3</v>
      </c>
      <c r="C34" s="66" t="n">
        <v>0.874</v>
      </c>
      <c r="D34" s="71" t="n">
        <v>398.0859911471079</v>
      </c>
    </row>
    <row r="36">
      <c r="A36" s="2" t="inlineStr">
        <is>
          <t>Target case and today's evidence (Rs per customer won, 5 years discounted)</t>
        </is>
      </c>
    </row>
    <row r="37">
      <c r="A37" s="64" t="inlineStr">
        <is>
          <t>item</t>
        </is>
      </c>
      <c r="B37" s="64" t="inlineStr">
        <is>
          <t>value</t>
        </is>
      </c>
    </row>
    <row r="38">
      <c r="A38" s="65" t="inlineStr">
        <is>
          <t>target_cac</t>
        </is>
      </c>
      <c r="B38" s="69" t="n">
        <v>250</v>
      </c>
    </row>
    <row r="39">
      <c r="A39" s="65" t="inlineStr">
        <is>
          <t>target_savings</t>
        </is>
      </c>
      <c r="B39" s="69" t="n">
        <v>44.23914204997723</v>
      </c>
    </row>
    <row r="40">
      <c r="A40" s="65" t="inlineStr">
        <is>
          <t>target_loans</t>
        </is>
      </c>
      <c r="B40" s="69" t="n">
        <v>607.5210681629957</v>
      </c>
    </row>
    <row r="41">
      <c r="A41" s="65" t="inlineStr">
        <is>
          <t>target_other</t>
        </is>
      </c>
      <c r="B41" s="69" t="n">
        <v>109.1466290753129</v>
      </c>
    </row>
    <row r="42">
      <c r="A42" s="65" t="inlineStr">
        <is>
          <t>target_serve</t>
        </is>
      </c>
      <c r="B42" s="69" t="n">
        <v>164.7848664720328</v>
      </c>
    </row>
    <row r="43">
      <c r="A43" s="65" t="inlineStr">
        <is>
          <t>target_net</t>
        </is>
      </c>
      <c r="B43" s="69" t="n">
        <v>346.1219728162529</v>
      </c>
    </row>
    <row r="44">
      <c r="A44" s="65" t="inlineStr">
        <is>
          <t>target_ltv</t>
        </is>
      </c>
      <c r="B44" s="69" t="n">
        <v>596.1219728162529</v>
      </c>
    </row>
    <row r="45">
      <c r="A45" s="65" t="inlineStr">
        <is>
          <t>target_payback</t>
        </is>
      </c>
      <c r="B45" s="69" t="n">
        <v>16</v>
      </c>
    </row>
    <row r="46">
      <c r="A46" s="65" t="inlineStr">
        <is>
          <t>target_still_m12</t>
        </is>
      </c>
      <c r="B46" s="69" t="n">
        <v>0.3981658984502819</v>
      </c>
    </row>
    <row r="47">
      <c r="A47" s="65" t="inlineStr">
        <is>
          <t>today_cac</t>
        </is>
      </c>
      <c r="B47" s="69" t="n">
        <v>499.2394215203765</v>
      </c>
    </row>
    <row r="48">
      <c r="A48" s="65" t="inlineStr">
        <is>
          <t>today_savings</t>
        </is>
      </c>
      <c r="B48" s="69" t="n">
        <v>44.23914204997723</v>
      </c>
    </row>
    <row r="49">
      <c r="A49" s="65" t="inlineStr">
        <is>
          <t>today_loans</t>
        </is>
      </c>
      <c r="B49" s="69" t="n">
        <v>291.8438611449485</v>
      </c>
    </row>
    <row r="50">
      <c r="A50" s="65" t="inlineStr">
        <is>
          <t>today_other</t>
        </is>
      </c>
      <c r="B50" s="69" t="n">
        <v>109.1466290753129</v>
      </c>
    </row>
    <row r="51">
      <c r="A51" s="65" t="inlineStr">
        <is>
          <t>today_serve</t>
        </is>
      </c>
      <c r="B51" s="69" t="n">
        <v>164.7848664720328</v>
      </c>
    </row>
    <row r="52">
      <c r="A52" s="65" t="inlineStr">
        <is>
          <t>today_net</t>
        </is>
      </c>
      <c r="B52" s="69" t="n">
        <v>-218.7946557221707</v>
      </c>
    </row>
    <row r="53">
      <c r="A53" s="65" t="inlineStr">
        <is>
          <t>today_ltv</t>
        </is>
      </c>
      <c r="B53" s="69" t="n">
        <v>280.4447657982058</v>
      </c>
    </row>
    <row r="54">
      <c r="A54" s="65" t="inlineStr">
        <is>
          <t>today_payback</t>
        </is>
      </c>
      <c r="B54" s="69" t="n">
        <v>0</v>
      </c>
    </row>
    <row r="55">
      <c r="A55" s="65" t="inlineStr">
        <is>
          <t>today_still_m12</t>
        </is>
      </c>
      <c r="B55" s="69" t="n">
        <v>0.3981658984502819</v>
      </c>
    </row>
    <row r="56">
      <c r="A56" s="65" t="inlineStr">
        <is>
          <t>ret_m12_mean</t>
        </is>
      </c>
      <c r="B56" s="69" t="n">
        <v>0.4007782101167315</v>
      </c>
    </row>
    <row r="57">
      <c r="A57" s="65" t="inlineStr">
        <is>
          <t>ticket_mid</t>
        </is>
      </c>
      <c r="B57" s="69" t="n">
        <v>150000</v>
      </c>
    </row>
    <row r="58">
      <c r="A58" s="65" t="inlineStr">
        <is>
          <t>takeup_mid</t>
        </is>
      </c>
      <c r="B58" s="69" t="n">
        <v>0.09607695154586736</v>
      </c>
    </row>
    <row r="60">
      <c r="A60" s="2" t="inlineStr">
        <is>
          <t>Drivers of the outcome (rank regression)</t>
        </is>
      </c>
    </row>
    <row r="61">
      <c r="A61" s="64" t="inlineStr">
        <is>
          <t>input</t>
        </is>
      </c>
      <c r="B61" s="64" t="inlineStr">
        <is>
          <t>variance_share</t>
        </is>
      </c>
    </row>
    <row r="62">
      <c r="A62" s="65" t="inlineStr">
        <is>
          <t>cac_target@ng</t>
        </is>
      </c>
      <c r="B62" s="66" t="n">
        <v>0.6234502682932296</v>
      </c>
    </row>
    <row r="63">
      <c r="A63" s="65" t="inlineStr">
        <is>
          <t>xs_other</t>
        </is>
      </c>
      <c r="B63" s="66" t="n">
        <v>0.2008087656947911</v>
      </c>
    </row>
    <row r="64">
      <c r="A64" s="65" t="inlineStr">
        <is>
          <t>wc_loans_year</t>
        </is>
      </c>
      <c r="B64" s="66" t="n">
        <v>0.07341276124639984</v>
      </c>
    </row>
    <row r="65">
      <c r="A65" s="65" t="inlineStr">
        <is>
          <t>wc_ticket</t>
        </is>
      </c>
      <c r="B65" s="66" t="n">
        <v>0.04033961501750753</v>
      </c>
    </row>
    <row r="66">
      <c r="A66" s="65" t="inlineStr">
        <is>
          <t>wc_fee</t>
        </is>
      </c>
      <c r="B66" s="66" t="n">
        <v>0.02365548073397881</v>
      </c>
    </row>
    <row r="67">
      <c r="A67" s="65" t="inlineStr">
        <is>
          <t>cost_support</t>
        </is>
      </c>
      <c r="B67" s="66" t="n">
        <v>0.01404208257668232</v>
      </c>
    </row>
    <row r="68">
      <c r="A68" s="65" t="inlineStr">
        <is>
          <t>ret_m12@ng</t>
        </is>
      </c>
      <c r="B68" s="66" t="n">
        <v>0.01257760773565696</v>
      </c>
    </row>
    <row r="69">
      <c r="A69" s="65" t="inlineStr">
        <is>
          <t>cost_tech</t>
        </is>
      </c>
      <c r="B69" s="66" t="n">
        <v>0.003384663406050949</v>
      </c>
    </row>
    <row r="70">
      <c r="A70" s="65" t="inlineStr">
        <is>
          <t>ret_m12@gig</t>
        </is>
      </c>
      <c r="B70" s="66" t="n">
        <v>0.001342670483903253</v>
      </c>
    </row>
    <row r="71">
      <c r="A71" s="65" t="inlineStr">
        <is>
          <t>churn_late</t>
        </is>
      </c>
      <c r="B71" s="66" t="n">
        <v>0.0013426704839032</v>
      </c>
    </row>
    <row r="72">
      <c r="A72" s="65" t="inlineStr">
        <is>
          <t>daily_amount@ng</t>
        </is>
      </c>
      <c r="B72" s="66" t="n">
        <v>0.0009251506105191232</v>
      </c>
    </row>
    <row r="73">
      <c r="A73" s="65" t="inlineStr">
        <is>
          <t>cost_rewards</t>
        </is>
      </c>
      <c r="B73" s="66" t="n">
        <v>0.0007424216501093596</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30"/>
  <sheetViews>
    <sheetView workbookViewId="0">
      <selection activeCell="A1" sqref="A1"/>
    </sheetView>
  </sheetViews>
  <sheetFormatPr baseColWidth="8" defaultRowHeight="15"/>
  <cols>
    <col width="32" customWidth="1" min="1" max="1"/>
    <col width="13" customWidth="1" min="2" max="2"/>
    <col width="13" customWidth="1" min="3" max="3"/>
    <col width="13" customWidth="1" min="4" max="4"/>
    <col width="22"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Lending ourselves: what one loan and one customer earn, by how well borrowers repay</t>
        </is>
      </c>
    </row>
    <row r="2">
      <c r="A2" s="28" t="inlineStr">
        <is>
          <t>model/lend_self.py. Losses and running costs are shares of the loan balance a year: savers safer 3% + 3%; industry steady state 6% + 5% (ICRA); industry today 9% + 8% (KreditBee, Kissht, Stashfin, Groww). Cost of borrowing 14%. Winning customers counted separately.</t>
        </is>
      </c>
    </row>
    <row r="4">
      <c r="A4" s="2" t="inlineStr">
        <is>
          <t>One loan</t>
        </is>
      </c>
    </row>
    <row r="5">
      <c r="A5" s="64" t="inlineStr">
        <is>
          <t>segment</t>
        </is>
      </c>
      <c r="B5" s="64" t="inlineStr">
        <is>
          <t>loan</t>
        </is>
      </c>
      <c r="C5" s="64" t="inlineStr">
        <is>
          <t>months</t>
        </is>
      </c>
      <c r="D5" s="64" t="inlineStr">
        <is>
          <t>rate</t>
        </is>
      </c>
      <c r="E5" s="64" t="inlineStr">
        <is>
          <t>case</t>
        </is>
      </c>
      <c r="F5" s="64" t="inlineStr">
        <is>
          <t>interest</t>
        </is>
      </c>
      <c r="G5" s="64" t="inlineStr">
        <is>
          <t>fee</t>
        </is>
      </c>
      <c r="H5" s="64" t="inlineStr">
        <is>
          <t>funding</t>
        </is>
      </c>
      <c r="I5" s="64" t="inlineStr">
        <is>
          <t>losses</t>
        </is>
      </c>
      <c r="J5" s="64" t="inlineStr">
        <is>
          <t>running</t>
        </is>
      </c>
      <c r="K5" s="64" t="inlineStr">
        <is>
          <t>net</t>
        </is>
      </c>
      <c r="L5" s="64" t="inlineStr">
        <is>
          <t>return_on_book</t>
        </is>
      </c>
      <c r="M5" s="64" t="inlineStr">
        <is>
          <t>referral_net</t>
        </is>
      </c>
    </row>
    <row r="6">
      <c r="A6" s="65" t="inlineStr">
        <is>
          <t>Delivery riders</t>
        </is>
      </c>
      <c r="B6" s="71" t="n">
        <v>25000</v>
      </c>
      <c r="C6" s="65" t="n">
        <v>6</v>
      </c>
      <c r="D6" s="72" t="n">
        <v>0.3</v>
      </c>
      <c r="E6" s="65" t="inlineStr">
        <is>
          <t>savers safer</t>
        </is>
      </c>
      <c r="F6" s="71" t="n">
        <v>2232.495659281398</v>
      </c>
      <c r="G6" s="71" t="n">
        <v>750</v>
      </c>
      <c r="H6" s="71" t="n">
        <v>1041.831307664612</v>
      </c>
      <c r="I6" s="71" t="n">
        <v>223.2495659281311</v>
      </c>
      <c r="J6" s="71" t="n">
        <v>223.2495659281311</v>
      </c>
      <c r="K6" s="71" t="n">
        <v>1494.165219760524</v>
      </c>
      <c r="L6" s="66" t="n">
        <v>0.2007840705376594</v>
      </c>
      <c r="M6" s="71" t="n">
        <v>487.5</v>
      </c>
    </row>
    <row r="7">
      <c r="A7" s="65" t="inlineStr">
        <is>
          <t>Delivery riders</t>
        </is>
      </c>
      <c r="B7" s="71" t="n">
        <v>25000</v>
      </c>
      <c r="C7" s="65" t="n">
        <v>6</v>
      </c>
      <c r="D7" s="72" t="n">
        <v>0.3</v>
      </c>
      <c r="E7" s="65" t="inlineStr">
        <is>
          <t>industry steady state</t>
        </is>
      </c>
      <c r="F7" s="71" t="n">
        <v>2232.495659281398</v>
      </c>
      <c r="G7" s="71" t="n">
        <v>750</v>
      </c>
      <c r="H7" s="71" t="n">
        <v>1041.831307664612</v>
      </c>
      <c r="I7" s="71" t="n">
        <v>446.4991318562622</v>
      </c>
      <c r="J7" s="71" t="n">
        <v>372.0826098802185</v>
      </c>
      <c r="K7" s="71" t="n">
        <v>1122.082609880305</v>
      </c>
      <c r="L7" s="66" t="n">
        <v>0.1507840705376594</v>
      </c>
      <c r="M7" s="71" t="n">
        <v>487.5</v>
      </c>
    </row>
    <row r="8">
      <c r="A8" s="65" t="inlineStr">
        <is>
          <t>Delivery riders</t>
        </is>
      </c>
      <c r="B8" s="71" t="n">
        <v>25000</v>
      </c>
      <c r="C8" s="65" t="n">
        <v>6</v>
      </c>
      <c r="D8" s="72" t="n">
        <v>0.3</v>
      </c>
      <c r="E8" s="65" t="inlineStr">
        <is>
          <t>industry today</t>
        </is>
      </c>
      <c r="F8" s="71" t="n">
        <v>2232.495659281398</v>
      </c>
      <c r="G8" s="71" t="n">
        <v>750</v>
      </c>
      <c r="H8" s="71" t="n">
        <v>1041.831307664612</v>
      </c>
      <c r="I8" s="71" t="n">
        <v>669.7486977843932</v>
      </c>
      <c r="J8" s="71" t="n">
        <v>595.3321758083496</v>
      </c>
      <c r="K8" s="71" t="n">
        <v>675.5834780240432</v>
      </c>
      <c r="L8" s="66" t="n">
        <v>0.0907840705376594</v>
      </c>
      <c r="M8" s="71" t="n">
        <v>487.5</v>
      </c>
    </row>
    <row r="9">
      <c r="A9" s="65" t="inlineStr">
        <is>
          <t>Drivers and home-service workers</t>
        </is>
      </c>
      <c r="B9" s="71" t="n">
        <v>100000</v>
      </c>
      <c r="C9" s="65" t="n">
        <v>18</v>
      </c>
      <c r="D9" s="72" t="n">
        <v>0.26</v>
      </c>
      <c r="E9" s="65" t="inlineStr">
        <is>
          <t>savers safer</t>
        </is>
      </c>
      <c r="F9" s="71" t="n">
        <v>21830.32674697939</v>
      </c>
      <c r="G9" s="71" t="n">
        <v>3000</v>
      </c>
      <c r="H9" s="71" t="n">
        <v>11754.79132529678</v>
      </c>
      <c r="I9" s="71" t="n">
        <v>2518.883855420738</v>
      </c>
      <c r="J9" s="71" t="n">
        <v>2518.883855420738</v>
      </c>
      <c r="K9" s="71" t="n">
        <v>8037.767710841139</v>
      </c>
      <c r="L9" s="66" t="n">
        <v>0.09573011109913079</v>
      </c>
      <c r="M9" s="71" t="n">
        <v>1950</v>
      </c>
    </row>
    <row r="10">
      <c r="A10" s="65" t="inlineStr">
        <is>
          <t>Drivers and home-service workers</t>
        </is>
      </c>
      <c r="B10" s="71" t="n">
        <v>100000</v>
      </c>
      <c r="C10" s="65" t="n">
        <v>18</v>
      </c>
      <c r="D10" s="72" t="n">
        <v>0.26</v>
      </c>
      <c r="E10" s="65" t="inlineStr">
        <is>
          <t>industry steady state</t>
        </is>
      </c>
      <c r="F10" s="71" t="n">
        <v>21830.32674697939</v>
      </c>
      <c r="G10" s="71" t="n">
        <v>3000</v>
      </c>
      <c r="H10" s="71" t="n">
        <v>11754.79132529678</v>
      </c>
      <c r="I10" s="71" t="n">
        <v>5037.767710841476</v>
      </c>
      <c r="J10" s="71" t="n">
        <v>4198.139759034564</v>
      </c>
      <c r="K10" s="71" t="n">
        <v>3839.627951806574</v>
      </c>
      <c r="L10" s="66" t="n">
        <v>0.04573011109913078</v>
      </c>
      <c r="M10" s="71" t="n">
        <v>1950</v>
      </c>
    </row>
    <row r="11">
      <c r="A11" s="65" t="inlineStr">
        <is>
          <t>Drivers and home-service workers</t>
        </is>
      </c>
      <c r="B11" s="71" t="n">
        <v>100000</v>
      </c>
      <c r="C11" s="65" t="n">
        <v>18</v>
      </c>
      <c r="D11" s="72" t="n">
        <v>0.26</v>
      </c>
      <c r="E11" s="65" t="inlineStr">
        <is>
          <t>industry today</t>
        </is>
      </c>
      <c r="F11" s="71" t="n">
        <v>21830.32674697939</v>
      </c>
      <c r="G11" s="71" t="n">
        <v>3000</v>
      </c>
      <c r="H11" s="71" t="n">
        <v>11754.79132529678</v>
      </c>
      <c r="I11" s="71" t="n">
        <v>7556.651566262214</v>
      </c>
      <c r="J11" s="71" t="n">
        <v>6717.023614455302</v>
      </c>
      <c r="K11" s="71" t="n">
        <v>-1198.139759034902</v>
      </c>
      <c r="L11" s="66" t="n">
        <v>-0.01426988890086921</v>
      </c>
      <c r="M11" s="71" t="n">
        <v>1950</v>
      </c>
    </row>
    <row r="12">
      <c r="A12" s="65" t="inlineStr">
        <is>
          <t>Shopkeepers</t>
        </is>
      </c>
      <c r="B12" s="71" t="n">
        <v>150000</v>
      </c>
      <c r="C12" s="65" t="n">
        <v>12</v>
      </c>
      <c r="D12" s="72" t="n">
        <v>0.26</v>
      </c>
      <c r="E12" s="65" t="inlineStr">
        <is>
          <t>savers safer</t>
        </is>
      </c>
      <c r="F12" s="71" t="n">
        <v>21954.25019722807</v>
      </c>
      <c r="G12" s="71" t="n">
        <v>3750</v>
      </c>
      <c r="H12" s="71" t="n">
        <v>11821.51933696919</v>
      </c>
      <c r="I12" s="71" t="n">
        <v>2533.182715064826</v>
      </c>
      <c r="J12" s="71" t="n">
        <v>2533.182715064826</v>
      </c>
      <c r="K12" s="71" t="n">
        <v>8816.365430129232</v>
      </c>
      <c r="L12" s="66" t="n">
        <v>0.1044105351465374</v>
      </c>
      <c r="M12" s="71" t="n">
        <v>2925</v>
      </c>
    </row>
    <row r="13">
      <c r="A13" s="65" t="inlineStr">
        <is>
          <t>Shopkeepers</t>
        </is>
      </c>
      <c r="B13" s="71" t="n">
        <v>150000</v>
      </c>
      <c r="C13" s="65" t="n">
        <v>12</v>
      </c>
      <c r="D13" s="72" t="n">
        <v>0.26</v>
      </c>
      <c r="E13" s="65" t="inlineStr">
        <is>
          <t>industry steady state</t>
        </is>
      </c>
      <c r="F13" s="71" t="n">
        <v>21954.25019722807</v>
      </c>
      <c r="G13" s="71" t="n">
        <v>3750</v>
      </c>
      <c r="H13" s="71" t="n">
        <v>11821.51933696919</v>
      </c>
      <c r="I13" s="71" t="n">
        <v>5066.365430129652</v>
      </c>
      <c r="J13" s="71" t="n">
        <v>4221.971191774711</v>
      </c>
      <c r="K13" s="71" t="n">
        <v>4594.394238354521</v>
      </c>
      <c r="L13" s="66" t="n">
        <v>0.05441053514653735</v>
      </c>
      <c r="M13" s="71" t="n">
        <v>2925</v>
      </c>
    </row>
    <row r="14">
      <c r="A14" s="65" t="inlineStr">
        <is>
          <t>Shopkeepers</t>
        </is>
      </c>
      <c r="B14" s="71" t="n">
        <v>150000</v>
      </c>
      <c r="C14" s="65" t="n">
        <v>12</v>
      </c>
      <c r="D14" s="72" t="n">
        <v>0.26</v>
      </c>
      <c r="E14" s="65" t="inlineStr">
        <is>
          <t>industry today</t>
        </is>
      </c>
      <c r="F14" s="71" t="n">
        <v>21954.25019722807</v>
      </c>
      <c r="G14" s="71" t="n">
        <v>3750</v>
      </c>
      <c r="H14" s="71" t="n">
        <v>11821.51933696919</v>
      </c>
      <c r="I14" s="71" t="n">
        <v>7599.548145194478</v>
      </c>
      <c r="J14" s="71" t="n">
        <v>6755.153906839537</v>
      </c>
      <c r="K14" s="71" t="n">
        <v>-471.971191775131</v>
      </c>
      <c r="L14" s="66" t="n">
        <v>-0.005589464853462648</v>
      </c>
      <c r="M14" s="71" t="n">
        <v>2925</v>
      </c>
    </row>
    <row r="16">
      <c r="A16" s="2" t="inlineStr">
        <is>
          <t>One customer (Rs, 5 years discounted, after the cost to win)</t>
        </is>
      </c>
    </row>
    <row r="17">
      <c r="A17" s="64" t="inlineStr">
        <is>
          <t>segment</t>
        </is>
      </c>
      <c r="B17" s="64" t="inlineStr">
        <is>
          <t>mode</t>
        </is>
      </c>
      <c r="C17" s="64" t="inlineStr">
        <is>
          <t>default</t>
        </is>
      </c>
      <c r="D17" s="64" t="inlineStr">
        <is>
          <t>takeup</t>
        </is>
      </c>
      <c r="E17" s="64" t="inlineStr">
        <is>
          <t>cac_case</t>
        </is>
      </c>
      <c r="F17" s="64" t="inlineStr">
        <is>
          <t>cac</t>
        </is>
      </c>
      <c r="G17" s="64" t="inlineStr">
        <is>
          <t>worth_before_cac</t>
        </is>
      </c>
      <c r="H17" s="64" t="inlineStr">
        <is>
          <t>net</t>
        </is>
      </c>
      <c r="I17" s="64" t="inlineStr">
        <is>
          <t>payback</t>
        </is>
      </c>
    </row>
    <row r="18">
      <c r="A18" s="65" t="inlineStr">
        <is>
          <t>Delivery riders</t>
        </is>
      </c>
      <c r="B18" s="65" t="inlineStr">
        <is>
          <t>lend</t>
        </is>
      </c>
      <c r="C18" s="65" t="inlineStr">
        <is>
          <t>savers safer</t>
        </is>
      </c>
      <c r="D18" s="72" t="n">
        <v>0.1</v>
      </c>
      <c r="E18" s="65" t="inlineStr">
        <is>
          <t>evidence</t>
        </is>
      </c>
      <c r="F18" s="71" t="n">
        <v>450.1199840042655</v>
      </c>
      <c r="G18" s="71" t="n">
        <v>81.12899529351597</v>
      </c>
      <c r="H18" s="71" t="n">
        <v>-368.9909887107495</v>
      </c>
      <c r="I18" s="65" t="inlineStr"/>
    </row>
    <row r="19">
      <c r="A19" s="65" t="inlineStr">
        <is>
          <t>Delivery riders</t>
        </is>
      </c>
      <c r="B19" s="65" t="inlineStr">
        <is>
          <t>lend</t>
        </is>
      </c>
      <c r="C19" s="65" t="inlineStr">
        <is>
          <t>savers safer</t>
        </is>
      </c>
      <c r="D19" s="72" t="n">
        <v>0.2</v>
      </c>
      <c r="E19" s="65" t="inlineStr">
        <is>
          <t>evidence</t>
        </is>
      </c>
      <c r="F19" s="71" t="n">
        <v>450.1199840042655</v>
      </c>
      <c r="G19" s="71" t="n">
        <v>174.9610136932124</v>
      </c>
      <c r="H19" s="71" t="n">
        <v>-275.1589703110531</v>
      </c>
      <c r="I19" s="65" t="inlineStr"/>
    </row>
    <row r="20">
      <c r="A20" s="65" t="inlineStr">
        <is>
          <t>Delivery riders</t>
        </is>
      </c>
      <c r="B20" s="65" t="inlineStr">
        <is>
          <t>lend</t>
        </is>
      </c>
      <c r="C20" s="65" t="inlineStr">
        <is>
          <t>savers safer</t>
        </is>
      </c>
      <c r="D20" s="72" t="n">
        <v>0.35</v>
      </c>
      <c r="E20" s="65" t="inlineStr">
        <is>
          <t>evidence</t>
        </is>
      </c>
      <c r="F20" s="71" t="n">
        <v>450.1199840042655</v>
      </c>
      <c r="G20" s="71" t="n">
        <v>315.709041292757</v>
      </c>
      <c r="H20" s="71" t="n">
        <v>-134.4109427115085</v>
      </c>
      <c r="I20" s="65" t="n">
        <v>55</v>
      </c>
    </row>
    <row r="21">
      <c r="A21" s="65" t="inlineStr">
        <is>
          <t>Delivery riders</t>
        </is>
      </c>
      <c r="B21" s="65" t="inlineStr">
        <is>
          <t>lend</t>
        </is>
      </c>
      <c r="C21" s="65" t="inlineStr">
        <is>
          <t>savers safer</t>
        </is>
      </c>
      <c r="D21" s="72" t="n">
        <v>0.5</v>
      </c>
      <c r="E21" s="65" t="inlineStr">
        <is>
          <t>evidence</t>
        </is>
      </c>
      <c r="F21" s="71" t="n">
        <v>450.1199840042655</v>
      </c>
      <c r="G21" s="71" t="n">
        <v>456.4570688923017</v>
      </c>
      <c r="H21" s="71" t="n">
        <v>6.337084888036202</v>
      </c>
      <c r="I21" s="65" t="n">
        <v>35</v>
      </c>
    </row>
    <row r="22">
      <c r="A22" s="65" t="inlineStr">
        <is>
          <t>Delivery riders</t>
        </is>
      </c>
      <c r="B22" s="65" t="inlineStr">
        <is>
          <t>lend</t>
        </is>
      </c>
      <c r="C22" s="65" t="inlineStr">
        <is>
          <t>industry steady state</t>
        </is>
      </c>
      <c r="D22" s="72" t="n">
        <v>0.1</v>
      </c>
      <c r="E22" s="65" t="inlineStr">
        <is>
          <t>evidence</t>
        </is>
      </c>
      <c r="F22" s="71" t="n">
        <v>450.1199840042655</v>
      </c>
      <c r="G22" s="71" t="n">
        <v>57.66064734423173</v>
      </c>
      <c r="H22" s="71" t="n">
        <v>-392.4593366600338</v>
      </c>
      <c r="I22" s="65" t="inlineStr"/>
    </row>
    <row r="23">
      <c r="A23" s="65" t="inlineStr">
        <is>
          <t>Delivery riders</t>
        </is>
      </c>
      <c r="B23" s="65" t="inlineStr">
        <is>
          <t>lend</t>
        </is>
      </c>
      <c r="C23" s="65" t="inlineStr">
        <is>
          <t>industry steady state</t>
        </is>
      </c>
      <c r="D23" s="72" t="n">
        <v>0.2</v>
      </c>
      <c r="E23" s="65" t="inlineStr">
        <is>
          <t>evidence</t>
        </is>
      </c>
      <c r="F23" s="71" t="n">
        <v>450.1199840042655</v>
      </c>
      <c r="G23" s="71" t="n">
        <v>128.024317794644</v>
      </c>
      <c r="H23" s="71" t="n">
        <v>-322.0956662096215</v>
      </c>
      <c r="I23" s="65" t="inlineStr"/>
    </row>
    <row r="24">
      <c r="A24" s="65" t="inlineStr">
        <is>
          <t>Delivery riders</t>
        </is>
      </c>
      <c r="B24" s="65" t="inlineStr">
        <is>
          <t>lend</t>
        </is>
      </c>
      <c r="C24" s="65" t="inlineStr">
        <is>
          <t>industry steady state</t>
        </is>
      </c>
      <c r="D24" s="72" t="n">
        <v>0.35</v>
      </c>
      <c r="E24" s="65" t="inlineStr">
        <is>
          <t>evidence</t>
        </is>
      </c>
      <c r="F24" s="71" t="n">
        <v>450.1199840042655</v>
      </c>
      <c r="G24" s="71" t="n">
        <v>233.5698234702626</v>
      </c>
      <c r="H24" s="71" t="n">
        <v>-216.5501605340029</v>
      </c>
      <c r="I24" s="65" t="inlineStr"/>
    </row>
    <row r="25">
      <c r="A25" s="65" t="inlineStr">
        <is>
          <t>Delivery riders</t>
        </is>
      </c>
      <c r="B25" s="65" t="inlineStr">
        <is>
          <t>lend</t>
        </is>
      </c>
      <c r="C25" s="65" t="inlineStr">
        <is>
          <t>industry steady state</t>
        </is>
      </c>
      <c r="D25" s="72" t="n">
        <v>0.5</v>
      </c>
      <c r="E25" s="65" t="inlineStr">
        <is>
          <t>evidence</t>
        </is>
      </c>
      <c r="F25" s="71" t="n">
        <v>450.1199840042655</v>
      </c>
      <c r="G25" s="71" t="n">
        <v>339.1153291458809</v>
      </c>
      <c r="H25" s="71" t="n">
        <v>-111.0046548583846</v>
      </c>
      <c r="I25" s="65" t="n">
        <v>50</v>
      </c>
    </row>
    <row r="26">
      <c r="A26" s="65" t="inlineStr">
        <is>
          <t>Delivery riders</t>
        </is>
      </c>
      <c r="B26" s="65" t="inlineStr">
        <is>
          <t>lend</t>
        </is>
      </c>
      <c r="C26" s="65" t="inlineStr">
        <is>
          <t>industry today</t>
        </is>
      </c>
      <c r="D26" s="72" t="n">
        <v>0.1</v>
      </c>
      <c r="E26" s="65" t="inlineStr">
        <is>
          <t>evidence</t>
        </is>
      </c>
      <c r="F26" s="71" t="n">
        <v>450.1199840042655</v>
      </c>
      <c r="G26" s="71" t="n">
        <v>29.49862980509084</v>
      </c>
      <c r="H26" s="71" t="n">
        <v>-420.6213541991747</v>
      </c>
      <c r="I26" s="65" t="inlineStr"/>
    </row>
    <row r="27">
      <c r="A27" s="65" t="inlineStr">
        <is>
          <t>Delivery riders</t>
        </is>
      </c>
      <c r="B27" s="65" t="inlineStr">
        <is>
          <t>lend</t>
        </is>
      </c>
      <c r="C27" s="65" t="inlineStr">
        <is>
          <t>industry today</t>
        </is>
      </c>
      <c r="D27" s="72" t="n">
        <v>0.2</v>
      </c>
      <c r="E27" s="65" t="inlineStr">
        <is>
          <t>evidence</t>
        </is>
      </c>
      <c r="F27" s="71" t="n">
        <v>450.1199840042655</v>
      </c>
      <c r="G27" s="71" t="n">
        <v>71.70028271636221</v>
      </c>
      <c r="H27" s="71" t="n">
        <v>-378.4197012879033</v>
      </c>
      <c r="I27" s="65" t="inlineStr"/>
    </row>
    <row r="28">
      <c r="A28" s="65" t="inlineStr">
        <is>
          <t>Delivery riders</t>
        </is>
      </c>
      <c r="B28" s="65" t="inlineStr">
        <is>
          <t>lend</t>
        </is>
      </c>
      <c r="C28" s="65" t="inlineStr">
        <is>
          <t>industry today</t>
        </is>
      </c>
      <c r="D28" s="72" t="n">
        <v>0.35</v>
      </c>
      <c r="E28" s="65" t="inlineStr">
        <is>
          <t>evidence</t>
        </is>
      </c>
      <c r="F28" s="71" t="n">
        <v>450.1199840042655</v>
      </c>
      <c r="G28" s="71" t="n">
        <v>135.0027620832692</v>
      </c>
      <c r="H28" s="71" t="n">
        <v>-315.1172219209963</v>
      </c>
      <c r="I28" s="65" t="inlineStr"/>
    </row>
    <row r="29">
      <c r="A29" s="65" t="inlineStr">
        <is>
          <t>Delivery riders</t>
        </is>
      </c>
      <c r="B29" s="65" t="inlineStr">
        <is>
          <t>lend</t>
        </is>
      </c>
      <c r="C29" s="65" t="inlineStr">
        <is>
          <t>industry today</t>
        </is>
      </c>
      <c r="D29" s="72" t="n">
        <v>0.5</v>
      </c>
      <c r="E29" s="65" t="inlineStr">
        <is>
          <t>evidence</t>
        </is>
      </c>
      <c r="F29" s="71" t="n">
        <v>450.1199840042655</v>
      </c>
      <c r="G29" s="71" t="n">
        <v>198.3052414501763</v>
      </c>
      <c r="H29" s="71" t="n">
        <v>-251.8147425540892</v>
      </c>
      <c r="I29" s="65" t="inlineStr"/>
    </row>
    <row r="30">
      <c r="A30" s="65" t="inlineStr">
        <is>
          <t>Delivery riders</t>
        </is>
      </c>
      <c r="B30" s="65" t="inlineStr">
        <is>
          <t>referral</t>
        </is>
      </c>
      <c r="C30" s="65" t="inlineStr"/>
      <c r="D30" s="72" t="n">
        <v>0.1</v>
      </c>
      <c r="E30" s="65" t="inlineStr">
        <is>
          <t>evidence</t>
        </is>
      </c>
      <c r="F30" s="71" t="n">
        <v>450.1199840042655</v>
      </c>
      <c r="G30" s="71" t="n">
        <v>17.6356499490832</v>
      </c>
      <c r="H30" s="71" t="n">
        <v>-432.4843340551823</v>
      </c>
      <c r="I30" s="65" t="inlineStr"/>
    </row>
    <row r="31">
      <c r="A31" s="65" t="inlineStr">
        <is>
          <t>Delivery riders</t>
        </is>
      </c>
      <c r="B31" s="65" t="inlineStr">
        <is>
          <t>referral</t>
        </is>
      </c>
      <c r="C31" s="65" t="inlineStr"/>
      <c r="D31" s="72" t="n">
        <v>0.2</v>
      </c>
      <c r="E31" s="65" t="inlineStr">
        <is>
          <t>evidence</t>
        </is>
      </c>
      <c r="F31" s="71" t="n">
        <v>450.1199840042655</v>
      </c>
      <c r="G31" s="71" t="n">
        <v>47.9743230043469</v>
      </c>
      <c r="H31" s="71" t="n">
        <v>-402.1456609999186</v>
      </c>
      <c r="I31" s="65" t="inlineStr"/>
    </row>
    <row r="32">
      <c r="A32" s="65" t="inlineStr">
        <is>
          <t>Delivery riders</t>
        </is>
      </c>
      <c r="B32" s="65" t="inlineStr">
        <is>
          <t>referral</t>
        </is>
      </c>
      <c r="C32" s="65" t="inlineStr"/>
      <c r="D32" s="72" t="n">
        <v>0.35</v>
      </c>
      <c r="E32" s="65" t="inlineStr">
        <is>
          <t>evidence</t>
        </is>
      </c>
      <c r="F32" s="71" t="n">
        <v>450.1199840042655</v>
      </c>
      <c r="G32" s="71" t="n">
        <v>93.48233258724247</v>
      </c>
      <c r="H32" s="71" t="n">
        <v>-356.6376514170231</v>
      </c>
      <c r="I32" s="65" t="inlineStr"/>
    </row>
    <row r="33">
      <c r="A33" s="65" t="inlineStr">
        <is>
          <t>Delivery riders</t>
        </is>
      </c>
      <c r="B33" s="65" t="inlineStr">
        <is>
          <t>referral</t>
        </is>
      </c>
      <c r="C33" s="65" t="inlineStr"/>
      <c r="D33" s="72" t="n">
        <v>0.5</v>
      </c>
      <c r="E33" s="65" t="inlineStr">
        <is>
          <t>evidence</t>
        </is>
      </c>
      <c r="F33" s="71" t="n">
        <v>450.1199840042655</v>
      </c>
      <c r="G33" s="71" t="n">
        <v>138.990342170138</v>
      </c>
      <c r="H33" s="71" t="n">
        <v>-311.1296418341275</v>
      </c>
      <c r="I33" s="65" t="inlineStr"/>
    </row>
    <row r="34">
      <c r="A34" s="65" t="inlineStr">
        <is>
          <t>Delivery riders</t>
        </is>
      </c>
      <c r="B34" s="65" t="inlineStr">
        <is>
          <t>lend</t>
        </is>
      </c>
      <c r="C34" s="65" t="inlineStr">
        <is>
          <t>savers safer</t>
        </is>
      </c>
      <c r="D34" s="72" t="n">
        <v>0.1</v>
      </c>
      <c r="E34" s="65" t="n">
        <v>250</v>
      </c>
      <c r="F34" s="71" t="n">
        <v>250</v>
      </c>
      <c r="G34" s="71" t="n">
        <v>81.12899529351597</v>
      </c>
      <c r="H34" s="71" t="n">
        <v>-168.8710047064841</v>
      </c>
      <c r="I34" s="65" t="inlineStr"/>
    </row>
    <row r="35">
      <c r="A35" s="65" t="inlineStr">
        <is>
          <t>Delivery riders</t>
        </is>
      </c>
      <c r="B35" s="65" t="inlineStr">
        <is>
          <t>lend</t>
        </is>
      </c>
      <c r="C35" s="65" t="inlineStr">
        <is>
          <t>savers safer</t>
        </is>
      </c>
      <c r="D35" s="72" t="n">
        <v>0.2</v>
      </c>
      <c r="E35" s="65" t="n">
        <v>250</v>
      </c>
      <c r="F35" s="71" t="n">
        <v>250</v>
      </c>
      <c r="G35" s="71" t="n">
        <v>174.9610136932124</v>
      </c>
      <c r="H35" s="71" t="n">
        <v>-75.03898630678762</v>
      </c>
      <c r="I35" s="65" t="n">
        <v>55</v>
      </c>
    </row>
    <row r="36">
      <c r="A36" s="65" t="inlineStr">
        <is>
          <t>Delivery riders</t>
        </is>
      </c>
      <c r="B36" s="65" t="inlineStr">
        <is>
          <t>lend</t>
        </is>
      </c>
      <c r="C36" s="65" t="inlineStr">
        <is>
          <t>savers safer</t>
        </is>
      </c>
      <c r="D36" s="72" t="n">
        <v>0.35</v>
      </c>
      <c r="E36" s="65" t="n">
        <v>250</v>
      </c>
      <c r="F36" s="71" t="n">
        <v>250</v>
      </c>
      <c r="G36" s="71" t="n">
        <v>315.709041292757</v>
      </c>
      <c r="H36" s="71" t="n">
        <v>65.70904129275701</v>
      </c>
      <c r="I36" s="65" t="n">
        <v>28</v>
      </c>
    </row>
    <row r="37">
      <c r="A37" s="65" t="inlineStr">
        <is>
          <t>Delivery riders</t>
        </is>
      </c>
      <c r="B37" s="65" t="inlineStr">
        <is>
          <t>lend</t>
        </is>
      </c>
      <c r="C37" s="65" t="inlineStr">
        <is>
          <t>savers safer</t>
        </is>
      </c>
      <c r="D37" s="72" t="n">
        <v>0.5</v>
      </c>
      <c r="E37" s="65" t="n">
        <v>250</v>
      </c>
      <c r="F37" s="71" t="n">
        <v>250</v>
      </c>
      <c r="G37" s="71" t="n">
        <v>456.4570688923017</v>
      </c>
      <c r="H37" s="71" t="n">
        <v>206.4570688923017</v>
      </c>
      <c r="I37" s="65" t="n">
        <v>20</v>
      </c>
    </row>
    <row r="38">
      <c r="A38" s="65" t="inlineStr">
        <is>
          <t>Delivery riders</t>
        </is>
      </c>
      <c r="B38" s="65" t="inlineStr">
        <is>
          <t>lend</t>
        </is>
      </c>
      <c r="C38" s="65" t="inlineStr">
        <is>
          <t>industry steady state</t>
        </is>
      </c>
      <c r="D38" s="72" t="n">
        <v>0.1</v>
      </c>
      <c r="E38" s="65" t="n">
        <v>250</v>
      </c>
      <c r="F38" s="71" t="n">
        <v>250</v>
      </c>
      <c r="G38" s="71" t="n">
        <v>57.66064734423173</v>
      </c>
      <c r="H38" s="71" t="n">
        <v>-192.3393526557683</v>
      </c>
      <c r="I38" s="65" t="inlineStr"/>
    </row>
    <row r="39">
      <c r="A39" s="65" t="inlineStr">
        <is>
          <t>Delivery riders</t>
        </is>
      </c>
      <c r="B39" s="65" t="inlineStr">
        <is>
          <t>lend</t>
        </is>
      </c>
      <c r="C39" s="65" t="inlineStr">
        <is>
          <t>industry steady state</t>
        </is>
      </c>
      <c r="D39" s="72" t="n">
        <v>0.2</v>
      </c>
      <c r="E39" s="65" t="n">
        <v>250</v>
      </c>
      <c r="F39" s="71" t="n">
        <v>250</v>
      </c>
      <c r="G39" s="71" t="n">
        <v>128.024317794644</v>
      </c>
      <c r="H39" s="71" t="n">
        <v>-121.975682205356</v>
      </c>
      <c r="I39" s="65" t="inlineStr"/>
    </row>
    <row r="40">
      <c r="A40" s="65" t="inlineStr">
        <is>
          <t>Delivery riders</t>
        </is>
      </c>
      <c r="B40" s="65" t="inlineStr">
        <is>
          <t>lend</t>
        </is>
      </c>
      <c r="C40" s="65" t="inlineStr">
        <is>
          <t>industry steady state</t>
        </is>
      </c>
      <c r="D40" s="72" t="n">
        <v>0.35</v>
      </c>
      <c r="E40" s="65" t="n">
        <v>250</v>
      </c>
      <c r="F40" s="71" t="n">
        <v>250</v>
      </c>
      <c r="G40" s="71" t="n">
        <v>233.5698234702626</v>
      </c>
      <c r="H40" s="71" t="n">
        <v>-16.43017652973739</v>
      </c>
      <c r="I40" s="65" t="n">
        <v>39</v>
      </c>
    </row>
    <row r="41">
      <c r="A41" s="65" t="inlineStr">
        <is>
          <t>Delivery riders</t>
        </is>
      </c>
      <c r="B41" s="65" t="inlineStr">
        <is>
          <t>lend</t>
        </is>
      </c>
      <c r="C41" s="65" t="inlineStr">
        <is>
          <t>industry steady state</t>
        </is>
      </c>
      <c r="D41" s="72" t="n">
        <v>0.5</v>
      </c>
      <c r="E41" s="65" t="n">
        <v>250</v>
      </c>
      <c r="F41" s="71" t="n">
        <v>250</v>
      </c>
      <c r="G41" s="71" t="n">
        <v>339.1153291458809</v>
      </c>
      <c r="H41" s="71" t="n">
        <v>89.11532914588091</v>
      </c>
      <c r="I41" s="65" t="n">
        <v>26</v>
      </c>
    </row>
    <row r="42">
      <c r="A42" s="65" t="inlineStr">
        <is>
          <t>Delivery riders</t>
        </is>
      </c>
      <c r="B42" s="65" t="inlineStr">
        <is>
          <t>lend</t>
        </is>
      </c>
      <c r="C42" s="65" t="inlineStr">
        <is>
          <t>industry today</t>
        </is>
      </c>
      <c r="D42" s="72" t="n">
        <v>0.1</v>
      </c>
      <c r="E42" s="65" t="n">
        <v>250</v>
      </c>
      <c r="F42" s="71" t="n">
        <v>250</v>
      </c>
      <c r="G42" s="71" t="n">
        <v>29.49862980509084</v>
      </c>
      <c r="H42" s="71" t="n">
        <v>-220.5013701949092</v>
      </c>
      <c r="I42" s="65" t="inlineStr"/>
    </row>
    <row r="43">
      <c r="A43" s="65" t="inlineStr">
        <is>
          <t>Delivery riders</t>
        </is>
      </c>
      <c r="B43" s="65" t="inlineStr">
        <is>
          <t>lend</t>
        </is>
      </c>
      <c r="C43" s="65" t="inlineStr">
        <is>
          <t>industry today</t>
        </is>
      </c>
      <c r="D43" s="72" t="n">
        <v>0.2</v>
      </c>
      <c r="E43" s="65" t="n">
        <v>250</v>
      </c>
      <c r="F43" s="71" t="n">
        <v>250</v>
      </c>
      <c r="G43" s="71" t="n">
        <v>71.70028271636221</v>
      </c>
      <c r="H43" s="71" t="n">
        <v>-178.2997172836378</v>
      </c>
      <c r="I43" s="65" t="inlineStr"/>
    </row>
    <row r="44">
      <c r="A44" s="65" t="inlineStr">
        <is>
          <t>Delivery riders</t>
        </is>
      </c>
      <c r="B44" s="65" t="inlineStr">
        <is>
          <t>lend</t>
        </is>
      </c>
      <c r="C44" s="65" t="inlineStr">
        <is>
          <t>industry today</t>
        </is>
      </c>
      <c r="D44" s="72" t="n">
        <v>0.35</v>
      </c>
      <c r="E44" s="65" t="n">
        <v>250</v>
      </c>
      <c r="F44" s="71" t="n">
        <v>250</v>
      </c>
      <c r="G44" s="71" t="n">
        <v>135.0027620832692</v>
      </c>
      <c r="H44" s="71" t="n">
        <v>-114.9972379167308</v>
      </c>
      <c r="I44" s="65" t="inlineStr"/>
    </row>
    <row r="45">
      <c r="A45" s="65" t="inlineStr">
        <is>
          <t>Delivery riders</t>
        </is>
      </c>
      <c r="B45" s="65" t="inlineStr">
        <is>
          <t>lend</t>
        </is>
      </c>
      <c r="C45" s="65" t="inlineStr">
        <is>
          <t>industry today</t>
        </is>
      </c>
      <c r="D45" s="72" t="n">
        <v>0.5</v>
      </c>
      <c r="E45" s="65" t="n">
        <v>250</v>
      </c>
      <c r="F45" s="71" t="n">
        <v>250</v>
      </c>
      <c r="G45" s="71" t="n">
        <v>198.3052414501763</v>
      </c>
      <c r="H45" s="71" t="n">
        <v>-51.69475854982372</v>
      </c>
      <c r="I45" s="65" t="n">
        <v>47</v>
      </c>
    </row>
    <row r="46">
      <c r="A46" s="65" t="inlineStr">
        <is>
          <t>Delivery riders</t>
        </is>
      </c>
      <c r="B46" s="65" t="inlineStr">
        <is>
          <t>referral</t>
        </is>
      </c>
      <c r="C46" s="65" t="inlineStr"/>
      <c r="D46" s="72" t="n">
        <v>0.1</v>
      </c>
      <c r="E46" s="65" t="n">
        <v>250</v>
      </c>
      <c r="F46" s="71" t="n">
        <v>250</v>
      </c>
      <c r="G46" s="71" t="n">
        <v>17.6356499490832</v>
      </c>
      <c r="H46" s="71" t="n">
        <v>-232.3643500509168</v>
      </c>
      <c r="I46" s="65" t="inlineStr"/>
    </row>
    <row r="47">
      <c r="A47" s="65" t="inlineStr">
        <is>
          <t>Delivery riders</t>
        </is>
      </c>
      <c r="B47" s="65" t="inlineStr">
        <is>
          <t>referral</t>
        </is>
      </c>
      <c r="C47" s="65" t="inlineStr"/>
      <c r="D47" s="72" t="n">
        <v>0.2</v>
      </c>
      <c r="E47" s="65" t="n">
        <v>250</v>
      </c>
      <c r="F47" s="71" t="n">
        <v>250</v>
      </c>
      <c r="G47" s="71" t="n">
        <v>47.9743230043469</v>
      </c>
      <c r="H47" s="71" t="n">
        <v>-202.0256769956531</v>
      </c>
      <c r="I47" s="65" t="inlineStr"/>
    </row>
    <row r="48">
      <c r="A48" s="65" t="inlineStr">
        <is>
          <t>Delivery riders</t>
        </is>
      </c>
      <c r="B48" s="65" t="inlineStr">
        <is>
          <t>referral</t>
        </is>
      </c>
      <c r="C48" s="65" t="inlineStr"/>
      <c r="D48" s="72" t="n">
        <v>0.35</v>
      </c>
      <c r="E48" s="65" t="n">
        <v>250</v>
      </c>
      <c r="F48" s="71" t="n">
        <v>250</v>
      </c>
      <c r="G48" s="71" t="n">
        <v>93.48233258724247</v>
      </c>
      <c r="H48" s="71" t="n">
        <v>-156.5176674127576</v>
      </c>
      <c r="I48" s="65" t="inlineStr"/>
    </row>
    <row r="49">
      <c r="A49" s="65" t="inlineStr">
        <is>
          <t>Delivery riders</t>
        </is>
      </c>
      <c r="B49" s="65" t="inlineStr">
        <is>
          <t>referral</t>
        </is>
      </c>
      <c r="C49" s="65" t="inlineStr"/>
      <c r="D49" s="72" t="n">
        <v>0.5</v>
      </c>
      <c r="E49" s="65" t="n">
        <v>250</v>
      </c>
      <c r="F49" s="71" t="n">
        <v>250</v>
      </c>
      <c r="G49" s="71" t="n">
        <v>138.990342170138</v>
      </c>
      <c r="H49" s="71" t="n">
        <v>-111.009657829862</v>
      </c>
      <c r="I49" s="65" t="inlineStr"/>
    </row>
    <row r="50">
      <c r="A50" s="65" t="inlineStr">
        <is>
          <t>Drivers and home-service workers</t>
        </is>
      </c>
      <c r="B50" s="65" t="inlineStr">
        <is>
          <t>lend</t>
        </is>
      </c>
      <c r="C50" s="65" t="inlineStr">
        <is>
          <t>savers safer</t>
        </is>
      </c>
      <c r="D50" s="72" t="n">
        <v>0.1</v>
      </c>
      <c r="E50" s="65" t="inlineStr">
        <is>
          <t>evidence</t>
        </is>
      </c>
      <c r="F50" s="71" t="n">
        <v>450.1199840042655</v>
      </c>
      <c r="G50" s="71" t="n">
        <v>493.8533097996926</v>
      </c>
      <c r="H50" s="71" t="n">
        <v>43.73332579542705</v>
      </c>
      <c r="I50" s="65" t="n">
        <v>32</v>
      </c>
    </row>
    <row r="51">
      <c r="A51" s="65" t="inlineStr">
        <is>
          <t>Drivers and home-service workers</t>
        </is>
      </c>
      <c r="B51" s="65" t="inlineStr">
        <is>
          <t>lend</t>
        </is>
      </c>
      <c r="C51" s="65" t="inlineStr">
        <is>
          <t>savers safer</t>
        </is>
      </c>
      <c r="D51" s="72" t="n">
        <v>0.2</v>
      </c>
      <c r="E51" s="65" t="inlineStr">
        <is>
          <t>evidence</t>
        </is>
      </c>
      <c r="F51" s="71" t="n">
        <v>450.1199840042655</v>
      </c>
      <c r="G51" s="71" t="n">
        <v>1000.409642705566</v>
      </c>
      <c r="H51" s="71" t="n">
        <v>550.2896587013001</v>
      </c>
      <c r="I51" s="65" t="n">
        <v>17</v>
      </c>
    </row>
    <row r="52">
      <c r="A52" s="65" t="inlineStr">
        <is>
          <t>Drivers and home-service workers</t>
        </is>
      </c>
      <c r="B52" s="65" t="inlineStr">
        <is>
          <t>lend</t>
        </is>
      </c>
      <c r="C52" s="65" t="inlineStr">
        <is>
          <t>savers safer</t>
        </is>
      </c>
      <c r="D52" s="72" t="n">
        <v>0.35</v>
      </c>
      <c r="E52" s="65" t="inlineStr">
        <is>
          <t>evidence</t>
        </is>
      </c>
      <c r="F52" s="71" t="n">
        <v>450.1199840042655</v>
      </c>
      <c r="G52" s="71" t="n">
        <v>1760.244142064374</v>
      </c>
      <c r="H52" s="71" t="n">
        <v>1310.124158060109</v>
      </c>
      <c r="I52" s="65" t="n">
        <v>12</v>
      </c>
    </row>
    <row r="53">
      <c r="A53" s="65" t="inlineStr">
        <is>
          <t>Drivers and home-service workers</t>
        </is>
      </c>
      <c r="B53" s="65" t="inlineStr">
        <is>
          <t>lend</t>
        </is>
      </c>
      <c r="C53" s="65" t="inlineStr">
        <is>
          <t>savers safer</t>
        </is>
      </c>
      <c r="D53" s="72" t="n">
        <v>0.5</v>
      </c>
      <c r="E53" s="65" t="inlineStr">
        <is>
          <t>evidence</t>
        </is>
      </c>
      <c r="F53" s="71" t="n">
        <v>450.1199840042655</v>
      </c>
      <c r="G53" s="71" t="n">
        <v>2520.078641423185</v>
      </c>
      <c r="H53" s="71" t="n">
        <v>2069.958657418919</v>
      </c>
      <c r="I53" s="65" t="n">
        <v>10</v>
      </c>
    </row>
    <row r="54">
      <c r="A54" s="65" t="inlineStr">
        <is>
          <t>Drivers and home-service workers</t>
        </is>
      </c>
      <c r="B54" s="65" t="inlineStr">
        <is>
          <t>lend</t>
        </is>
      </c>
      <c r="C54" s="65" t="inlineStr">
        <is>
          <t>industry steady state</t>
        </is>
      </c>
      <c r="D54" s="72" t="n">
        <v>0.1</v>
      </c>
      <c r="E54" s="65" t="inlineStr">
        <is>
          <t>evidence</t>
        </is>
      </c>
      <c r="F54" s="71" t="n">
        <v>450.1199840042655</v>
      </c>
      <c r="G54" s="71" t="n">
        <v>229.0642495518519</v>
      </c>
      <c r="H54" s="71" t="n">
        <v>-221.0557344524136</v>
      </c>
      <c r="I54" s="65" t="inlineStr"/>
    </row>
    <row r="55">
      <c r="A55" s="65" t="inlineStr">
        <is>
          <t>Drivers and home-service workers</t>
        </is>
      </c>
      <c r="B55" s="65" t="inlineStr">
        <is>
          <t>lend</t>
        </is>
      </c>
      <c r="C55" s="65" t="inlineStr">
        <is>
          <t>industry steady state</t>
        </is>
      </c>
      <c r="D55" s="72" t="n">
        <v>0.2</v>
      </c>
      <c r="E55" s="65" t="inlineStr">
        <is>
          <t>evidence</t>
        </is>
      </c>
      <c r="F55" s="71" t="n">
        <v>450.1199840042655</v>
      </c>
      <c r="G55" s="71" t="n">
        <v>470.8315222098842</v>
      </c>
      <c r="H55" s="71" t="n">
        <v>20.71153820561869</v>
      </c>
      <c r="I55" s="65" t="n">
        <v>34</v>
      </c>
    </row>
    <row r="56">
      <c r="A56" s="65" t="inlineStr">
        <is>
          <t>Drivers and home-service workers</t>
        </is>
      </c>
      <c r="B56" s="65" t="inlineStr">
        <is>
          <t>lend</t>
        </is>
      </c>
      <c r="C56" s="65" t="inlineStr">
        <is>
          <t>industry steady state</t>
        </is>
      </c>
      <c r="D56" s="72" t="n">
        <v>0.35</v>
      </c>
      <c r="E56" s="65" t="inlineStr">
        <is>
          <t>evidence</t>
        </is>
      </c>
      <c r="F56" s="71" t="n">
        <v>450.1199840042655</v>
      </c>
      <c r="G56" s="71" t="n">
        <v>833.4824311969323</v>
      </c>
      <c r="H56" s="71" t="n">
        <v>383.3624471926668</v>
      </c>
      <c r="I56" s="65" t="n">
        <v>20</v>
      </c>
    </row>
    <row r="57">
      <c r="A57" s="65" t="inlineStr">
        <is>
          <t>Drivers and home-service workers</t>
        </is>
      </c>
      <c r="B57" s="65" t="inlineStr">
        <is>
          <t>lend</t>
        </is>
      </c>
      <c r="C57" s="65" t="inlineStr">
        <is>
          <t>industry steady state</t>
        </is>
      </c>
      <c r="D57" s="72" t="n">
        <v>0.5</v>
      </c>
      <c r="E57" s="65" t="inlineStr">
        <is>
          <t>evidence</t>
        </is>
      </c>
      <c r="F57" s="71" t="n">
        <v>450.1199840042655</v>
      </c>
      <c r="G57" s="71" t="n">
        <v>1196.133340183981</v>
      </c>
      <c r="H57" s="71" t="n">
        <v>746.0133561797152</v>
      </c>
      <c r="I57" s="65" t="n">
        <v>15</v>
      </c>
    </row>
    <row r="58">
      <c r="A58" s="65" t="inlineStr">
        <is>
          <t>Drivers and home-service workers</t>
        </is>
      </c>
      <c r="B58" s="65" t="inlineStr">
        <is>
          <t>lend</t>
        </is>
      </c>
      <c r="C58" s="65" t="inlineStr">
        <is>
          <t>industry today</t>
        </is>
      </c>
      <c r="D58" s="72" t="n">
        <v>0.1</v>
      </c>
      <c r="E58" s="65" t="inlineStr">
        <is>
          <t>evidence</t>
        </is>
      </c>
      <c r="F58" s="71" t="n">
        <v>450.1199840042655</v>
      </c>
      <c r="G58" s="71" t="n">
        <v>-88.68262274555711</v>
      </c>
      <c r="H58" s="71" t="n">
        <v>-538.8026067498226</v>
      </c>
      <c r="I58" s="65" t="inlineStr"/>
    </row>
    <row r="59">
      <c r="A59" s="65" t="inlineStr">
        <is>
          <t>Drivers and home-service workers</t>
        </is>
      </c>
      <c r="B59" s="65" t="inlineStr">
        <is>
          <t>lend</t>
        </is>
      </c>
      <c r="C59" s="65" t="inlineStr">
        <is>
          <t>industry today</t>
        </is>
      </c>
      <c r="D59" s="72" t="n">
        <v>0.2</v>
      </c>
      <c r="E59" s="65" t="inlineStr">
        <is>
          <t>evidence</t>
        </is>
      </c>
      <c r="F59" s="71" t="n">
        <v>450.1199840042655</v>
      </c>
      <c r="G59" s="71" t="n">
        <v>-164.6622223849337</v>
      </c>
      <c r="H59" s="71" t="n">
        <v>-614.7822063891992</v>
      </c>
      <c r="I59" s="65" t="inlineStr"/>
    </row>
    <row r="60">
      <c r="A60" s="65" t="inlineStr">
        <is>
          <t>Drivers and home-service workers</t>
        </is>
      </c>
      <c r="B60" s="65" t="inlineStr">
        <is>
          <t>lend</t>
        </is>
      </c>
      <c r="C60" s="65" t="inlineStr">
        <is>
          <t>industry today</t>
        </is>
      </c>
      <c r="D60" s="72" t="n">
        <v>0.35</v>
      </c>
      <c r="E60" s="65" t="inlineStr">
        <is>
          <t>evidence</t>
        </is>
      </c>
      <c r="F60" s="71" t="n">
        <v>450.1199840042655</v>
      </c>
      <c r="G60" s="71" t="n">
        <v>-278.6316218439986</v>
      </c>
      <c r="H60" s="71" t="n">
        <v>-728.751605848264</v>
      </c>
      <c r="I60" s="65" t="inlineStr"/>
    </row>
    <row r="61">
      <c r="A61" s="65" t="inlineStr">
        <is>
          <t>Drivers and home-service workers</t>
        </is>
      </c>
      <c r="B61" s="65" t="inlineStr">
        <is>
          <t>lend</t>
        </is>
      </c>
      <c r="C61" s="65" t="inlineStr">
        <is>
          <t>industry today</t>
        </is>
      </c>
      <c r="D61" s="72" t="n">
        <v>0.5</v>
      </c>
      <c r="E61" s="65" t="inlineStr">
        <is>
          <t>evidence</t>
        </is>
      </c>
      <c r="F61" s="71" t="n">
        <v>450.1199840042655</v>
      </c>
      <c r="G61" s="71" t="n">
        <v>-392.6010213030634</v>
      </c>
      <c r="H61" s="71" t="n">
        <v>-842.7210053073289</v>
      </c>
      <c r="I61" s="65" t="inlineStr"/>
    </row>
    <row r="62">
      <c r="A62" s="65" t="inlineStr">
        <is>
          <t>Drivers and home-service workers</t>
        </is>
      </c>
      <c r="B62" s="65" t="inlineStr">
        <is>
          <t>referral</t>
        </is>
      </c>
      <c r="C62" s="65" t="inlineStr"/>
      <c r="D62" s="72" t="n">
        <v>0.1</v>
      </c>
      <c r="E62" s="65" t="inlineStr">
        <is>
          <t>evidence</t>
        </is>
      </c>
      <c r="F62" s="71" t="n">
        <v>450.1199840042655</v>
      </c>
      <c r="G62" s="71" t="n">
        <v>109.879839718869</v>
      </c>
      <c r="H62" s="71" t="n">
        <v>-340.2401442853965</v>
      </c>
      <c r="I62" s="65" t="inlineStr"/>
    </row>
    <row r="63">
      <c r="A63" s="65" t="inlineStr">
        <is>
          <t>Drivers and home-service workers</t>
        </is>
      </c>
      <c r="B63" s="65" t="inlineStr">
        <is>
          <t>referral</t>
        </is>
      </c>
      <c r="C63" s="65" t="inlineStr"/>
      <c r="D63" s="72" t="n">
        <v>0.2</v>
      </c>
      <c r="E63" s="65" t="inlineStr">
        <is>
          <t>evidence</t>
        </is>
      </c>
      <c r="F63" s="71" t="n">
        <v>450.1199840042655</v>
      </c>
      <c r="G63" s="71" t="n">
        <v>232.4627025439185</v>
      </c>
      <c r="H63" s="71" t="n">
        <v>-217.657281460347</v>
      </c>
      <c r="I63" s="65" t="inlineStr"/>
    </row>
    <row r="64">
      <c r="A64" s="65" t="inlineStr">
        <is>
          <t>Drivers and home-service workers</t>
        </is>
      </c>
      <c r="B64" s="65" t="inlineStr">
        <is>
          <t>referral</t>
        </is>
      </c>
      <c r="C64" s="65" t="inlineStr"/>
      <c r="D64" s="72" t="n">
        <v>0.35</v>
      </c>
      <c r="E64" s="65" t="inlineStr">
        <is>
          <t>evidence</t>
        </is>
      </c>
      <c r="F64" s="71" t="n">
        <v>450.1199840042655</v>
      </c>
      <c r="G64" s="71" t="n">
        <v>416.3369967814927</v>
      </c>
      <c r="H64" s="71" t="n">
        <v>-33.78298722277282</v>
      </c>
      <c r="I64" s="65" t="n">
        <v>39</v>
      </c>
    </row>
    <row r="65">
      <c r="A65" s="65" t="inlineStr">
        <is>
          <t>Drivers and home-service workers</t>
        </is>
      </c>
      <c r="B65" s="65" t="inlineStr">
        <is>
          <t>referral</t>
        </is>
      </c>
      <c r="C65" s="65" t="inlineStr"/>
      <c r="D65" s="72" t="n">
        <v>0.5</v>
      </c>
      <c r="E65" s="65" t="inlineStr">
        <is>
          <t>evidence</t>
        </is>
      </c>
      <c r="F65" s="71" t="n">
        <v>450.1199840042655</v>
      </c>
      <c r="G65" s="71" t="n">
        <v>600.2112910190667</v>
      </c>
      <c r="H65" s="71" t="n">
        <v>150.0913070148012</v>
      </c>
      <c r="I65" s="65" t="n">
        <v>27</v>
      </c>
    </row>
    <row r="66">
      <c r="A66" s="65" t="inlineStr">
        <is>
          <t>Drivers and home-service workers</t>
        </is>
      </c>
      <c r="B66" s="65" t="inlineStr">
        <is>
          <t>lend</t>
        </is>
      </c>
      <c r="C66" s="65" t="inlineStr">
        <is>
          <t>savers safer</t>
        </is>
      </c>
      <c r="D66" s="72" t="n">
        <v>0.1</v>
      </c>
      <c r="E66" s="65" t="n">
        <v>250</v>
      </c>
      <c r="F66" s="71" t="n">
        <v>250</v>
      </c>
      <c r="G66" s="71" t="n">
        <v>493.8533097996926</v>
      </c>
      <c r="H66" s="71" t="n">
        <v>243.8533097996925</v>
      </c>
      <c r="I66" s="65" t="n">
        <v>19</v>
      </c>
    </row>
    <row r="67">
      <c r="A67" s="65" t="inlineStr">
        <is>
          <t>Drivers and home-service workers</t>
        </is>
      </c>
      <c r="B67" s="65" t="inlineStr">
        <is>
          <t>lend</t>
        </is>
      </c>
      <c r="C67" s="65" t="inlineStr">
        <is>
          <t>savers safer</t>
        </is>
      </c>
      <c r="D67" s="72" t="n">
        <v>0.2</v>
      </c>
      <c r="E67" s="65" t="n">
        <v>250</v>
      </c>
      <c r="F67" s="71" t="n">
        <v>250</v>
      </c>
      <c r="G67" s="71" t="n">
        <v>1000.409642705566</v>
      </c>
      <c r="H67" s="71" t="n">
        <v>750.4096427055656</v>
      </c>
      <c r="I67" s="65" t="n">
        <v>12</v>
      </c>
    </row>
    <row r="68">
      <c r="A68" s="65" t="inlineStr">
        <is>
          <t>Drivers and home-service workers</t>
        </is>
      </c>
      <c r="B68" s="65" t="inlineStr">
        <is>
          <t>lend</t>
        </is>
      </c>
      <c r="C68" s="65" t="inlineStr">
        <is>
          <t>savers safer</t>
        </is>
      </c>
      <c r="D68" s="72" t="n">
        <v>0.35</v>
      </c>
      <c r="E68" s="65" t="n">
        <v>250</v>
      </c>
      <c r="F68" s="71" t="n">
        <v>250</v>
      </c>
      <c r="G68" s="71" t="n">
        <v>1760.244142064374</v>
      </c>
      <c r="H68" s="71" t="n">
        <v>1510.244142064374</v>
      </c>
      <c r="I68" s="65" t="n">
        <v>9</v>
      </c>
    </row>
    <row r="69">
      <c r="A69" s="65" t="inlineStr">
        <is>
          <t>Drivers and home-service workers</t>
        </is>
      </c>
      <c r="B69" s="65" t="inlineStr">
        <is>
          <t>lend</t>
        </is>
      </c>
      <c r="C69" s="65" t="inlineStr">
        <is>
          <t>savers safer</t>
        </is>
      </c>
      <c r="D69" s="72" t="n">
        <v>0.5</v>
      </c>
      <c r="E69" s="65" t="n">
        <v>250</v>
      </c>
      <c r="F69" s="71" t="n">
        <v>250</v>
      </c>
      <c r="G69" s="71" t="n">
        <v>2520.078641423185</v>
      </c>
      <c r="H69" s="71" t="n">
        <v>2270.078641423185</v>
      </c>
      <c r="I69" s="65" t="n">
        <v>8</v>
      </c>
    </row>
    <row r="70">
      <c r="A70" s="65" t="inlineStr">
        <is>
          <t>Drivers and home-service workers</t>
        </is>
      </c>
      <c r="B70" s="65" t="inlineStr">
        <is>
          <t>lend</t>
        </is>
      </c>
      <c r="C70" s="65" t="inlineStr">
        <is>
          <t>industry steady state</t>
        </is>
      </c>
      <c r="D70" s="72" t="n">
        <v>0.1</v>
      </c>
      <c r="E70" s="65" t="n">
        <v>250</v>
      </c>
      <c r="F70" s="71" t="n">
        <v>250</v>
      </c>
      <c r="G70" s="71" t="n">
        <v>229.0642495518519</v>
      </c>
      <c r="H70" s="71" t="n">
        <v>-20.93575044814813</v>
      </c>
      <c r="I70" s="65" t="n">
        <v>40</v>
      </c>
    </row>
    <row r="71">
      <c r="A71" s="65" t="inlineStr">
        <is>
          <t>Drivers and home-service workers</t>
        </is>
      </c>
      <c r="B71" s="65" t="inlineStr">
        <is>
          <t>lend</t>
        </is>
      </c>
      <c r="C71" s="65" t="inlineStr">
        <is>
          <t>industry steady state</t>
        </is>
      </c>
      <c r="D71" s="72" t="n">
        <v>0.2</v>
      </c>
      <c r="E71" s="65" t="n">
        <v>250</v>
      </c>
      <c r="F71" s="71" t="n">
        <v>250</v>
      </c>
      <c r="G71" s="71" t="n">
        <v>470.8315222098842</v>
      </c>
      <c r="H71" s="71" t="n">
        <v>220.8315222098842</v>
      </c>
      <c r="I71" s="65" t="n">
        <v>20</v>
      </c>
    </row>
    <row r="72">
      <c r="A72" s="65" t="inlineStr">
        <is>
          <t>Drivers and home-service workers</t>
        </is>
      </c>
      <c r="B72" s="65" t="inlineStr">
        <is>
          <t>lend</t>
        </is>
      </c>
      <c r="C72" s="65" t="inlineStr">
        <is>
          <t>industry steady state</t>
        </is>
      </c>
      <c r="D72" s="72" t="n">
        <v>0.35</v>
      </c>
      <c r="E72" s="65" t="n">
        <v>250</v>
      </c>
      <c r="F72" s="71" t="n">
        <v>250</v>
      </c>
      <c r="G72" s="71" t="n">
        <v>833.4824311969323</v>
      </c>
      <c r="H72" s="71" t="n">
        <v>583.4824311969323</v>
      </c>
      <c r="I72" s="65" t="n">
        <v>13</v>
      </c>
    </row>
    <row r="73">
      <c r="A73" s="65" t="inlineStr">
        <is>
          <t>Drivers and home-service workers</t>
        </is>
      </c>
      <c r="B73" s="65" t="inlineStr">
        <is>
          <t>lend</t>
        </is>
      </c>
      <c r="C73" s="65" t="inlineStr">
        <is>
          <t>industry steady state</t>
        </is>
      </c>
      <c r="D73" s="72" t="n">
        <v>0.5</v>
      </c>
      <c r="E73" s="65" t="n">
        <v>250</v>
      </c>
      <c r="F73" s="71" t="n">
        <v>250</v>
      </c>
      <c r="G73" s="71" t="n">
        <v>1196.133340183981</v>
      </c>
      <c r="H73" s="71" t="n">
        <v>946.1333401839806</v>
      </c>
      <c r="I73" s="65" t="n">
        <v>11</v>
      </c>
    </row>
    <row r="74">
      <c r="A74" s="65" t="inlineStr">
        <is>
          <t>Drivers and home-service workers</t>
        </is>
      </c>
      <c r="B74" s="65" t="inlineStr">
        <is>
          <t>lend</t>
        </is>
      </c>
      <c r="C74" s="65" t="inlineStr">
        <is>
          <t>industry today</t>
        </is>
      </c>
      <c r="D74" s="72" t="n">
        <v>0.1</v>
      </c>
      <c r="E74" s="65" t="n">
        <v>250</v>
      </c>
      <c r="F74" s="71" t="n">
        <v>250</v>
      </c>
      <c r="G74" s="71" t="n">
        <v>-88.68262274555711</v>
      </c>
      <c r="H74" s="71" t="n">
        <v>-338.6826227455571</v>
      </c>
      <c r="I74" s="65" t="inlineStr"/>
    </row>
    <row r="75">
      <c r="A75" s="65" t="inlineStr">
        <is>
          <t>Drivers and home-service workers</t>
        </is>
      </c>
      <c r="B75" s="65" t="inlineStr">
        <is>
          <t>lend</t>
        </is>
      </c>
      <c r="C75" s="65" t="inlineStr">
        <is>
          <t>industry today</t>
        </is>
      </c>
      <c r="D75" s="72" t="n">
        <v>0.2</v>
      </c>
      <c r="E75" s="65" t="n">
        <v>250</v>
      </c>
      <c r="F75" s="71" t="n">
        <v>250</v>
      </c>
      <c r="G75" s="71" t="n">
        <v>-164.6622223849337</v>
      </c>
      <c r="H75" s="71" t="n">
        <v>-414.6622223849338</v>
      </c>
      <c r="I75" s="65" t="inlineStr"/>
    </row>
    <row r="76">
      <c r="A76" s="65" t="inlineStr">
        <is>
          <t>Drivers and home-service workers</t>
        </is>
      </c>
      <c r="B76" s="65" t="inlineStr">
        <is>
          <t>lend</t>
        </is>
      </c>
      <c r="C76" s="65" t="inlineStr">
        <is>
          <t>industry today</t>
        </is>
      </c>
      <c r="D76" s="72" t="n">
        <v>0.35</v>
      </c>
      <c r="E76" s="65" t="n">
        <v>250</v>
      </c>
      <c r="F76" s="71" t="n">
        <v>250</v>
      </c>
      <c r="G76" s="71" t="n">
        <v>-278.6316218439986</v>
      </c>
      <c r="H76" s="71" t="n">
        <v>-528.6316218439986</v>
      </c>
      <c r="I76" s="65" t="inlineStr"/>
    </row>
    <row r="77">
      <c r="A77" s="65" t="inlineStr">
        <is>
          <t>Drivers and home-service workers</t>
        </is>
      </c>
      <c r="B77" s="65" t="inlineStr">
        <is>
          <t>lend</t>
        </is>
      </c>
      <c r="C77" s="65" t="inlineStr">
        <is>
          <t>industry today</t>
        </is>
      </c>
      <c r="D77" s="72" t="n">
        <v>0.5</v>
      </c>
      <c r="E77" s="65" t="n">
        <v>250</v>
      </c>
      <c r="F77" s="71" t="n">
        <v>250</v>
      </c>
      <c r="G77" s="71" t="n">
        <v>-392.6010213030634</v>
      </c>
      <c r="H77" s="71" t="n">
        <v>-642.6010213030635</v>
      </c>
      <c r="I77" s="65" t="inlineStr"/>
    </row>
    <row r="78">
      <c r="A78" s="65" t="inlineStr">
        <is>
          <t>Drivers and home-service workers</t>
        </is>
      </c>
      <c r="B78" s="65" t="inlineStr">
        <is>
          <t>referral</t>
        </is>
      </c>
      <c r="C78" s="65" t="inlineStr"/>
      <c r="D78" s="72" t="n">
        <v>0.1</v>
      </c>
      <c r="E78" s="65" t="n">
        <v>250</v>
      </c>
      <c r="F78" s="71" t="n">
        <v>250</v>
      </c>
      <c r="G78" s="71" t="n">
        <v>109.879839718869</v>
      </c>
      <c r="H78" s="71" t="n">
        <v>-140.120160281131</v>
      </c>
      <c r="I78" s="65" t="inlineStr"/>
    </row>
    <row r="79">
      <c r="A79" s="65" t="inlineStr">
        <is>
          <t>Drivers and home-service workers</t>
        </is>
      </c>
      <c r="B79" s="65" t="inlineStr">
        <is>
          <t>referral</t>
        </is>
      </c>
      <c r="C79" s="65" t="inlineStr"/>
      <c r="D79" s="72" t="n">
        <v>0.2</v>
      </c>
      <c r="E79" s="65" t="n">
        <v>250</v>
      </c>
      <c r="F79" s="71" t="n">
        <v>250</v>
      </c>
      <c r="G79" s="71" t="n">
        <v>232.4627025439185</v>
      </c>
      <c r="H79" s="71" t="n">
        <v>-17.53729745608152</v>
      </c>
      <c r="I79" s="65" t="n">
        <v>39</v>
      </c>
    </row>
    <row r="80">
      <c r="A80" s="65" t="inlineStr">
        <is>
          <t>Drivers and home-service workers</t>
        </is>
      </c>
      <c r="B80" s="65" t="inlineStr">
        <is>
          <t>referral</t>
        </is>
      </c>
      <c r="C80" s="65" t="inlineStr"/>
      <c r="D80" s="72" t="n">
        <v>0.35</v>
      </c>
      <c r="E80" s="65" t="n">
        <v>250</v>
      </c>
      <c r="F80" s="71" t="n">
        <v>250</v>
      </c>
      <c r="G80" s="71" t="n">
        <v>416.3369967814927</v>
      </c>
      <c r="H80" s="71" t="n">
        <v>166.3369967814927</v>
      </c>
      <c r="I80" s="65" t="n">
        <v>22</v>
      </c>
    </row>
    <row r="81">
      <c r="A81" s="65" t="inlineStr">
        <is>
          <t>Drivers and home-service workers</t>
        </is>
      </c>
      <c r="B81" s="65" t="inlineStr">
        <is>
          <t>referral</t>
        </is>
      </c>
      <c r="C81" s="65" t="inlineStr"/>
      <c r="D81" s="72" t="n">
        <v>0.5</v>
      </c>
      <c r="E81" s="65" t="n">
        <v>250</v>
      </c>
      <c r="F81" s="71" t="n">
        <v>250</v>
      </c>
      <c r="G81" s="71" t="n">
        <v>600.2112910190667</v>
      </c>
      <c r="H81" s="71" t="n">
        <v>350.2112910190667</v>
      </c>
      <c r="I81" s="65" t="n">
        <v>16</v>
      </c>
    </row>
    <row r="82">
      <c r="A82" s="65" t="inlineStr">
        <is>
          <t>Shopkeepers</t>
        </is>
      </c>
      <c r="B82" s="65" t="inlineStr">
        <is>
          <t>lend</t>
        </is>
      </c>
      <c r="C82" s="65" t="inlineStr">
        <is>
          <t>savers safer</t>
        </is>
      </c>
      <c r="D82" s="72" t="n">
        <v>0.1</v>
      </c>
      <c r="E82" s="65" t="inlineStr">
        <is>
          <t>evidence</t>
        </is>
      </c>
      <c r="F82" s="71" t="n">
        <v>499.2394215203765</v>
      </c>
      <c r="G82" s="71" t="n">
        <v>675.4895112794375</v>
      </c>
      <c r="H82" s="71" t="n">
        <v>176.250089759061</v>
      </c>
      <c r="I82" s="65" t="n">
        <v>26</v>
      </c>
    </row>
    <row r="83">
      <c r="A83" s="65" t="inlineStr">
        <is>
          <t>Shopkeepers</t>
        </is>
      </c>
      <c r="B83" s="65" t="inlineStr">
        <is>
          <t>lend</t>
        </is>
      </c>
      <c r="C83" s="65" t="inlineStr">
        <is>
          <t>savers safer</t>
        </is>
      </c>
      <c r="D83" s="72" t="n">
        <v>0.2</v>
      </c>
      <c r="E83" s="65" t="inlineStr">
        <is>
          <t>evidence</t>
        </is>
      </c>
      <c r="F83" s="71" t="n">
        <v>499.2394215203765</v>
      </c>
      <c r="G83" s="71" t="n">
        <v>1357.837433662</v>
      </c>
      <c r="H83" s="71" t="n">
        <v>858.598012141623</v>
      </c>
      <c r="I83" s="65" t="n">
        <v>15</v>
      </c>
    </row>
    <row r="84">
      <c r="A84" s="65" t="inlineStr">
        <is>
          <t>Shopkeepers</t>
        </is>
      </c>
      <c r="B84" s="65" t="inlineStr">
        <is>
          <t>lend</t>
        </is>
      </c>
      <c r="C84" s="65" t="inlineStr">
        <is>
          <t>savers safer</t>
        </is>
      </c>
      <c r="D84" s="72" t="n">
        <v>0.35</v>
      </c>
      <c r="E84" s="65" t="inlineStr">
        <is>
          <t>evidence</t>
        </is>
      </c>
      <c r="F84" s="71" t="n">
        <v>499.2394215203765</v>
      </c>
      <c r="G84" s="71" t="n">
        <v>2381.359317235843</v>
      </c>
      <c r="H84" s="71" t="n">
        <v>1882.119895715467</v>
      </c>
      <c r="I84" s="65" t="n">
        <v>11</v>
      </c>
    </row>
    <row r="85">
      <c r="A85" s="65" t="inlineStr">
        <is>
          <t>Shopkeepers</t>
        </is>
      </c>
      <c r="B85" s="65" t="inlineStr">
        <is>
          <t>lend</t>
        </is>
      </c>
      <c r="C85" s="65" t="inlineStr">
        <is>
          <t>savers safer</t>
        </is>
      </c>
      <c r="D85" s="72" t="n">
        <v>0.5</v>
      </c>
      <c r="E85" s="65" t="inlineStr">
        <is>
          <t>evidence</t>
        </is>
      </c>
      <c r="F85" s="71" t="n">
        <v>499.2394215203765</v>
      </c>
      <c r="G85" s="71" t="n">
        <v>3404.881200809685</v>
      </c>
      <c r="H85" s="71" t="n">
        <v>2905.641779289309</v>
      </c>
      <c r="I85" s="65" t="n">
        <v>9</v>
      </c>
    </row>
    <row r="86">
      <c r="A86" s="65" t="inlineStr">
        <is>
          <t>Shopkeepers</t>
        </is>
      </c>
      <c r="B86" s="65" t="inlineStr">
        <is>
          <t>lend</t>
        </is>
      </c>
      <c r="C86" s="65" t="inlineStr">
        <is>
          <t>industry steady state</t>
        </is>
      </c>
      <c r="D86" s="72" t="n">
        <v>0.1</v>
      </c>
      <c r="E86" s="65" t="inlineStr">
        <is>
          <t>evidence</t>
        </is>
      </c>
      <c r="F86" s="71" t="n">
        <v>499.2394215203765</v>
      </c>
      <c r="G86" s="71" t="n">
        <v>348.4867589350101</v>
      </c>
      <c r="H86" s="71" t="n">
        <v>-150.7526625853664</v>
      </c>
      <c r="I86" s="65" t="n">
        <v>56</v>
      </c>
    </row>
    <row r="87">
      <c r="A87" s="65" t="inlineStr">
        <is>
          <t>Shopkeepers</t>
        </is>
      </c>
      <c r="B87" s="65" t="inlineStr">
        <is>
          <t>lend</t>
        </is>
      </c>
      <c r="C87" s="65" t="inlineStr">
        <is>
          <t>industry steady state</t>
        </is>
      </c>
      <c r="D87" s="72" t="n">
        <v>0.2</v>
      </c>
      <c r="E87" s="65" t="inlineStr">
        <is>
          <t>evidence</t>
        </is>
      </c>
      <c r="F87" s="71" t="n">
        <v>499.2394215203765</v>
      </c>
      <c r="G87" s="71" t="n">
        <v>703.8319289731451</v>
      </c>
      <c r="H87" s="71" t="n">
        <v>204.5925074527686</v>
      </c>
      <c r="I87" s="65" t="n">
        <v>25</v>
      </c>
    </row>
    <row r="88">
      <c r="A88" s="65" t="inlineStr">
        <is>
          <t>Shopkeepers</t>
        </is>
      </c>
      <c r="B88" s="65" t="inlineStr">
        <is>
          <t>lend</t>
        </is>
      </c>
      <c r="C88" s="65" t="inlineStr">
        <is>
          <t>industry steady state</t>
        </is>
      </c>
      <c r="D88" s="72" t="n">
        <v>0.35</v>
      </c>
      <c r="E88" s="65" t="inlineStr">
        <is>
          <t>evidence</t>
        </is>
      </c>
      <c r="F88" s="71" t="n">
        <v>499.2394215203765</v>
      </c>
      <c r="G88" s="71" t="n">
        <v>1236.849684030349</v>
      </c>
      <c r="H88" s="71" t="n">
        <v>737.6102625099722</v>
      </c>
      <c r="I88" s="65" t="n">
        <v>16</v>
      </c>
    </row>
    <row r="89">
      <c r="A89" s="65" t="inlineStr">
        <is>
          <t>Shopkeepers</t>
        </is>
      </c>
      <c r="B89" s="65" t="inlineStr">
        <is>
          <t>lend</t>
        </is>
      </c>
      <c r="C89" s="65" t="inlineStr">
        <is>
          <t>industry steady state</t>
        </is>
      </c>
      <c r="D89" s="72" t="n">
        <v>0.5</v>
      </c>
      <c r="E89" s="65" t="inlineStr">
        <is>
          <t>evidence</t>
        </is>
      </c>
      <c r="F89" s="71" t="n">
        <v>499.2394215203765</v>
      </c>
      <c r="G89" s="71" t="n">
        <v>1769.86743908755</v>
      </c>
      <c r="H89" s="71" t="n">
        <v>1270.628017567174</v>
      </c>
      <c r="I89" s="65" t="n">
        <v>13</v>
      </c>
    </row>
    <row r="90">
      <c r="A90" s="65" t="inlineStr">
        <is>
          <t>Shopkeepers</t>
        </is>
      </c>
      <c r="B90" s="65" t="inlineStr">
        <is>
          <t>lend</t>
        </is>
      </c>
      <c r="C90" s="65" t="inlineStr">
        <is>
          <t>industry today</t>
        </is>
      </c>
      <c r="D90" s="72" t="n">
        <v>0.1</v>
      </c>
      <c r="E90" s="65" t="inlineStr">
        <is>
          <t>evidence</t>
        </is>
      </c>
      <c r="F90" s="71" t="n">
        <v>499.2394215203765</v>
      </c>
      <c r="G90" s="71" t="n">
        <v>-43.91654387830199</v>
      </c>
      <c r="H90" s="71" t="n">
        <v>-543.1559653986785</v>
      </c>
      <c r="I90" s="65" t="inlineStr"/>
    </row>
    <row r="91">
      <c r="A91" s="65" t="inlineStr">
        <is>
          <t>Shopkeepers</t>
        </is>
      </c>
      <c r="B91" s="65" t="inlineStr">
        <is>
          <t>lend</t>
        </is>
      </c>
      <c r="C91" s="65" t="inlineStr">
        <is>
          <t>industry today</t>
        </is>
      </c>
      <c r="D91" s="72" t="n">
        <v>0.2</v>
      </c>
      <c r="E91" s="65" t="inlineStr">
        <is>
          <t>evidence</t>
        </is>
      </c>
      <c r="F91" s="71" t="n">
        <v>499.2394215203765</v>
      </c>
      <c r="G91" s="71" t="n">
        <v>-80.97467665347926</v>
      </c>
      <c r="H91" s="71" t="n">
        <v>-580.2140981738557</v>
      </c>
      <c r="I91" s="65" t="inlineStr"/>
    </row>
    <row r="92">
      <c r="A92" s="65" t="inlineStr">
        <is>
          <t>Shopkeepers</t>
        </is>
      </c>
      <c r="B92" s="65" t="inlineStr">
        <is>
          <t>lend</t>
        </is>
      </c>
      <c r="C92" s="65" t="inlineStr">
        <is>
          <t>industry today</t>
        </is>
      </c>
      <c r="D92" s="72" t="n">
        <v>0.35</v>
      </c>
      <c r="E92" s="65" t="inlineStr">
        <is>
          <t>evidence</t>
        </is>
      </c>
      <c r="F92" s="71" t="n">
        <v>499.2394215203765</v>
      </c>
      <c r="G92" s="71" t="n">
        <v>-136.5618758162452</v>
      </c>
      <c r="H92" s="71" t="n">
        <v>-635.8012973366217</v>
      </c>
      <c r="I92" s="65" t="inlineStr"/>
    </row>
    <row r="93">
      <c r="A93" s="65" t="inlineStr">
        <is>
          <t>Shopkeepers</t>
        </is>
      </c>
      <c r="B93" s="65" t="inlineStr">
        <is>
          <t>lend</t>
        </is>
      </c>
      <c r="C93" s="65" t="inlineStr">
        <is>
          <t>industry today</t>
        </is>
      </c>
      <c r="D93" s="72" t="n">
        <v>0.5</v>
      </c>
      <c r="E93" s="65" t="inlineStr">
        <is>
          <t>evidence</t>
        </is>
      </c>
      <c r="F93" s="71" t="n">
        <v>499.2394215203765</v>
      </c>
      <c r="G93" s="71" t="n">
        <v>-192.1490749790111</v>
      </c>
      <c r="H93" s="71" t="n">
        <v>-691.3884964993877</v>
      </c>
      <c r="I93" s="65" t="inlineStr"/>
    </row>
    <row r="94">
      <c r="A94" s="65" t="inlineStr">
        <is>
          <t>Shopkeepers</t>
        </is>
      </c>
      <c r="B94" s="65" t="inlineStr">
        <is>
          <t>referral</t>
        </is>
      </c>
      <c r="C94" s="65" t="inlineStr"/>
      <c r="D94" s="72" t="n">
        <v>0.1</v>
      </c>
      <c r="E94" s="65" t="inlineStr">
        <is>
          <t>evidence</t>
        </is>
      </c>
      <c r="F94" s="71" t="n">
        <v>499.2394215203765</v>
      </c>
      <c r="G94" s="71" t="n">
        <v>219.1877926717212</v>
      </c>
      <c r="H94" s="71" t="n">
        <v>-280.0516288486552</v>
      </c>
      <c r="I94" s="65" t="inlineStr"/>
    </row>
    <row r="95">
      <c r="A95" s="65" t="inlineStr">
        <is>
          <t>Shopkeepers</t>
        </is>
      </c>
      <c r="B95" s="65" t="inlineStr">
        <is>
          <t>referral</t>
        </is>
      </c>
      <c r="C95" s="65" t="inlineStr"/>
      <c r="D95" s="72" t="n">
        <v>0.2</v>
      </c>
      <c r="E95" s="65" t="inlineStr">
        <is>
          <t>evidence</t>
        </is>
      </c>
      <c r="F95" s="71" t="n">
        <v>499.2394215203765</v>
      </c>
      <c r="G95" s="71" t="n">
        <v>445.2339964465672</v>
      </c>
      <c r="H95" s="71" t="n">
        <v>-54.00542507380931</v>
      </c>
      <c r="I95" s="65" t="n">
        <v>41</v>
      </c>
    </row>
    <row r="96">
      <c r="A96" s="65" t="inlineStr">
        <is>
          <t>Shopkeepers</t>
        </is>
      </c>
      <c r="B96" s="65" t="inlineStr">
        <is>
          <t>referral</t>
        </is>
      </c>
      <c r="C96" s="65" t="inlineStr"/>
      <c r="D96" s="72" t="n">
        <v>0.35</v>
      </c>
      <c r="E96" s="65" t="inlineStr">
        <is>
          <t>evidence</t>
        </is>
      </c>
      <c r="F96" s="71" t="n">
        <v>499.2394215203765</v>
      </c>
      <c r="G96" s="71" t="n">
        <v>784.3033021088362</v>
      </c>
      <c r="H96" s="71" t="n">
        <v>285.0638805884597</v>
      </c>
      <c r="I96" s="65" t="n">
        <v>23</v>
      </c>
    </row>
    <row r="97">
      <c r="A97" s="65" t="inlineStr">
        <is>
          <t>Shopkeepers</t>
        </is>
      </c>
      <c r="B97" s="65" t="inlineStr">
        <is>
          <t>referral</t>
        </is>
      </c>
      <c r="C97" s="65" t="inlineStr"/>
      <c r="D97" s="72" t="n">
        <v>0.5</v>
      </c>
      <c r="E97" s="65" t="inlineStr">
        <is>
          <t>evidence</t>
        </is>
      </c>
      <c r="F97" s="71" t="n">
        <v>499.2394215203765</v>
      </c>
      <c r="G97" s="71" t="n">
        <v>1123.372607771105</v>
      </c>
      <c r="H97" s="71" t="n">
        <v>624.1331862507288</v>
      </c>
      <c r="I97" s="65" t="n">
        <v>17</v>
      </c>
    </row>
    <row r="98">
      <c r="A98" s="65" t="inlineStr">
        <is>
          <t>Shopkeepers</t>
        </is>
      </c>
      <c r="B98" s="65" t="inlineStr">
        <is>
          <t>lend</t>
        </is>
      </c>
      <c r="C98" s="65" t="inlineStr">
        <is>
          <t>savers safer</t>
        </is>
      </c>
      <c r="D98" s="72" t="n">
        <v>0.1</v>
      </c>
      <c r="E98" s="65" t="n">
        <v>250</v>
      </c>
      <c r="F98" s="71" t="n">
        <v>250</v>
      </c>
      <c r="G98" s="71" t="n">
        <v>675.4895112794375</v>
      </c>
      <c r="H98" s="71" t="n">
        <v>425.4895112794375</v>
      </c>
      <c r="I98" s="65" t="n">
        <v>15</v>
      </c>
    </row>
    <row r="99">
      <c r="A99" s="65" t="inlineStr">
        <is>
          <t>Shopkeepers</t>
        </is>
      </c>
      <c r="B99" s="65" t="inlineStr">
        <is>
          <t>lend</t>
        </is>
      </c>
      <c r="C99" s="65" t="inlineStr">
        <is>
          <t>savers safer</t>
        </is>
      </c>
      <c r="D99" s="72" t="n">
        <v>0.2</v>
      </c>
      <c r="E99" s="65" t="n">
        <v>250</v>
      </c>
      <c r="F99" s="71" t="n">
        <v>250</v>
      </c>
      <c r="G99" s="71" t="n">
        <v>1357.837433662</v>
      </c>
      <c r="H99" s="71" t="n">
        <v>1107.837433662</v>
      </c>
      <c r="I99" s="65" t="n">
        <v>10</v>
      </c>
    </row>
    <row r="100">
      <c r="A100" s="65" t="inlineStr">
        <is>
          <t>Shopkeepers</t>
        </is>
      </c>
      <c r="B100" s="65" t="inlineStr">
        <is>
          <t>lend</t>
        </is>
      </c>
      <c r="C100" s="65" t="inlineStr">
        <is>
          <t>savers safer</t>
        </is>
      </c>
      <c r="D100" s="72" t="n">
        <v>0.35</v>
      </c>
      <c r="E100" s="65" t="n">
        <v>250</v>
      </c>
      <c r="F100" s="71" t="n">
        <v>250</v>
      </c>
      <c r="G100" s="71" t="n">
        <v>2381.359317235843</v>
      </c>
      <c r="H100" s="71" t="n">
        <v>2131.359317235843</v>
      </c>
      <c r="I100" s="65" t="n">
        <v>8</v>
      </c>
    </row>
    <row r="101">
      <c r="A101" s="65" t="inlineStr">
        <is>
          <t>Shopkeepers</t>
        </is>
      </c>
      <c r="B101" s="65" t="inlineStr">
        <is>
          <t>lend</t>
        </is>
      </c>
      <c r="C101" s="65" t="inlineStr">
        <is>
          <t>savers safer</t>
        </is>
      </c>
      <c r="D101" s="72" t="n">
        <v>0.5</v>
      </c>
      <c r="E101" s="65" t="n">
        <v>250</v>
      </c>
      <c r="F101" s="71" t="n">
        <v>250</v>
      </c>
      <c r="G101" s="71" t="n">
        <v>3404.881200809685</v>
      </c>
      <c r="H101" s="71" t="n">
        <v>3154.881200809685</v>
      </c>
      <c r="I101" s="65" t="n">
        <v>7</v>
      </c>
    </row>
    <row r="102">
      <c r="A102" s="65" t="inlineStr">
        <is>
          <t>Shopkeepers</t>
        </is>
      </c>
      <c r="B102" s="65" t="inlineStr">
        <is>
          <t>lend</t>
        </is>
      </c>
      <c r="C102" s="65" t="inlineStr">
        <is>
          <t>industry steady state</t>
        </is>
      </c>
      <c r="D102" s="72" t="n">
        <v>0.1</v>
      </c>
      <c r="E102" s="65" t="n">
        <v>250</v>
      </c>
      <c r="F102" s="71" t="n">
        <v>250</v>
      </c>
      <c r="G102" s="71" t="n">
        <v>348.4867589350101</v>
      </c>
      <c r="H102" s="71" t="n">
        <v>98.4867589350101</v>
      </c>
      <c r="I102" s="65" t="n">
        <v>26</v>
      </c>
    </row>
    <row r="103">
      <c r="A103" s="65" t="inlineStr">
        <is>
          <t>Shopkeepers</t>
        </is>
      </c>
      <c r="B103" s="65" t="inlineStr">
        <is>
          <t>lend</t>
        </is>
      </c>
      <c r="C103" s="65" t="inlineStr">
        <is>
          <t>industry steady state</t>
        </is>
      </c>
      <c r="D103" s="72" t="n">
        <v>0.2</v>
      </c>
      <c r="E103" s="65" t="n">
        <v>250</v>
      </c>
      <c r="F103" s="71" t="n">
        <v>250</v>
      </c>
      <c r="G103" s="71" t="n">
        <v>703.8319289731451</v>
      </c>
      <c r="H103" s="71" t="n">
        <v>453.8319289731451</v>
      </c>
      <c r="I103" s="65" t="n">
        <v>15</v>
      </c>
    </row>
    <row r="104">
      <c r="A104" s="65" t="inlineStr">
        <is>
          <t>Shopkeepers</t>
        </is>
      </c>
      <c r="B104" s="65" t="inlineStr">
        <is>
          <t>lend</t>
        </is>
      </c>
      <c r="C104" s="65" t="inlineStr">
        <is>
          <t>industry steady state</t>
        </is>
      </c>
      <c r="D104" s="72" t="n">
        <v>0.35</v>
      </c>
      <c r="E104" s="65" t="n">
        <v>250</v>
      </c>
      <c r="F104" s="71" t="n">
        <v>250</v>
      </c>
      <c r="G104" s="71" t="n">
        <v>1236.849684030349</v>
      </c>
      <c r="H104" s="71" t="n">
        <v>986.8496840303487</v>
      </c>
      <c r="I104" s="65" t="n">
        <v>11</v>
      </c>
    </row>
    <row r="105">
      <c r="A105" s="65" t="inlineStr">
        <is>
          <t>Shopkeepers</t>
        </is>
      </c>
      <c r="B105" s="65" t="inlineStr">
        <is>
          <t>lend</t>
        </is>
      </c>
      <c r="C105" s="65" t="inlineStr">
        <is>
          <t>industry steady state</t>
        </is>
      </c>
      <c r="D105" s="72" t="n">
        <v>0.5</v>
      </c>
      <c r="E105" s="65" t="n">
        <v>250</v>
      </c>
      <c r="F105" s="71" t="n">
        <v>250</v>
      </c>
      <c r="G105" s="71" t="n">
        <v>1769.86743908755</v>
      </c>
      <c r="H105" s="71" t="n">
        <v>1519.86743908755</v>
      </c>
      <c r="I105" s="65" t="n">
        <v>9</v>
      </c>
    </row>
    <row r="106">
      <c r="A106" s="65" t="inlineStr">
        <is>
          <t>Shopkeepers</t>
        </is>
      </c>
      <c r="B106" s="65" t="inlineStr">
        <is>
          <t>lend</t>
        </is>
      </c>
      <c r="C106" s="65" t="inlineStr">
        <is>
          <t>industry today</t>
        </is>
      </c>
      <c r="D106" s="72" t="n">
        <v>0.1</v>
      </c>
      <c r="E106" s="65" t="n">
        <v>250</v>
      </c>
      <c r="F106" s="71" t="n">
        <v>250</v>
      </c>
      <c r="G106" s="71" t="n">
        <v>-43.91654387830199</v>
      </c>
      <c r="H106" s="71" t="n">
        <v>-293.916543878302</v>
      </c>
      <c r="I106" s="65" t="inlineStr"/>
    </row>
    <row r="107">
      <c r="A107" s="65" t="inlineStr">
        <is>
          <t>Shopkeepers</t>
        </is>
      </c>
      <c r="B107" s="65" t="inlineStr">
        <is>
          <t>lend</t>
        </is>
      </c>
      <c r="C107" s="65" t="inlineStr">
        <is>
          <t>industry today</t>
        </is>
      </c>
      <c r="D107" s="72" t="n">
        <v>0.2</v>
      </c>
      <c r="E107" s="65" t="n">
        <v>250</v>
      </c>
      <c r="F107" s="71" t="n">
        <v>250</v>
      </c>
      <c r="G107" s="71" t="n">
        <v>-80.97467665347926</v>
      </c>
      <c r="H107" s="71" t="n">
        <v>-330.9746766534793</v>
      </c>
      <c r="I107" s="65" t="inlineStr"/>
    </row>
    <row r="108">
      <c r="A108" s="65" t="inlineStr">
        <is>
          <t>Shopkeepers</t>
        </is>
      </c>
      <c r="B108" s="65" t="inlineStr">
        <is>
          <t>lend</t>
        </is>
      </c>
      <c r="C108" s="65" t="inlineStr">
        <is>
          <t>industry today</t>
        </is>
      </c>
      <c r="D108" s="72" t="n">
        <v>0.35</v>
      </c>
      <c r="E108" s="65" t="n">
        <v>250</v>
      </c>
      <c r="F108" s="71" t="n">
        <v>250</v>
      </c>
      <c r="G108" s="71" t="n">
        <v>-136.5618758162452</v>
      </c>
      <c r="H108" s="71" t="n">
        <v>-386.5618758162452</v>
      </c>
      <c r="I108" s="65" t="inlineStr"/>
    </row>
    <row r="109">
      <c r="A109" s="65" t="inlineStr">
        <is>
          <t>Shopkeepers</t>
        </is>
      </c>
      <c r="B109" s="65" t="inlineStr">
        <is>
          <t>lend</t>
        </is>
      </c>
      <c r="C109" s="65" t="inlineStr">
        <is>
          <t>industry today</t>
        </is>
      </c>
      <c r="D109" s="72" t="n">
        <v>0.5</v>
      </c>
      <c r="E109" s="65" t="n">
        <v>250</v>
      </c>
      <c r="F109" s="71" t="n">
        <v>250</v>
      </c>
      <c r="G109" s="71" t="n">
        <v>-192.1490749790111</v>
      </c>
      <c r="H109" s="71" t="n">
        <v>-442.1490749790112</v>
      </c>
      <c r="I109" s="65" t="inlineStr"/>
    </row>
    <row r="110">
      <c r="A110" s="65" t="inlineStr">
        <is>
          <t>Shopkeepers</t>
        </is>
      </c>
      <c r="B110" s="65" t="inlineStr">
        <is>
          <t>referral</t>
        </is>
      </c>
      <c r="C110" s="65" t="inlineStr"/>
      <c r="D110" s="72" t="n">
        <v>0.1</v>
      </c>
      <c r="E110" s="65" t="n">
        <v>250</v>
      </c>
      <c r="F110" s="71" t="n">
        <v>250</v>
      </c>
      <c r="G110" s="71" t="n">
        <v>219.1877926717212</v>
      </c>
      <c r="H110" s="71" t="n">
        <v>-30.81220732827879</v>
      </c>
      <c r="I110" s="65" t="n">
        <v>42</v>
      </c>
    </row>
    <row r="111">
      <c r="A111" s="65" t="inlineStr">
        <is>
          <t>Shopkeepers</t>
        </is>
      </c>
      <c r="B111" s="65" t="inlineStr">
        <is>
          <t>referral</t>
        </is>
      </c>
      <c r="C111" s="65" t="inlineStr"/>
      <c r="D111" s="72" t="n">
        <v>0.2</v>
      </c>
      <c r="E111" s="65" t="n">
        <v>250</v>
      </c>
      <c r="F111" s="71" t="n">
        <v>250</v>
      </c>
      <c r="G111" s="71" t="n">
        <v>445.2339964465672</v>
      </c>
      <c r="H111" s="71" t="n">
        <v>195.2339964465671</v>
      </c>
      <c r="I111" s="65" t="n">
        <v>21</v>
      </c>
    </row>
    <row r="112">
      <c r="A112" s="65" t="inlineStr">
        <is>
          <t>Shopkeepers</t>
        </is>
      </c>
      <c r="B112" s="65" t="inlineStr">
        <is>
          <t>referral</t>
        </is>
      </c>
      <c r="C112" s="65" t="inlineStr"/>
      <c r="D112" s="72" t="n">
        <v>0.35</v>
      </c>
      <c r="E112" s="65" t="n">
        <v>250</v>
      </c>
      <c r="F112" s="71" t="n">
        <v>250</v>
      </c>
      <c r="G112" s="71" t="n">
        <v>784.3033021088362</v>
      </c>
      <c r="H112" s="71" t="n">
        <v>534.3033021088362</v>
      </c>
      <c r="I112" s="65" t="n">
        <v>14</v>
      </c>
    </row>
    <row r="113">
      <c r="A113" s="65" t="inlineStr">
        <is>
          <t>Shopkeepers</t>
        </is>
      </c>
      <c r="B113" s="65" t="inlineStr">
        <is>
          <t>referral</t>
        </is>
      </c>
      <c r="C113" s="65" t="inlineStr"/>
      <c r="D113" s="72" t="n">
        <v>0.5</v>
      </c>
      <c r="E113" s="65" t="n">
        <v>250</v>
      </c>
      <c r="F113" s="71" t="n">
        <v>250</v>
      </c>
      <c r="G113" s="71" t="n">
        <v>1123.372607771105</v>
      </c>
      <c r="H113" s="71" t="n">
        <v>873.3726077711053</v>
      </c>
      <c r="I113" s="65" t="n">
        <v>11</v>
      </c>
    </row>
    <row r="115">
      <c r="A115" s="2" t="inlineStr">
        <is>
          <t>One shopkeeper worked through (1 in 5 borrowing a year)</t>
        </is>
      </c>
    </row>
    <row r="116">
      <c r="A116" s="64" t="inlineStr">
        <is>
          <t>case</t>
        </is>
      </c>
      <c r="B116" s="64" t="inlineStr">
        <is>
          <t>cac</t>
        </is>
      </c>
      <c r="C116" s="64" t="inlineStr">
        <is>
          <t>savings</t>
        </is>
      </c>
      <c r="D116" s="64" t="inlineStr">
        <is>
          <t>loans</t>
        </is>
      </c>
      <c r="E116" s="64" t="inlineStr">
        <is>
          <t>other</t>
        </is>
      </c>
      <c r="F116" s="64" t="inlineStr">
        <is>
          <t>serve</t>
        </is>
      </c>
      <c r="G116" s="64" t="inlineStr">
        <is>
          <t>net</t>
        </is>
      </c>
      <c r="H116" s="64" t="inlineStr">
        <is>
          <t>payback</t>
        </is>
      </c>
    </row>
    <row r="117">
      <c r="A117" s="65" t="inlineStr">
        <is>
          <t>savers safer</t>
        </is>
      </c>
      <c r="B117" s="71" t="n">
        <v>499.2394215203765</v>
      </c>
      <c r="C117" s="71" t="n">
        <v>30.6218732855278</v>
      </c>
      <c r="D117" s="71" t="n">
        <v>1364.695844765124</v>
      </c>
      <c r="E117" s="71" t="n">
        <v>73.67253145689155</v>
      </c>
      <c r="F117" s="71" t="n">
        <v>111.1528158455441</v>
      </c>
      <c r="G117" s="71" t="n">
        <v>858.598012141623</v>
      </c>
      <c r="H117" s="65" t="n">
        <v>15</v>
      </c>
    </row>
    <row r="118">
      <c r="A118" s="65" t="inlineStr">
        <is>
          <t>industry steady state</t>
        </is>
      </c>
      <c r="B118" s="71" t="n">
        <v>499.2394215203765</v>
      </c>
      <c r="C118" s="71" t="n">
        <v>30.6218732855278</v>
      </c>
      <c r="D118" s="71" t="n">
        <v>710.6903400762698</v>
      </c>
      <c r="E118" s="71" t="n">
        <v>73.67253145689155</v>
      </c>
      <c r="F118" s="71" t="n">
        <v>111.1528158455441</v>
      </c>
      <c r="G118" s="71" t="n">
        <v>204.5925074527686</v>
      </c>
      <c r="H118" s="65" t="n">
        <v>25</v>
      </c>
    </row>
    <row r="119">
      <c r="A119" s="65" t="inlineStr">
        <is>
          <t>industry today</t>
        </is>
      </c>
      <c r="B119" s="71" t="n">
        <v>499.2394215203765</v>
      </c>
      <c r="C119" s="71" t="n">
        <v>30.6218732855278</v>
      </c>
      <c r="D119" s="71" t="n">
        <v>-74.11626555035454</v>
      </c>
      <c r="E119" s="71" t="n">
        <v>73.67253145689155</v>
      </c>
      <c r="F119" s="71" t="n">
        <v>111.1528158455441</v>
      </c>
      <c r="G119" s="71" t="n">
        <v>-580.2140981738557</v>
      </c>
      <c r="H119" s="65" t="inlineStr"/>
    </row>
    <row r="121">
      <c r="A121" s="2" t="inlineStr">
        <is>
          <t>Customers won a year to cover an NBFC's fixed running cost</t>
        </is>
      </c>
    </row>
    <row r="122">
      <c r="A122" s="64" t="inlineStr">
        <is>
          <t>segment</t>
        </is>
      </c>
      <c r="B122" s="64" t="inlineStr">
        <is>
          <t>case</t>
        </is>
      </c>
      <c r="C122" s="64" t="inlineStr">
        <is>
          <t>takeup</t>
        </is>
      </c>
      <c r="D122" s="64" t="inlineStr">
        <is>
          <t>net_per_customer</t>
        </is>
      </c>
      <c r="E122" s="64" t="inlineStr">
        <is>
          <t>customers_a_year_for_3cr</t>
        </is>
      </c>
      <c r="F122" s="64" t="inlineStr">
        <is>
          <t>customers_a_year_for_5cr</t>
        </is>
      </c>
      <c r="G122" s="64" t="inlineStr">
        <is>
          <t>customers_a_year_for_8cr</t>
        </is>
      </c>
    </row>
    <row r="123">
      <c r="A123" s="65" t="inlineStr">
        <is>
          <t>Shopkeepers</t>
        </is>
      </c>
      <c r="B123" s="65" t="inlineStr">
        <is>
          <t>savers safer</t>
        </is>
      </c>
      <c r="C123" s="65" t="n">
        <v>0.2</v>
      </c>
      <c r="D123" s="71" t="n">
        <v>858.598012141623</v>
      </c>
      <c r="E123" s="71" t="n">
        <v>34940.681874129</v>
      </c>
      <c r="F123" s="71" t="n">
        <v>58234.469790215</v>
      </c>
      <c r="G123" s="71" t="n">
        <v>93175.151664344</v>
      </c>
    </row>
    <row r="124">
      <c r="A124" s="65" t="inlineStr">
        <is>
          <t>Shopkeepers</t>
        </is>
      </c>
      <c r="B124" s="65" t="inlineStr">
        <is>
          <t>savers safer</t>
        </is>
      </c>
      <c r="C124" s="65" t="n">
        <v>0.35</v>
      </c>
      <c r="D124" s="71" t="n">
        <v>1882.119895715467</v>
      </c>
      <c r="E124" s="71" t="n">
        <v>15939.47339289766</v>
      </c>
      <c r="F124" s="71" t="n">
        <v>26565.78898816277</v>
      </c>
      <c r="G124" s="71" t="n">
        <v>42505.26238106043</v>
      </c>
    </row>
    <row r="125">
      <c r="A125" s="65" t="inlineStr">
        <is>
          <t>Shopkeepers</t>
        </is>
      </c>
      <c r="B125" s="65" t="inlineStr">
        <is>
          <t>industry steady state</t>
        </is>
      </c>
      <c r="C125" s="65" t="n">
        <v>0.2</v>
      </c>
      <c r="D125" s="71" t="n">
        <v>204.5925074527686</v>
      </c>
      <c r="E125" s="71" t="n">
        <v>146632.9357487624</v>
      </c>
      <c r="F125" s="71" t="n">
        <v>244388.2262479373</v>
      </c>
      <c r="G125" s="71" t="n">
        <v>391021.1619966996</v>
      </c>
    </row>
    <row r="126">
      <c r="A126" s="65" t="inlineStr">
        <is>
          <t>Shopkeepers</t>
        </is>
      </c>
      <c r="B126" s="65" t="inlineStr">
        <is>
          <t>industry steady state</t>
        </is>
      </c>
      <c r="C126" s="65" t="n">
        <v>0.35</v>
      </c>
      <c r="D126" s="71" t="n">
        <v>737.6102625099722</v>
      </c>
      <c r="E126" s="71" t="n">
        <v>40671.88530961418</v>
      </c>
      <c r="F126" s="71" t="n">
        <v>67786.47551602364</v>
      </c>
      <c r="G126" s="71" t="n">
        <v>108458.3608256378</v>
      </c>
    </row>
    <row r="127">
      <c r="A127" s="65" t="inlineStr">
        <is>
          <t>Drivers and home-service workers</t>
        </is>
      </c>
      <c r="B127" s="65" t="inlineStr">
        <is>
          <t>savers safer</t>
        </is>
      </c>
      <c r="C127" s="65" t="n">
        <v>0.2</v>
      </c>
      <c r="D127" s="71" t="n">
        <v>550.2896587013001</v>
      </c>
      <c r="E127" s="71" t="n">
        <v>54516.74318358242</v>
      </c>
      <c r="F127" s="71" t="n">
        <v>90861.23863930404</v>
      </c>
      <c r="G127" s="71" t="n">
        <v>145377.9818228864</v>
      </c>
    </row>
    <row r="128">
      <c r="A128" s="65" t="inlineStr">
        <is>
          <t>Drivers and home-service workers</t>
        </is>
      </c>
      <c r="B128" s="65" t="inlineStr">
        <is>
          <t>savers safer</t>
        </is>
      </c>
      <c r="C128" s="65" t="n">
        <v>0.35</v>
      </c>
      <c r="D128" s="71" t="n">
        <v>1310.124158060109</v>
      </c>
      <c r="E128" s="71" t="n">
        <v>22898.59309549774</v>
      </c>
      <c r="F128" s="71" t="n">
        <v>38164.32182582957</v>
      </c>
      <c r="G128" s="71" t="n">
        <v>61062.91492132731</v>
      </c>
    </row>
    <row r="129">
      <c r="A129" s="65" t="inlineStr">
        <is>
          <t>Drivers and home-service workers</t>
        </is>
      </c>
      <c r="B129" s="65" t="inlineStr">
        <is>
          <t>industry steady state</t>
        </is>
      </c>
      <c r="C129" s="65" t="n">
        <v>0.2</v>
      </c>
      <c r="D129" s="71" t="n">
        <v>20.71153820561869</v>
      </c>
      <c r="E129" s="71" t="n">
        <v>1448467.984471646</v>
      </c>
      <c r="F129" s="71" t="n">
        <v>2414113.307452743</v>
      </c>
      <c r="G129" s="71" t="n">
        <v>3862581.291924389</v>
      </c>
    </row>
    <row r="130">
      <c r="A130" s="65" t="inlineStr">
        <is>
          <t>Drivers and home-service workers</t>
        </is>
      </c>
      <c r="B130" s="65" t="inlineStr">
        <is>
          <t>industry steady state</t>
        </is>
      </c>
      <c r="C130" s="65" t="n">
        <v>0.35</v>
      </c>
      <c r="D130" s="71" t="n">
        <v>383.3624471926668</v>
      </c>
      <c r="E130" s="71" t="n">
        <v>78254.92616631507</v>
      </c>
      <c r="F130" s="71" t="n">
        <v>130424.8769438584</v>
      </c>
      <c r="G130" s="71" t="n">
        <v>208679.8031101735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92"/>
  <sheetViews>
    <sheetView workbookViewId="0">
      <selection activeCell="A1" sqref="A1"/>
    </sheetView>
  </sheetViews>
  <sheetFormatPr baseColWidth="8" defaultRowHeight="15"/>
  <cols>
    <col width="24" customWidth="1" min="1" max="1"/>
    <col width="13" customWidth="1" min="2" max="2"/>
    <col width="13" customWidth="1" min="3" max="3"/>
    <col width="13" customWidth="1" min="4" max="4"/>
    <col width="13" customWidth="1" min="5" max="5"/>
    <col width="50" customWidth="1" min="6" max="6"/>
    <col width="40" customWidth="1" min="7" max="7"/>
  </cols>
  <sheetData>
    <row r="1">
      <c r="A1" s="1" t="inlineStr">
        <is>
          <t>Lending ourselves: 10,000 futures per customer group, every input drawn from its evidence range</t>
        </is>
      </c>
    </row>
    <row r="2">
      <c r="A2" s="28" t="inlineStr">
        <is>
          <t>model/lend_mc.py. Value per customer won, five years discounted, after the cost to win. Lending inputs triangular and independent; customer inputs from the first design's evidence ranges.</t>
        </is>
      </c>
    </row>
    <row r="4">
      <c r="A4" s="2" t="inlineStr">
        <is>
          <t>Lending inputs</t>
        </is>
      </c>
    </row>
    <row r="5">
      <c r="A5" s="64" t="inlineStr">
        <is>
          <t>input</t>
        </is>
      </c>
      <c r="B5" s="64" t="inlineStr">
        <is>
          <t>dist</t>
        </is>
      </c>
      <c r="C5" s="64" t="inlineStr">
        <is>
          <t>low</t>
        </is>
      </c>
      <c r="D5" s="64" t="inlineStr">
        <is>
          <t>mode</t>
        </is>
      </c>
      <c r="E5" s="64" t="inlineStr">
        <is>
          <t>high</t>
        </is>
      </c>
      <c r="F5" s="64" t="inlineStr">
        <is>
          <t>basis</t>
        </is>
      </c>
      <c r="G5" s="64" t="inlineStr">
        <is>
          <t>evidence</t>
        </is>
      </c>
    </row>
    <row r="6">
      <c r="A6" s="65" t="inlineStr">
        <is>
          <t>credit_cost</t>
        </is>
      </c>
      <c r="B6" s="65" t="inlineStr">
        <is>
          <t>triangular</t>
        </is>
      </c>
      <c r="C6" s="65" t="n">
        <v>0.03</v>
      </c>
      <c r="D6" s="65" t="n">
        <v>0.06</v>
      </c>
      <c r="E6" s="65" t="n">
        <v>0.1</v>
      </c>
      <c r="F6" s="65" t="inlineStr">
        <is>
          <t>bad-loan losses, share of loan balance a year</t>
        </is>
      </c>
      <c r="G6" s="65" t="inlineStr">
        <is>
          <t>LEV-020, LEV-021, LEV-022, LEV-026, LEV-029, founder</t>
        </is>
      </c>
    </row>
    <row r="7">
      <c r="A7" s="65" t="inlineStr">
        <is>
          <t>running_cost</t>
        </is>
      </c>
      <c r="B7" s="65" t="inlineStr">
        <is>
          <t>triangular</t>
        </is>
      </c>
      <c r="C7" s="65" t="n">
        <v>0.03</v>
      </c>
      <c r="D7" s="65" t="n">
        <v>0.05</v>
      </c>
      <c r="E7" s="65" t="n">
        <v>0.08</v>
      </c>
      <c r="F7" s="65" t="inlineStr">
        <is>
          <t>running cost a year, excluding winning customers</t>
        </is>
      </c>
      <c r="G7" s="65" t="inlineStr">
        <is>
          <t>LEV-018, LEV-019, LEV-026</t>
        </is>
      </c>
    </row>
    <row r="8">
      <c r="A8" s="65" t="inlineStr">
        <is>
          <t>cost_of_funds</t>
        </is>
      </c>
      <c r="B8" s="65" t="inlineStr">
        <is>
          <t>triangular</t>
        </is>
      </c>
      <c r="C8" s="65" t="n">
        <v>0.12</v>
      </c>
      <c r="D8" s="65" t="n">
        <v>0.14</v>
      </c>
      <c r="E8" s="65" t="n">
        <v>0.16</v>
      </c>
      <c r="F8" s="65" t="inlineStr">
        <is>
          <t>what we pay to borrow, a year</t>
        </is>
      </c>
      <c r="G8" s="65" t="inlineStr">
        <is>
          <t>LEV-014, LEV-015, LEV-016, LEV-062</t>
        </is>
      </c>
    </row>
    <row r="9">
      <c r="A9" s="65" t="inlineStr">
        <is>
          <t>rate</t>
        </is>
      </c>
      <c r="B9" s="65" t="inlineStr">
        <is>
          <t>triangular</t>
        </is>
      </c>
      <c r="C9" s="65" t="n">
        <v>0.22</v>
      </c>
      <c r="D9" s="65" t="n">
        <v>0.26</v>
      </c>
      <c r="E9" s="65" t="n">
        <v>0.3</v>
      </c>
      <c r="F9" s="65" t="inlineStr">
        <is>
          <t>interest charged a year</t>
        </is>
      </c>
      <c r="G9" s="65" t="inlineStr">
        <is>
          <t>LEV-012, inputs nbfc_apr</t>
        </is>
      </c>
    </row>
    <row r="10">
      <c r="A10" s="65" t="inlineStr">
        <is>
          <t>fee</t>
        </is>
      </c>
      <c r="B10" s="65" t="inlineStr">
        <is>
          <t>triangular</t>
        </is>
      </c>
      <c r="C10" s="65" t="n">
        <v>0.02</v>
      </c>
      <c r="D10" s="65" t="n">
        <v>0.025</v>
      </c>
      <c r="E10" s="65" t="n">
        <v>0.04</v>
      </c>
      <c r="F10" s="65" t="inlineStr">
        <is>
          <t>processing fee, share of the loan</t>
        </is>
      </c>
      <c r="G10" s="65" t="inlineStr">
        <is>
          <t>LEV-011, inputs nbfc_proc_fee</t>
        </is>
      </c>
    </row>
    <row r="11">
      <c r="A11" s="65" t="inlineStr">
        <is>
          <t>takeup</t>
        </is>
      </c>
      <c r="B11" s="65" t="inlineStr">
        <is>
          <t>triangular</t>
        </is>
      </c>
      <c r="C11" s="65" t="n">
        <v>0.05</v>
      </c>
      <c r="D11" s="65" t="n">
        <v>0.2</v>
      </c>
      <c r="E11" s="65" t="n">
        <v>0.5</v>
      </c>
      <c r="F11" s="65" t="inlineStr">
        <is>
          <t>proven savers taking a loan each year</t>
        </is>
      </c>
      <c r="G11" s="65" t="inlineStr">
        <is>
          <t>TB-31, XB-06, LS-06, founder</t>
        </is>
      </c>
    </row>
    <row r="12">
      <c r="A12" s="65" t="inlineStr">
        <is>
          <t>rate_salaried</t>
        </is>
      </c>
      <c r="B12" s="65" t="inlineStr">
        <is>
          <t>triangular</t>
        </is>
      </c>
      <c r="C12" s="65" t="n">
        <v>0.18</v>
      </c>
      <c r="D12" s="65" t="n">
        <v>0.24</v>
      </c>
      <c r="E12" s="65" t="n">
        <v>0.3</v>
      </c>
      <c r="F12" s="65" t="inlineStr">
        <is>
          <t>salaried: interest charged a year (more lenders compete)</t>
        </is>
      </c>
      <c r="G12" s="65" t="inlineStr">
        <is>
          <t>LEV-011, LEV-012</t>
        </is>
      </c>
    </row>
    <row r="13">
      <c r="A13" s="65" t="inlineStr">
        <is>
          <t>ret_m12_salaried</t>
        </is>
      </c>
      <c r="B13" s="65" t="inlineStr">
        <is>
          <t>beta</t>
        </is>
      </c>
      <c r="C13" s="65" t="n">
        <v>0.249041740482052</v>
      </c>
      <c r="D13" s="65" t="n">
        <v>0.4007782101167315</v>
      </c>
      <c r="E13" s="65" t="n">
        <v>0.5614685758968576</v>
      </c>
      <c r="F13" s="65" t="inlineStr">
        <is>
          <t>salaried: still saving at month 12</t>
        </is>
      </c>
      <c r="G13" s="65" t="inlineStr">
        <is>
          <t>SG-06, SG-07</t>
        </is>
      </c>
    </row>
    <row r="14">
      <c r="A14" s="65" t="inlineStr">
        <is>
          <t>loan_size_shopkeepers</t>
        </is>
      </c>
      <c r="B14" s="65" t="inlineStr">
        <is>
          <t>triangular</t>
        </is>
      </c>
      <c r="C14" s="65" t="n">
        <v>50000</v>
      </c>
      <c r="D14" s="65" t="n">
        <v>150000</v>
      </c>
      <c r="E14" s="65" t="n">
        <v>250000</v>
      </c>
      <c r="F14" s="65" t="inlineStr">
        <is>
          <t>shopkeepers: loan size, 12 months</t>
        </is>
      </c>
      <c r="G14" s="65" t="inlineStr">
        <is>
          <t>XB-08, XB-10, SG rows, founder</t>
        </is>
      </c>
    </row>
    <row r="15">
      <c r="A15" s="65" t="inlineStr">
        <is>
          <t>loan_size_drivers</t>
        </is>
      </c>
      <c r="B15" s="65" t="inlineStr">
        <is>
          <t>triangular</t>
        </is>
      </c>
      <c r="C15" s="65" t="n">
        <v>50000</v>
      </c>
      <c r="D15" s="65" t="n">
        <v>100000</v>
      </c>
      <c r="E15" s="65" t="n">
        <v>200000</v>
      </c>
      <c r="F15" s="65" t="inlineStr">
        <is>
          <t>drivers: loan size, 18 months</t>
        </is>
      </c>
      <c r="G15" s="65" t="inlineStr">
        <is>
          <t>XB-08, XB-10, SG rows, founder</t>
        </is>
      </c>
    </row>
    <row r="16">
      <c r="A16" s="65" t="inlineStr">
        <is>
          <t>loan_size_salaried</t>
        </is>
      </c>
      <c r="B16" s="65" t="inlineStr">
        <is>
          <t>triangular</t>
        </is>
      </c>
      <c r="C16" s="65" t="n">
        <v>50000</v>
      </c>
      <c r="D16" s="65" t="n">
        <v>100000</v>
      </c>
      <c r="E16" s="65" t="n">
        <v>200000</v>
      </c>
      <c r="F16" s="65" t="inlineStr">
        <is>
          <t>salaried: loan size, 18 months</t>
        </is>
      </c>
      <c r="G16" s="65" t="inlineStr">
        <is>
          <t>XB-08, XB-10, SG rows, founder</t>
        </is>
      </c>
    </row>
    <row r="18">
      <c r="A18" s="2" t="inlineStr">
        <is>
          <t>Results</t>
        </is>
      </c>
    </row>
    <row r="19">
      <c r="A19" s="64" t="inlineStr">
        <is>
          <t>segment</t>
        </is>
      </c>
      <c r="B19" s="64" t="inlineStr">
        <is>
          <t>p_pays_back</t>
        </is>
      </c>
      <c r="C19" s="64" t="inlineStr">
        <is>
          <t>p_payback_le_24</t>
        </is>
      </c>
      <c r="D19" s="64" t="inlineStr">
        <is>
          <t>p_pays_back_if_losses_le_4pct</t>
        </is>
      </c>
      <c r="E19" s="64" t="inlineStr">
        <is>
          <t>p_pays_back_if_losses_ge_7pct</t>
        </is>
      </c>
      <c r="F19" s="64" t="inlineStr">
        <is>
          <t>p5</t>
        </is>
      </c>
      <c r="G19" s="64" t="inlineStr">
        <is>
          <t>p50</t>
        </is>
      </c>
      <c r="H19" s="64" t="inlineStr">
        <is>
          <t>p95</t>
        </is>
      </c>
      <c r="I19" s="64" t="inlineStr">
        <is>
          <t>mean</t>
        </is>
      </c>
      <c r="J19" s="64" t="inlineStr">
        <is>
          <t>p_pays_back_cac_100</t>
        </is>
      </c>
      <c r="K19" s="64" t="inlineStr">
        <is>
          <t>p_pays_back_cac_250</t>
        </is>
      </c>
      <c r="L19" s="64" t="inlineStr">
        <is>
          <t>p_pays_back_cac_500</t>
        </is>
      </c>
    </row>
    <row r="20">
      <c r="A20" s="65" t="inlineStr">
        <is>
          <t>shopkeepers</t>
        </is>
      </c>
      <c r="B20" s="66" t="n">
        <v>0.6375999999999999</v>
      </c>
      <c r="C20" s="66" t="n">
        <v>0.5072</v>
      </c>
      <c r="D20" s="66" t="n">
        <v>0.817047817047817</v>
      </c>
      <c r="E20" s="66" t="n">
        <v>0.4857316332726169</v>
      </c>
      <c r="F20" s="71" t="n">
        <v>-802.7044774403515</v>
      </c>
      <c r="G20" s="71" t="n">
        <v>225.688110186227</v>
      </c>
      <c r="H20" s="71" t="n">
        <v>1967.853344436372</v>
      </c>
      <c r="I20" s="71" t="n">
        <v>361.6500425004228</v>
      </c>
      <c r="J20" s="66" t="inlineStr"/>
      <c r="K20" s="66" t="inlineStr"/>
      <c r="L20" s="66" t="inlineStr"/>
    </row>
    <row r="21">
      <c r="A21" s="65" t="inlineStr">
        <is>
          <t>drivers</t>
        </is>
      </c>
      <c r="B21" s="66" t="n">
        <v>0.5024999999999999</v>
      </c>
      <c r="C21" s="66" t="n">
        <v>0.3829</v>
      </c>
      <c r="D21" s="66" t="n">
        <v>0.7422037422037422</v>
      </c>
      <c r="E21" s="66" t="n">
        <v>0.3151183970856102</v>
      </c>
      <c r="F21" s="71" t="n">
        <v>-934.1360667757082</v>
      </c>
      <c r="G21" s="71" t="n">
        <v>2.991330441474233</v>
      </c>
      <c r="H21" s="71" t="n">
        <v>1417.934437755451</v>
      </c>
      <c r="I21" s="71" t="n">
        <v>98.62461402700585</v>
      </c>
      <c r="J21" s="66" t="inlineStr"/>
      <c r="K21" s="66" t="inlineStr"/>
      <c r="L21" s="66" t="inlineStr"/>
    </row>
    <row r="22">
      <c r="A22" s="65" t="inlineStr">
        <is>
          <t>salaried</t>
        </is>
      </c>
      <c r="B22" s="66" t="n">
        <v>0.4293</v>
      </c>
      <c r="C22" s="66" t="n">
        <v>0.3461</v>
      </c>
      <c r="D22" s="66" t="n">
        <v>0.6881496881496881</v>
      </c>
      <c r="E22" s="66" t="n">
        <v>0.2635094110503947</v>
      </c>
      <c r="F22" s="71" t="n">
        <v>-1669.112053842829</v>
      </c>
      <c r="G22" s="71" t="n">
        <v>-160.9045176417408</v>
      </c>
      <c r="H22" s="71" t="n">
        <v>1901.769682288331</v>
      </c>
      <c r="I22" s="71" t="n">
        <v>-60.99225401314801</v>
      </c>
      <c r="J22" s="66" t="n">
        <v>0.6535</v>
      </c>
      <c r="K22" s="66" t="n">
        <v>0.5774</v>
      </c>
      <c r="L22" s="66" t="n">
        <v>0.4524</v>
      </c>
    </row>
    <row r="24">
      <c r="A24" s="2" t="inlineStr">
        <is>
          <t>Salaried workers via employers: value per worker by rate and losses (Rs; 1 in 5 borrowing)</t>
        </is>
      </c>
    </row>
    <row r="25">
      <c r="A25" s="64" t="inlineStr">
        <is>
          <t>cac_case</t>
        </is>
      </c>
      <c r="B25" s="64" t="inlineStr">
        <is>
          <t>rate</t>
        </is>
      </c>
      <c r="C25" s="64" t="inlineStr">
        <is>
          <t>case</t>
        </is>
      </c>
      <c r="D25" s="64" t="inlineStr">
        <is>
          <t>loan_net</t>
        </is>
      </c>
      <c r="E25" s="64" t="inlineStr">
        <is>
          <t>net</t>
        </is>
      </c>
      <c r="F25" s="64" t="inlineStr">
        <is>
          <t>payback</t>
        </is>
      </c>
    </row>
    <row r="26">
      <c r="A26" s="65" t="inlineStr">
        <is>
          <t>evidence</t>
        </is>
      </c>
      <c r="B26" s="72" t="n">
        <v>0.22</v>
      </c>
      <c r="C26" s="65" t="inlineStr">
        <is>
          <t>savers safer</t>
        </is>
      </c>
      <c r="D26" s="71" t="n">
        <v>4164.688542753529</v>
      </c>
      <c r="E26" s="71" t="n">
        <v>385.6483277354592</v>
      </c>
      <c r="F26" s="65" t="n">
        <v>21</v>
      </c>
    </row>
    <row r="27">
      <c r="A27" s="65" t="inlineStr">
        <is>
          <t>evidence</t>
        </is>
      </c>
      <c r="B27" s="72" t="n">
        <v>0.22</v>
      </c>
      <c r="C27" s="65" t="inlineStr">
        <is>
          <t>industry steady state</t>
        </is>
      </c>
      <c r="D27" s="71" t="n">
        <v>2.967185869974855</v>
      </c>
      <c r="E27" s="71" t="n">
        <v>-511.3980084790998</v>
      </c>
      <c r="F27" s="65" t="inlineStr"/>
    </row>
    <row r="28">
      <c r="A28" s="65" t="inlineStr">
        <is>
          <t>evidence</t>
        </is>
      </c>
      <c r="B28" s="72" t="n">
        <v>0.22</v>
      </c>
      <c r="C28" s="65" t="inlineStr">
        <is>
          <t>industry today</t>
        </is>
      </c>
      <c r="D28" s="71" t="n">
        <v>-4991.09844239029</v>
      </c>
      <c r="E28" s="71" t="n">
        <v>-1587.853611936571</v>
      </c>
      <c r="F28" s="65" t="inlineStr"/>
    </row>
    <row r="29">
      <c r="A29" s="65" t="inlineStr">
        <is>
          <t>evidence</t>
        </is>
      </c>
      <c r="B29" s="72" t="n">
        <v>0.24</v>
      </c>
      <c r="C29" s="65" t="inlineStr">
        <is>
          <t>savers safer</t>
        </is>
      </c>
      <c r="D29" s="71" t="n">
        <v>5843.963978570493</v>
      </c>
      <c r="E29" s="71" t="n">
        <v>747.6110224995198</v>
      </c>
      <c r="F29" s="65" t="n">
        <v>16</v>
      </c>
    </row>
    <row r="30">
      <c r="A30" s="65" t="inlineStr">
        <is>
          <t>evidence</t>
        </is>
      </c>
      <c r="B30" s="72" t="n">
        <v>0.24</v>
      </c>
      <c r="C30" s="65" t="inlineStr">
        <is>
          <t>industry steady state</t>
        </is>
      </c>
      <c r="D30" s="71" t="n">
        <v>1664.009005357223</v>
      </c>
      <c r="E30" s="71" t="n">
        <v>-153.3655140628975</v>
      </c>
      <c r="F30" s="65" t="n">
        <v>57</v>
      </c>
    </row>
    <row r="31">
      <c r="A31" s="65" t="inlineStr">
        <is>
          <t>evidence</t>
        </is>
      </c>
      <c r="B31" s="72" t="n">
        <v>0.24</v>
      </c>
      <c r="C31" s="65" t="inlineStr">
        <is>
          <t>industry today</t>
        </is>
      </c>
      <c r="D31" s="71" t="n">
        <v>-3351.9369624987</v>
      </c>
      <c r="E31" s="71" t="n">
        <v>-1234.537357937799</v>
      </c>
      <c r="F31" s="65" t="inlineStr"/>
    </row>
    <row r="32">
      <c r="A32" s="65" t="inlineStr">
        <is>
          <t>evidence</t>
        </is>
      </c>
      <c r="B32" s="72" t="n">
        <v>0.26</v>
      </c>
      <c r="C32" s="65" t="inlineStr">
        <is>
          <t>savers safer</t>
        </is>
      </c>
      <c r="D32" s="71" t="n">
        <v>7537.767710841139</v>
      </c>
      <c r="E32" s="71" t="n">
        <v>1112.705247221409</v>
      </c>
      <c r="F32" s="65" t="n">
        <v>13</v>
      </c>
    </row>
    <row r="33">
      <c r="A33" s="65" t="inlineStr">
        <is>
          <t>evidence</t>
        </is>
      </c>
      <c r="B33" s="72" t="n">
        <v>0.26</v>
      </c>
      <c r="C33" s="65" t="inlineStr">
        <is>
          <t>industry steady state</t>
        </is>
      </c>
      <c r="D33" s="71" t="n">
        <v>3339.627951806574</v>
      </c>
      <c r="E33" s="71" t="n">
        <v>207.8090355781843</v>
      </c>
      <c r="F33" s="65" t="n">
        <v>25</v>
      </c>
    </row>
    <row r="34">
      <c r="A34" s="65" t="inlineStr">
        <is>
          <t>evidence</t>
        </is>
      </c>
      <c r="B34" s="72" t="n">
        <v>0.26</v>
      </c>
      <c r="C34" s="65" t="inlineStr">
        <is>
          <t>industry today</t>
        </is>
      </c>
      <c r="D34" s="71" t="n">
        <v>-1698.139759034902</v>
      </c>
      <c r="E34" s="71" t="n">
        <v>-878.0664183936847</v>
      </c>
      <c r="F34" s="65" t="inlineStr"/>
    </row>
    <row r="35">
      <c r="A35" s="65" t="inlineStr">
        <is>
          <t>evidence</t>
        </is>
      </c>
      <c r="B35" s="72" t="n">
        <v>0.28</v>
      </c>
      <c r="C35" s="65" t="inlineStr">
        <is>
          <t>savers safer</t>
        </is>
      </c>
      <c r="D35" s="71" t="n">
        <v>9246.038997655007</v>
      </c>
      <c r="E35" s="71" t="n">
        <v>1480.917909167721</v>
      </c>
      <c r="F35" s="65" t="n">
        <v>12</v>
      </c>
    </row>
    <row r="36">
      <c r="A36" s="65" t="inlineStr">
        <is>
          <t>evidence</t>
        </is>
      </c>
      <c r="B36" s="72" t="n">
        <v>0.28</v>
      </c>
      <c r="C36" s="65" t="inlineStr">
        <is>
          <t>industry steady state</t>
        </is>
      </c>
      <c r="D36" s="71" t="n">
        <v>5029.764624120347</v>
      </c>
      <c r="E36" s="71" t="n">
        <v>572.1128367188433</v>
      </c>
      <c r="F36" s="65" t="n">
        <v>18</v>
      </c>
    </row>
    <row r="37">
      <c r="A37" s="65" t="inlineStr">
        <is>
          <t>evidence</t>
        </is>
      </c>
      <c r="B37" s="72" t="n">
        <v>0.28</v>
      </c>
      <c r="C37" s="65" t="inlineStr">
        <is>
          <t>industry today</t>
        </is>
      </c>
      <c r="D37" s="71" t="n">
        <v>-29.76462412124511</v>
      </c>
      <c r="E37" s="71" t="n">
        <v>-518.4532502198113</v>
      </c>
      <c r="F37" s="65" t="inlineStr"/>
    </row>
    <row r="38">
      <c r="A38" s="65" t="n">
        <v>250</v>
      </c>
      <c r="B38" s="72" t="n">
        <v>0.22</v>
      </c>
      <c r="C38" s="65" t="inlineStr">
        <is>
          <t>savers safer</t>
        </is>
      </c>
      <c r="D38" s="71" t="n">
        <v>4164.688542753529</v>
      </c>
      <c r="E38" s="71" t="n">
        <v>634.8877492558357</v>
      </c>
      <c r="F38" s="65" t="n">
        <v>13</v>
      </c>
    </row>
    <row r="39">
      <c r="A39" s="65" t="n">
        <v>250</v>
      </c>
      <c r="B39" s="72" t="n">
        <v>0.22</v>
      </c>
      <c r="C39" s="65" t="inlineStr">
        <is>
          <t>industry steady state</t>
        </is>
      </c>
      <c r="D39" s="71" t="n">
        <v>2.967185869974855</v>
      </c>
      <c r="E39" s="71" t="n">
        <v>-262.1585869587233</v>
      </c>
      <c r="F39" s="65" t="inlineStr"/>
    </row>
    <row r="40">
      <c r="A40" s="65" t="n">
        <v>250</v>
      </c>
      <c r="B40" s="72" t="n">
        <v>0.22</v>
      </c>
      <c r="C40" s="65" t="inlineStr">
        <is>
          <t>industry today</t>
        </is>
      </c>
      <c r="D40" s="71" t="n">
        <v>-4991.09844239029</v>
      </c>
      <c r="E40" s="71" t="n">
        <v>-1338.614190416195</v>
      </c>
      <c r="F40" s="65" t="inlineStr"/>
    </row>
    <row r="41">
      <c r="A41" s="65" t="n">
        <v>250</v>
      </c>
      <c r="B41" s="72" t="n">
        <v>0.24</v>
      </c>
      <c r="C41" s="65" t="inlineStr">
        <is>
          <t>savers safer</t>
        </is>
      </c>
      <c r="D41" s="71" t="n">
        <v>5843.963978570493</v>
      </c>
      <c r="E41" s="71" t="n">
        <v>996.8504440198963</v>
      </c>
      <c r="F41" s="65" t="n">
        <v>10</v>
      </c>
    </row>
    <row r="42">
      <c r="A42" s="65" t="n">
        <v>250</v>
      </c>
      <c r="B42" s="72" t="n">
        <v>0.24</v>
      </c>
      <c r="C42" s="65" t="inlineStr">
        <is>
          <t>industry steady state</t>
        </is>
      </c>
      <c r="D42" s="71" t="n">
        <v>1664.009005357223</v>
      </c>
      <c r="E42" s="71" t="n">
        <v>95.87390745747896</v>
      </c>
      <c r="F42" s="65" t="n">
        <v>26</v>
      </c>
    </row>
    <row r="43">
      <c r="A43" s="65" t="n">
        <v>250</v>
      </c>
      <c r="B43" s="72" t="n">
        <v>0.24</v>
      </c>
      <c r="C43" s="65" t="inlineStr">
        <is>
          <t>industry today</t>
        </is>
      </c>
      <c r="D43" s="71" t="n">
        <v>-3351.9369624987</v>
      </c>
      <c r="E43" s="71" t="n">
        <v>-985.2979364174221</v>
      </c>
      <c r="F43" s="65" t="inlineStr"/>
    </row>
    <row r="44">
      <c r="A44" s="65" t="n">
        <v>250</v>
      </c>
      <c r="B44" s="72" t="n">
        <v>0.26</v>
      </c>
      <c r="C44" s="65" t="inlineStr">
        <is>
          <t>savers safer</t>
        </is>
      </c>
      <c r="D44" s="71" t="n">
        <v>7537.767710841139</v>
      </c>
      <c r="E44" s="71" t="n">
        <v>1361.944668741786</v>
      </c>
      <c r="F44" s="65" t="n">
        <v>9</v>
      </c>
    </row>
    <row r="45">
      <c r="A45" s="65" t="n">
        <v>250</v>
      </c>
      <c r="B45" s="72" t="n">
        <v>0.26</v>
      </c>
      <c r="C45" s="65" t="inlineStr">
        <is>
          <t>industry steady state</t>
        </is>
      </c>
      <c r="D45" s="71" t="n">
        <v>3339.627951806574</v>
      </c>
      <c r="E45" s="71" t="n">
        <v>457.0484570985608</v>
      </c>
      <c r="F45" s="65" t="n">
        <v>15</v>
      </c>
    </row>
    <row r="46">
      <c r="A46" s="65" t="n">
        <v>250</v>
      </c>
      <c r="B46" s="72" t="n">
        <v>0.26</v>
      </c>
      <c r="C46" s="65" t="inlineStr">
        <is>
          <t>industry today</t>
        </is>
      </c>
      <c r="D46" s="71" t="n">
        <v>-1698.139759034902</v>
      </c>
      <c r="E46" s="71" t="n">
        <v>-628.8269968733082</v>
      </c>
      <c r="F46" s="65" t="inlineStr"/>
    </row>
    <row r="47">
      <c r="A47" s="65" t="n">
        <v>250</v>
      </c>
      <c r="B47" s="72" t="n">
        <v>0.28</v>
      </c>
      <c r="C47" s="65" t="inlineStr">
        <is>
          <t>savers safer</t>
        </is>
      </c>
      <c r="D47" s="71" t="n">
        <v>9246.038997655007</v>
      </c>
      <c r="E47" s="71" t="n">
        <v>1730.157330688098</v>
      </c>
      <c r="F47" s="65" t="n">
        <v>9</v>
      </c>
    </row>
    <row r="48">
      <c r="A48" s="65" t="n">
        <v>250</v>
      </c>
      <c r="B48" s="72" t="n">
        <v>0.28</v>
      </c>
      <c r="C48" s="65" t="inlineStr">
        <is>
          <t>industry steady state</t>
        </is>
      </c>
      <c r="D48" s="71" t="n">
        <v>5029.764624120347</v>
      </c>
      <c r="E48" s="71" t="n">
        <v>821.3522582392197</v>
      </c>
      <c r="F48" s="65" t="n">
        <v>11</v>
      </c>
    </row>
    <row r="49">
      <c r="A49" s="65" t="n">
        <v>250</v>
      </c>
      <c r="B49" s="72" t="n">
        <v>0.28</v>
      </c>
      <c r="C49" s="65" t="inlineStr">
        <is>
          <t>industry today</t>
        </is>
      </c>
      <c r="D49" s="71" t="n">
        <v>-29.76462412124511</v>
      </c>
      <c r="E49" s="71" t="n">
        <v>-269.2138286994348</v>
      </c>
      <c r="F49" s="65" t="inlineStr"/>
    </row>
    <row r="51">
      <c r="A51" s="2" t="inlineStr">
        <is>
          <t>Drivers (share of the spread)</t>
        </is>
      </c>
    </row>
    <row r="52">
      <c r="A52" s="64" t="inlineStr">
        <is>
          <t>segment</t>
        </is>
      </c>
      <c r="B52" s="64" t="inlineStr">
        <is>
          <t>input</t>
        </is>
      </c>
      <c r="C52" s="64" t="inlineStr">
        <is>
          <t>variance_share</t>
        </is>
      </c>
      <c r="D52" s="64" t="inlineStr">
        <is>
          <t>spearman</t>
        </is>
      </c>
    </row>
    <row r="53">
      <c r="A53" s="65" t="inlineStr">
        <is>
          <t>shopkeepers</t>
        </is>
      </c>
      <c r="B53" s="65" t="inlineStr">
        <is>
          <t>cac_target@ng</t>
        </is>
      </c>
      <c r="C53" s="66" t="n">
        <v>0.2428509166187966</v>
      </c>
      <c r="D53" s="70" t="n">
        <v>-0.4400623355606234</v>
      </c>
    </row>
    <row r="54">
      <c r="A54" s="65" t="inlineStr">
        <is>
          <t>shopkeepers</t>
        </is>
      </c>
      <c r="B54" s="65" t="inlineStr">
        <is>
          <t>takeup</t>
        </is>
      </c>
      <c r="C54" s="66" t="n">
        <v>0.1825713388784577</v>
      </c>
      <c r="D54" s="70" t="n">
        <v>0.3891439846354399</v>
      </c>
    </row>
    <row r="55">
      <c r="A55" s="65" t="inlineStr">
        <is>
          <t>shopkeepers</t>
        </is>
      </c>
      <c r="B55" s="65" t="inlineStr">
        <is>
          <t>rate</t>
        </is>
      </c>
      <c r="C55" s="66" t="n">
        <v>0.1294584144019278</v>
      </c>
      <c r="D55" s="70" t="n">
        <v>0.3170785895067859</v>
      </c>
    </row>
    <row r="56">
      <c r="A56" s="65" t="inlineStr">
        <is>
          <t>shopkeepers</t>
        </is>
      </c>
      <c r="B56" s="65" t="inlineStr">
        <is>
          <t>credit_cost</t>
        </is>
      </c>
      <c r="C56" s="66" t="n">
        <v>0.1078871979730777</v>
      </c>
      <c r="D56" s="70" t="n">
        <v>-0.2994554296145543</v>
      </c>
    </row>
    <row r="57">
      <c r="A57" s="65" t="inlineStr">
        <is>
          <t>shopkeepers</t>
        </is>
      </c>
      <c r="B57" s="65" t="inlineStr">
        <is>
          <t>loan_size</t>
        </is>
      </c>
      <c r="C57" s="66" t="n">
        <v>0.09214047136014662</v>
      </c>
      <c r="D57" s="70" t="n">
        <v>0.2833484506094845</v>
      </c>
    </row>
    <row r="58">
      <c r="A58" s="65" t="inlineStr">
        <is>
          <t>shopkeepers</t>
        </is>
      </c>
      <c r="B58" s="65" t="inlineStr">
        <is>
          <t>ret_m12@ng</t>
        </is>
      </c>
      <c r="C58" s="66" t="n">
        <v>0.08142529750419511</v>
      </c>
      <c r="D58" s="70" t="n">
        <v>0.3296290367842904</v>
      </c>
    </row>
    <row r="59">
      <c r="A59" s="65" t="inlineStr">
        <is>
          <t>shopkeepers</t>
        </is>
      </c>
      <c r="B59" s="65" t="inlineStr">
        <is>
          <t>running_cost</t>
        </is>
      </c>
      <c r="C59" s="66" t="n">
        <v>0.04929264256802791</v>
      </c>
      <c r="D59" s="70" t="n">
        <v>-0.1985137090371371</v>
      </c>
    </row>
    <row r="60">
      <c r="A60" s="65" t="inlineStr">
        <is>
          <t>shopkeepers</t>
        </is>
      </c>
      <c r="B60" s="65" t="inlineStr">
        <is>
          <t>xs_other</t>
        </is>
      </c>
      <c r="C60" s="66" t="n">
        <v>0.0452754579070334</v>
      </c>
      <c r="D60" s="70" t="n">
        <v>0.1914370211583702</v>
      </c>
    </row>
    <row r="61">
      <c r="A61" s="65" t="inlineStr">
        <is>
          <t>shopkeepers</t>
        </is>
      </c>
      <c r="B61" s="65" t="inlineStr">
        <is>
          <t>cost_of_funds</t>
        </is>
      </c>
      <c r="C61" s="66" t="n">
        <v>0.02933862160392285</v>
      </c>
      <c r="D61" s="70" t="n">
        <v>-0.1672198946921989</v>
      </c>
    </row>
    <row r="62">
      <c r="A62" s="65" t="inlineStr">
        <is>
          <t>shopkeepers</t>
        </is>
      </c>
      <c r="B62" s="65" t="inlineStr">
        <is>
          <t>fee</t>
        </is>
      </c>
      <c r="C62" s="66" t="n">
        <v>0.02890064116744644</v>
      </c>
      <c r="D62" s="70" t="n">
        <v>0.1292383827443838</v>
      </c>
    </row>
    <row r="63">
      <c r="A63" s="65" t="inlineStr">
        <is>
          <t>drivers</t>
        </is>
      </c>
      <c r="B63" s="65" t="inlineStr">
        <is>
          <t>cac_target@gig</t>
        </is>
      </c>
      <c r="C63" s="66" t="n">
        <v>0.2932457886797268</v>
      </c>
      <c r="D63" s="70" t="n">
        <v>-0.4701261791372618</v>
      </c>
    </row>
    <row r="64">
      <c r="A64" s="65" t="inlineStr">
        <is>
          <t>drivers</t>
        </is>
      </c>
      <c r="B64" s="65" t="inlineStr">
        <is>
          <t>rate</t>
        </is>
      </c>
      <c r="C64" s="66" t="n">
        <v>0.1738748942183454</v>
      </c>
      <c r="D64" s="70" t="n">
        <v>0.3634458179384582</v>
      </c>
    </row>
    <row r="65">
      <c r="A65" s="65" t="inlineStr">
        <is>
          <t>drivers</t>
        </is>
      </c>
      <c r="B65" s="65" t="inlineStr">
        <is>
          <t>credit_cost</t>
        </is>
      </c>
      <c r="C65" s="66" t="n">
        <v>0.1420885732795568</v>
      </c>
      <c r="D65" s="70" t="n">
        <v>-0.3415256222832562</v>
      </c>
    </row>
    <row r="66">
      <c r="A66" s="65" t="inlineStr">
        <is>
          <t>drivers</t>
        </is>
      </c>
      <c r="B66" s="65" t="inlineStr">
        <is>
          <t>takeup</t>
        </is>
      </c>
      <c r="C66" s="66" t="n">
        <v>0.1070439205615417</v>
      </c>
      <c r="D66" s="70" t="n">
        <v>0.2999600219636002</v>
      </c>
    </row>
    <row r="67">
      <c r="A67" s="65" t="inlineStr">
        <is>
          <t>drivers</t>
        </is>
      </c>
      <c r="B67" s="65" t="inlineStr">
        <is>
          <t>running_cost</t>
        </is>
      </c>
      <c r="C67" s="66" t="n">
        <v>0.06738355301083607</v>
      </c>
      <c r="D67" s="70" t="n">
        <v>-0.2112510129485101</v>
      </c>
    </row>
    <row r="68">
      <c r="A68" s="65" t="inlineStr">
        <is>
          <t>drivers</t>
        </is>
      </c>
      <c r="B68" s="65" t="inlineStr">
        <is>
          <t>loan_size</t>
        </is>
      </c>
      <c r="C68" s="66" t="n">
        <v>0.04829730638278132</v>
      </c>
      <c r="D68" s="70" t="n">
        <v>0.2028531667685317</v>
      </c>
    </row>
    <row r="69">
      <c r="A69" s="65" t="inlineStr">
        <is>
          <t>drivers</t>
        </is>
      </c>
      <c r="B69" s="65" t="inlineStr">
        <is>
          <t>xs_other</t>
        </is>
      </c>
      <c r="C69" s="66" t="n">
        <v>0.04696135583972754</v>
      </c>
      <c r="D69" s="70" t="n">
        <v>0.1871147462871474</v>
      </c>
    </row>
    <row r="70">
      <c r="A70" s="65" t="inlineStr">
        <is>
          <t>drivers</t>
        </is>
      </c>
      <c r="B70" s="65" t="inlineStr">
        <is>
          <t>cost_of_funds</t>
        </is>
      </c>
      <c r="C70" s="66" t="n">
        <v>0.04067985759582445</v>
      </c>
      <c r="D70" s="70" t="n">
        <v>-0.1901919155219191</v>
      </c>
    </row>
    <row r="71">
      <c r="A71" s="65" t="inlineStr">
        <is>
          <t>drivers</t>
        </is>
      </c>
      <c r="B71" s="65" t="inlineStr">
        <is>
          <t>ret_m12@gig</t>
        </is>
      </c>
      <c r="C71" s="66" t="n">
        <v>0.02889095840600615</v>
      </c>
      <c r="D71" s="70" t="n">
        <v>0.3055157144831571</v>
      </c>
    </row>
    <row r="72">
      <c r="A72" s="65" t="inlineStr">
        <is>
          <t>drivers</t>
        </is>
      </c>
      <c r="B72" s="65" t="inlineStr">
        <is>
          <t>churn_late</t>
        </is>
      </c>
      <c r="C72" s="66" t="n">
        <v>0.02889095840600607</v>
      </c>
      <c r="D72" s="70" t="n">
        <v>-0.3055157144831571</v>
      </c>
    </row>
    <row r="73">
      <c r="A73" s="65" t="inlineStr">
        <is>
          <t>drivers</t>
        </is>
      </c>
      <c r="B73" s="65" t="inlineStr">
        <is>
          <t>fee</t>
        </is>
      </c>
      <c r="C73" s="66" t="n">
        <v>0.01738222539851119</v>
      </c>
      <c r="D73" s="70" t="n">
        <v>0.08799987636399877</v>
      </c>
    </row>
    <row r="74">
      <c r="A74" s="65" t="inlineStr">
        <is>
          <t>salaried</t>
        </is>
      </c>
      <c r="B74" s="65" t="inlineStr">
        <is>
          <t>rate</t>
        </is>
      </c>
      <c r="C74" s="66" t="n">
        <v>0.459430009208903</v>
      </c>
      <c r="D74" s="70" t="n">
        <v>0.6025407279374073</v>
      </c>
    </row>
    <row r="75">
      <c r="A75" s="65" t="inlineStr">
        <is>
          <t>salaried</t>
        </is>
      </c>
      <c r="B75" s="65" t="inlineStr">
        <is>
          <t>credit_cost</t>
        </is>
      </c>
      <c r="C75" s="66" t="n">
        <v>0.1599118315585218</v>
      </c>
      <c r="D75" s="70" t="n">
        <v>-0.359650700252507</v>
      </c>
    </row>
    <row r="76">
      <c r="A76" s="65" t="inlineStr">
        <is>
          <t>salaried</t>
        </is>
      </c>
      <c r="B76" s="65" t="inlineStr">
        <is>
          <t>cac_target@ng</t>
        </is>
      </c>
      <c r="C76" s="66" t="n">
        <v>0.1399521465891695</v>
      </c>
      <c r="D76" s="70" t="n">
        <v>-0.3451592404995924</v>
      </c>
    </row>
    <row r="77">
      <c r="A77" s="65" t="inlineStr">
        <is>
          <t>salaried</t>
        </is>
      </c>
      <c r="B77" s="65" t="inlineStr">
        <is>
          <t>running_cost</t>
        </is>
      </c>
      <c r="C77" s="66" t="n">
        <v>0.07671422572481992</v>
      </c>
      <c r="D77" s="70" t="n">
        <v>-0.2631734220157342</v>
      </c>
    </row>
    <row r="78">
      <c r="A78" s="65" t="inlineStr">
        <is>
          <t>salaried</t>
        </is>
      </c>
      <c r="B78" s="65" t="inlineStr">
        <is>
          <t>xs_other</t>
        </is>
      </c>
      <c r="C78" s="66" t="n">
        <v>0.05699098917899827</v>
      </c>
      <c r="D78" s="70" t="n">
        <v>0.2062046131660461</v>
      </c>
    </row>
    <row r="79">
      <c r="A79" s="65" t="inlineStr">
        <is>
          <t>salaried</t>
        </is>
      </c>
      <c r="B79" s="65" t="inlineStr">
        <is>
          <t>cost_of_funds</t>
        </is>
      </c>
      <c r="C79" s="66" t="n">
        <v>0.04671544783581592</v>
      </c>
      <c r="D79" s="70" t="n">
        <v>-0.2030633213666332</v>
      </c>
    </row>
    <row r="80">
      <c r="A80" s="65" t="inlineStr">
        <is>
          <t>salaried</t>
        </is>
      </c>
      <c r="B80" s="65" t="inlineStr">
        <is>
          <t>takeup</t>
        </is>
      </c>
      <c r="C80" s="66" t="n">
        <v>0.02144247763584948</v>
      </c>
      <c r="D80" s="70" t="n">
        <v>0.1425179506771795</v>
      </c>
    </row>
    <row r="81">
      <c r="A81" s="65" t="inlineStr">
        <is>
          <t>salaried</t>
        </is>
      </c>
      <c r="B81" s="65" t="inlineStr">
        <is>
          <t>fee</t>
        </is>
      </c>
      <c r="C81" s="66" t="n">
        <v>0.0176030389228123</v>
      </c>
      <c r="D81" s="70" t="n">
        <v>0.092158099953581</v>
      </c>
    </row>
    <row r="83">
      <c r="A83" s="2" t="inlineStr">
        <is>
          <t>Funnel: of 100 shopkeepers won</t>
        </is>
      </c>
    </row>
    <row r="84">
      <c r="A84" s="64" t="inlineStr">
        <is>
          <t>takeup</t>
        </is>
      </c>
      <c r="B84" s="64" t="inlineStr">
        <is>
          <t>won</t>
        </is>
      </c>
      <c r="C84" s="64" t="inlineStr">
        <is>
          <t>saving_m6</t>
        </is>
      </c>
      <c r="D84" s="64" t="inlineStr">
        <is>
          <t>saving_m12</t>
        </is>
      </c>
      <c r="E84" s="64" t="inlineStr">
        <is>
          <t>loans_5y_per_100</t>
        </is>
      </c>
    </row>
    <row r="85">
      <c r="A85" s="72" t="n">
        <v>0.2</v>
      </c>
      <c r="B85" s="65" t="n">
        <v>100</v>
      </c>
      <c r="C85" s="74" t="n">
        <v>39.10038051715558</v>
      </c>
      <c r="D85" s="74" t="n">
        <v>24.15425502763293</v>
      </c>
      <c r="E85" s="74" t="n">
        <v>23.32133711881714</v>
      </c>
    </row>
    <row r="86">
      <c r="A86" s="72" t="n">
        <v>0.35</v>
      </c>
      <c r="B86" s="65" t="n">
        <v>100</v>
      </c>
      <c r="C86" s="74" t="n">
        <v>39.10038051715558</v>
      </c>
      <c r="D86" s="74" t="n">
        <v>24.15425502763293</v>
      </c>
      <c r="E86" s="74" t="n">
        <v>40.81233995792999</v>
      </c>
    </row>
    <row r="88">
      <c r="A88" s="2" t="inlineStr">
        <is>
          <t>The prize (Rs crore; 1 in 5 borrowing; value after an NBFC running cost of Rs 5 crore)</t>
        </is>
      </c>
    </row>
    <row r="89">
      <c r="A89" s="64" t="inlineStr">
        <is>
          <t>won_a_year</t>
        </is>
      </c>
      <c r="B89" s="64" t="inlineStr">
        <is>
          <t>lent_a_year_cr</t>
        </is>
      </c>
      <c r="C89" s="64" t="inlineStr">
        <is>
          <t>avg_book_cr</t>
        </is>
      </c>
      <c r="D89" s="64" t="inlineStr">
        <is>
          <t>value_a_year_median_cr</t>
        </is>
      </c>
      <c r="E89" s="64" t="inlineStr">
        <is>
          <t>value_a_year_savers_safer_cr</t>
        </is>
      </c>
      <c r="F89" s="64" t="inlineStr">
        <is>
          <t>equity_colend_cr</t>
        </is>
      </c>
      <c r="G89" s="64" t="inlineStr">
        <is>
          <t>equity_own_book_cr</t>
        </is>
      </c>
    </row>
    <row r="90">
      <c r="A90" s="71" t="n">
        <v>100000</v>
      </c>
      <c r="B90" s="71" t="n">
        <v>349.820056782257</v>
      </c>
      <c r="C90" s="71" t="n">
        <v>196.9240269386244</v>
      </c>
      <c r="D90" s="71" t="n">
        <v>-2.743118898137729</v>
      </c>
      <c r="E90" s="71" t="n">
        <v>3.585980121416231</v>
      </c>
      <c r="F90" s="71" t="n">
        <v>19.69240269386244</v>
      </c>
      <c r="G90" s="71" t="n">
        <v>65.64134231287478</v>
      </c>
    </row>
    <row r="91">
      <c r="A91" s="71" t="n">
        <v>500000</v>
      </c>
      <c r="B91" s="71" t="n">
        <v>1749.100283911285</v>
      </c>
      <c r="C91" s="71" t="n">
        <v>984.6201346931219</v>
      </c>
      <c r="D91" s="71" t="n">
        <v>6.284405509311353</v>
      </c>
      <c r="E91" s="71" t="n">
        <v>37.92990060708115</v>
      </c>
      <c r="F91" s="71" t="n">
        <v>98.4620134693122</v>
      </c>
      <c r="G91" s="71" t="n">
        <v>328.206711564374</v>
      </c>
    </row>
    <row r="92">
      <c r="A92" s="71" t="n">
        <v>1000000</v>
      </c>
      <c r="B92" s="71" t="n">
        <v>3498.200567822571</v>
      </c>
      <c r="C92" s="71" t="n">
        <v>1969.240269386244</v>
      </c>
      <c r="D92" s="71" t="n">
        <v>17.56881101862271</v>
      </c>
      <c r="E92" s="71" t="n">
        <v>80.8598012141623</v>
      </c>
      <c r="F92" s="71" t="n">
        <v>196.9240269386244</v>
      </c>
      <c r="G92" s="71" t="n">
        <v>656.4134231287479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40" customWidth="1" min="1" max="1"/>
    <col width="13" customWidth="1" min="2" max="2"/>
    <col width="13" customWidth="1" min="3" max="3"/>
    <col width="14" customWidth="1" min="4" max="4"/>
    <col width="13" customWidth="1" min="5" max="5"/>
    <col width="13" customWidth="1" min="6" max="6"/>
    <col width="13" customWidth="1" min="7" max="7"/>
    <col width="60" customWidth="1" min="8" max="8"/>
  </cols>
  <sheetData>
    <row r="1">
      <c r="A1" s="1" t="inlineStr">
        <is>
          <t>Which customer: the most we could pay to win one and still break even</t>
        </is>
      </c>
    </row>
    <row r="2">
      <c r="A2" s="28" t="inlineStr">
        <is>
          <t>model/segment_value.py: the same redesign for every group; only loan size, how long people stay and whether loans continue after they stop saving differ. Evidence: research/segments.csv (SG rows) and segments_summary.md.</t>
        </is>
      </c>
    </row>
    <row r="4">
      <c r="A4" s="2" t="inlineStr">
        <is>
          <t>Customer groups (Rs per customer won)</t>
        </is>
      </c>
    </row>
    <row r="5">
      <c r="A5" s="64" t="inlineStr">
        <is>
          <t>segment</t>
        </is>
      </c>
      <c r="B5" s="64" t="inlineStr">
        <is>
          <t>loan_size</t>
        </is>
      </c>
      <c r="C5" s="64" t="inlineStr">
        <is>
          <t>still_m12</t>
        </is>
      </c>
      <c r="D5" s="64" t="inlineStr">
        <is>
          <t>keep_borrowing</t>
        </is>
      </c>
      <c r="E5" s="64" t="inlineStr">
        <is>
          <t>max_cac_10</t>
        </is>
      </c>
      <c r="F5" s="64" t="inlineStr">
        <is>
          <t>max_cac_20</t>
        </is>
      </c>
      <c r="G5" s="64" t="inlineStr">
        <is>
          <t>cac_evidence</t>
        </is>
      </c>
      <c r="H5" s="64" t="inlineStr">
        <is>
          <t>evidence</t>
        </is>
      </c>
    </row>
    <row r="6">
      <c r="A6" s="65" t="inlineStr">
        <is>
          <t>Delivery riders</t>
        </is>
      </c>
      <c r="B6" s="71" t="n">
        <v>25000</v>
      </c>
      <c r="C6" s="72" t="n">
        <v>0.1898851827591756</v>
      </c>
      <c r="D6" s="65" t="inlineStr">
        <is>
          <t>True</t>
        </is>
      </c>
      <c r="E6" s="71" t="n">
        <v>11.32835492208929</v>
      </c>
      <c r="F6" s="71" t="n">
        <v>35.35973295035909</v>
      </c>
      <c r="G6" s="71" t="n">
        <v>450.1199840042655</v>
      </c>
      <c r="H6" s="65" t="inlineStr">
        <is>
          <t>SG-21 (actual loans Rs 2-10k; Rs 25k is generous), gig retention evidence</t>
        </is>
      </c>
    </row>
    <row r="7">
      <c r="A7" s="65" t="inlineStr">
        <is>
          <t>Drivers and home-service workers</t>
        </is>
      </c>
      <c r="B7" s="71" t="n">
        <v>150000</v>
      </c>
      <c r="C7" s="72" t="n">
        <v>0.1898851827591756</v>
      </c>
      <c r="D7" s="65" t="inlineStr">
        <is>
          <t>True</t>
        </is>
      </c>
      <c r="E7" s="71" t="n">
        <v>165.0686712050655</v>
      </c>
      <c r="F7" s="71" t="n">
        <v>342.8403655163116</v>
      </c>
      <c r="G7" s="71" t="n">
        <v>450.1199840042655</v>
      </c>
      <c r="H7" s="65" t="inlineStr">
        <is>
          <t>SG-15 (UC Rs 28,322 net), vehicle loans Rs 75k-3 lakh; gig retention (no own data)</t>
        </is>
      </c>
    </row>
    <row r="8">
      <c r="A8" s="65" t="inlineStr">
        <is>
          <t>Shopkeepers</t>
        </is>
      </c>
      <c r="B8" s="71" t="n">
        <v>150000</v>
      </c>
      <c r="C8" s="72" t="n">
        <v>0.2415425502763293</v>
      </c>
      <c r="D8" s="65" t="inlineStr">
        <is>
          <t>True</t>
        </is>
      </c>
      <c r="E8" s="71" t="n">
        <v>211.4425301511834</v>
      </c>
      <c r="F8" s="71" t="n">
        <v>429.7434714054916</v>
      </c>
      <c r="G8" s="71" t="n">
        <v>499.2394215203765</v>
      </c>
      <c r="H8" s="65" t="inlineStr">
        <is>
          <t>redesign base: XB-08, XB-10</t>
        </is>
      </c>
    </row>
    <row r="9">
      <c r="A9" s="65" t="inlineStr">
        <is>
          <t>Salaried workers via employers</t>
        </is>
      </c>
      <c r="B9" s="71" t="n">
        <v>150000</v>
      </c>
      <c r="C9" s="72" t="n">
        <v>0.3981658984502819</v>
      </c>
      <c r="D9" s="65" t="inlineStr">
        <is>
          <t>True</t>
        </is>
      </c>
      <c r="E9" s="71" t="n">
        <v>292.3614387347552</v>
      </c>
      <c r="F9" s="71" t="n">
        <v>596.1219728162529</v>
      </c>
      <c r="G9" s="71" t="n">
        <v>499.2394215203765</v>
      </c>
      <c r="H9" s="65" t="inlineStr">
        <is>
          <t>SG-22, SG-14, SG-06, SG-07; account moves with the worker</t>
        </is>
      </c>
    </row>
    <row r="10">
      <c r="A10" s="65" t="inlineStr">
        <is>
          <t>Salaried, loans stop when they change jobs</t>
        </is>
      </c>
      <c r="B10" s="71" t="n">
        <v>150000</v>
      </c>
      <c r="C10" s="72" t="n">
        <v>0.3981658984502819</v>
      </c>
      <c r="D10" s="65" t="inlineStr">
        <is>
          <t>False</t>
        </is>
      </c>
      <c r="E10" s="71" t="n">
        <v>202.832147686579</v>
      </c>
      <c r="F10" s="71" t="n">
        <v>417.0633907199007</v>
      </c>
      <c r="G10" s="71" t="n">
        <v>499.2394215203765</v>
      </c>
      <c r="H10" s="65" t="inlineStr">
        <is>
          <t>as above, loans tied to one employer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2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0" customWidth="1" min="3" max="3"/>
    <col width="10" customWidth="1" min="4" max="4"/>
    <col width="10" customWidth="1" min="5" max="5"/>
    <col width="13" customWidth="1" min="6" max="6"/>
    <col width="13" customWidth="1" min="7" max="7"/>
    <col width="12" customWidth="1" min="8" max="8"/>
    <col width="11" customWidth="1" min="9" max="9"/>
    <col width="11" customWidth="1" min="10" max="10"/>
    <col width="10" customWidth="1" min="11" max="11"/>
    <col width="13" customWidth="1" min="12" max="12"/>
  </cols>
  <sheetData>
    <row r="1">
      <c r="A1" s="1" t="inlineStr">
        <is>
          <t>Levers: can a structural change make the base case add up? (daily design, as chosen 30 Sep 2026)</t>
        </is>
      </c>
    </row>
    <row r="2" ht="42" customHeight="1">
      <c r="A2" s="4" t="inlineStr">
        <is>
          <t>Written by levers.py from the same engine. Levers A-C are switches on Inputs (dlg_on, nbfc_on, gold_on): set one to 1 and the live sheets reproduce its row (verify.py checks gold, NBFC and guarantee at base). Lever D (blue-collar) is a set of input changes listed in tables/variants.csv. Own NBFC starts in calendar year 3.</t>
        </is>
      </c>
    </row>
    <row r="4" ht="45" customHeight="1">
      <c r="A4" s="5" t="inlineStr">
        <is>
          <t>Lever</t>
        </is>
      </c>
      <c r="B4" s="5" t="inlineStr">
        <is>
          <t>Scenario</t>
        </is>
      </c>
      <c r="C4" s="5" t="inlineStr">
        <is>
          <t>CAC (₹)</t>
        </is>
      </c>
      <c r="D4" s="5" t="inlineStr">
        <is>
          <t>Payback (months)</t>
        </is>
      </c>
      <c r="E4" s="5" t="inlineStr">
        <is>
          <t>LTV/CAC, 60 m</t>
        </is>
      </c>
      <c r="F4" s="5" t="inlineStr">
        <is>
          <t>Revenue per active saver, yr 2 (₹)</t>
        </is>
      </c>
      <c r="G4" s="5" t="inlineStr">
        <is>
          <t>Contribution per active saver, yr 2 (₹)</t>
        </is>
      </c>
      <c r="H4" s="5" t="inlineStr">
        <is>
          <t>Capital locked per ₹1 revenue, yr 1</t>
        </is>
      </c>
      <c r="I4" s="5" t="inlineStr">
        <is>
          <t>Revenue in year 10 ($M)</t>
        </is>
      </c>
      <c r="J4" s="5" t="inlineStr">
        <is>
          <t>Active savers, year 10 (M)</t>
        </is>
      </c>
      <c r="K4" s="5" t="inlineStr">
        <is>
          <t>First year ≥ $100M</t>
        </is>
      </c>
      <c r="L4" s="5" t="inlineStr">
        <is>
          <t>Peak capital needed, 10 yrs (₹ cr)</t>
        </is>
      </c>
    </row>
    <row r="5">
      <c r="A5" s="25" t="inlineStr">
        <is>
          <t>As briefed (daily)</t>
        </is>
      </c>
      <c r="B5" s="25" t="inlineStr">
        <is>
          <t>bear</t>
        </is>
      </c>
      <c r="C5" s="32" t="n">
        <v>366.6056945505475</v>
      </c>
      <c r="D5" s="46" t="n"/>
      <c r="E5" s="75" t="n">
        <v>-1.757575476785374</v>
      </c>
      <c r="F5" s="32" t="n">
        <v>21.55442956685141</v>
      </c>
      <c r="G5" s="32" t="n">
        <v>-1364.007060617361</v>
      </c>
      <c r="H5" s="45" t="n">
        <v>0</v>
      </c>
      <c r="I5" s="43" t="n">
        <v>0.4450663123553958</v>
      </c>
      <c r="J5" s="45" t="n">
        <v>3.371274057223836</v>
      </c>
      <c r="K5" s="46" t="n"/>
      <c r="L5" s="32" t="n">
        <v>4060.147313552838</v>
      </c>
    </row>
    <row r="6">
      <c r="A6" s="2" t="inlineStr">
        <is>
          <t>As briefed (daily)</t>
        </is>
      </c>
      <c r="B6" s="2" t="inlineStr">
        <is>
          <t>base</t>
        </is>
      </c>
      <c r="C6" s="27" t="n">
        <v>256.0819168576521</v>
      </c>
      <c r="D6" s="61" t="n"/>
      <c r="E6" s="62" t="n">
        <v>-1.343629915187171</v>
      </c>
      <c r="F6" s="27" t="n">
        <v>202.3017108149118</v>
      </c>
      <c r="G6" s="27" t="n">
        <v>-490.7560877782323</v>
      </c>
      <c r="H6" s="51" t="n">
        <v>0</v>
      </c>
      <c r="I6" s="76" t="n">
        <v>7.094666851469241</v>
      </c>
      <c r="J6" s="51" t="n">
        <v>4.624576907479964</v>
      </c>
      <c r="K6" s="61" t="n"/>
      <c r="L6" s="27" t="n">
        <v>2787.11505745285</v>
      </c>
    </row>
    <row r="7">
      <c r="A7" s="25" t="inlineStr">
        <is>
          <t>As briefed (daily)</t>
        </is>
      </c>
      <c r="B7" s="25" t="inlineStr">
        <is>
          <t>bull</t>
        </is>
      </c>
      <c r="C7" s="32" t="n">
        <v>211.1851551226551</v>
      </c>
      <c r="D7" s="46" t="n">
        <v>21</v>
      </c>
      <c r="E7" s="75" t="n">
        <v>2.080720743256819</v>
      </c>
      <c r="F7" s="32" t="n">
        <v>929.0299812620316</v>
      </c>
      <c r="G7" s="32" t="n">
        <v>652.5837995281919</v>
      </c>
      <c r="H7" s="45" t="n">
        <v>0</v>
      </c>
      <c r="I7" s="43" t="n">
        <v>54.85791617389278</v>
      </c>
      <c r="J7" s="45" t="n">
        <v>7.270878039004891</v>
      </c>
      <c r="K7" s="46" t="n"/>
      <c r="L7" s="32" t="n">
        <v>708.1463480966227</v>
      </c>
    </row>
    <row r="8">
      <c r="A8" s="25" t="inlineStr">
        <is>
          <t>A. Take 5% of loan losses</t>
        </is>
      </c>
      <c r="B8" s="25" t="inlineStr">
        <is>
          <t>bear</t>
        </is>
      </c>
      <c r="C8" s="32" t="n">
        <v>366.6056945505475</v>
      </c>
      <c r="D8" s="46" t="n"/>
      <c r="E8" s="75" t="n">
        <v>-1.757843168951029</v>
      </c>
      <c r="F8" s="32" t="n">
        <v>21.64190883354554</v>
      </c>
      <c r="G8" s="32" t="n">
        <v>-1364.35435527227</v>
      </c>
      <c r="H8" s="45" t="n">
        <v>0</v>
      </c>
      <c r="I8" s="43" t="n">
        <v>0.4474966676495335</v>
      </c>
      <c r="J8" s="45" t="n">
        <v>3.371274057223836</v>
      </c>
      <c r="K8" s="46" t="n"/>
      <c r="L8" s="32" t="n">
        <v>4060.375150585804</v>
      </c>
    </row>
    <row r="9">
      <c r="A9" s="2" t="inlineStr">
        <is>
          <t>A. Take 5% of loan losses</t>
        </is>
      </c>
      <c r="B9" s="2" t="inlineStr">
        <is>
          <t>base</t>
        </is>
      </c>
      <c r="C9" s="27" t="n">
        <v>256.0819168576521</v>
      </c>
      <c r="D9" s="61" t="n"/>
      <c r="E9" s="62" t="n">
        <v>-1.337380076456423</v>
      </c>
      <c r="F9" s="27" t="n">
        <v>210.7146774414595</v>
      </c>
      <c r="G9" s="27" t="n">
        <v>-488.1252072243147</v>
      </c>
      <c r="H9" s="51" t="n">
        <v>0</v>
      </c>
      <c r="I9" s="76" t="n">
        <v>7.387246345834611</v>
      </c>
      <c r="J9" s="51" t="n">
        <v>4.624576907479964</v>
      </c>
      <c r="K9" s="61" t="n"/>
      <c r="L9" s="27" t="n">
        <v>2785.007387580705</v>
      </c>
    </row>
    <row r="10">
      <c r="A10" s="25" t="inlineStr">
        <is>
          <t>A. Take 5% of loan losses</t>
        </is>
      </c>
      <c r="B10" s="25" t="inlineStr">
        <is>
          <t>bull</t>
        </is>
      </c>
      <c r="C10" s="32" t="n">
        <v>211.1851551226551</v>
      </c>
      <c r="D10" s="46" t="n">
        <v>20</v>
      </c>
      <c r="E10" s="75" t="n">
        <v>2.512847122888972</v>
      </c>
      <c r="F10" s="32" t="n">
        <v>1082.076646957717</v>
      </c>
      <c r="G10" s="32" t="n">
        <v>784.7162876486404</v>
      </c>
      <c r="H10" s="45" t="n">
        <v>0</v>
      </c>
      <c r="I10" s="43" t="n">
        <v>63.03631341765779</v>
      </c>
      <c r="J10" s="45" t="n">
        <v>7.270878039004891</v>
      </c>
      <c r="K10" s="46" t="n"/>
      <c r="L10" s="32" t="n">
        <v>538.9015693136911</v>
      </c>
    </row>
    <row r="11">
      <c r="A11" s="25" t="inlineStr">
        <is>
          <t>B. Own NBFC from year 3</t>
        </is>
      </c>
      <c r="B11" s="25" t="inlineStr">
        <is>
          <t>bear</t>
        </is>
      </c>
      <c r="C11" s="32" t="n">
        <v>366.6056945505475</v>
      </c>
      <c r="D11" s="46" t="n"/>
      <c r="E11" s="75" t="n">
        <v>-1.76427730791961</v>
      </c>
      <c r="F11" s="32" t="n">
        <v>23.70271001678783</v>
      </c>
      <c r="G11" s="32" t="n">
        <v>-1373.441055180527</v>
      </c>
      <c r="H11" s="45" t="n">
        <v>0.2899371799143477</v>
      </c>
      <c r="I11" s="43" t="n">
        <v>0.4870592136237469</v>
      </c>
      <c r="J11" s="45" t="n">
        <v>3.371274057223836</v>
      </c>
      <c r="K11" s="46" t="n"/>
      <c r="L11" s="32" t="n">
        <v>4140.220377005989</v>
      </c>
    </row>
    <row r="12">
      <c r="A12" s="2" t="inlineStr">
        <is>
          <t>B. Own NBFC from year 3</t>
        </is>
      </c>
      <c r="B12" s="2" t="inlineStr">
        <is>
          <t>base</t>
        </is>
      </c>
      <c r="C12" s="27" t="n">
        <v>256.0819168576521</v>
      </c>
      <c r="D12" s="61" t="n"/>
      <c r="E12" s="62" t="n">
        <v>-1.305428319059367</v>
      </c>
      <c r="F12" s="27" t="n">
        <v>275.0813985186996</v>
      </c>
      <c r="G12" s="27" t="n">
        <v>-461.3543727808579</v>
      </c>
      <c r="H12" s="51" t="n">
        <v>0.2245032476757586</v>
      </c>
      <c r="I12" s="76" t="n">
        <v>9.245392947379925</v>
      </c>
      <c r="J12" s="51" t="n">
        <v>4.624576907479964</v>
      </c>
      <c r="K12" s="61" t="n"/>
      <c r="L12" s="27" t="n">
        <v>2844.147330488045</v>
      </c>
    </row>
    <row r="13">
      <c r="A13" s="25" t="inlineStr">
        <is>
          <t>B. Own NBFC from year 3</t>
        </is>
      </c>
      <c r="B13" s="25" t="inlineStr">
        <is>
          <t>bull</t>
        </is>
      </c>
      <c r="C13" s="32" t="n">
        <v>211.1851551226551</v>
      </c>
      <c r="D13" s="46" t="n">
        <v>15</v>
      </c>
      <c r="E13" s="75" t="n">
        <v>4.080409772925028</v>
      </c>
      <c r="F13" s="32" t="n">
        <v>1695.904723054419</v>
      </c>
      <c r="G13" s="32" t="n">
        <v>1351.805280815421</v>
      </c>
      <c r="H13" s="45" t="n">
        <v>0.223535063473848</v>
      </c>
      <c r="I13" s="43" t="n">
        <v>91.16954633063737</v>
      </c>
      <c r="J13" s="45" t="n">
        <v>7.270878039004891</v>
      </c>
      <c r="K13" s="46" t="n"/>
      <c r="L13" s="32" t="n">
        <v>331.4785566450761</v>
      </c>
    </row>
    <row r="14">
      <c r="A14" s="25" t="inlineStr">
        <is>
          <t>C. Add digital gold</t>
        </is>
      </c>
      <c r="B14" s="25" t="inlineStr">
        <is>
          <t>bear</t>
        </is>
      </c>
      <c r="C14" s="32" t="n">
        <v>366.6056945505475</v>
      </c>
      <c r="D14" s="46" t="n"/>
      <c r="E14" s="75" t="n">
        <v>-1.725096491283739</v>
      </c>
      <c r="F14" s="32" t="n">
        <v>42.79818983995716</v>
      </c>
      <c r="G14" s="32" t="n">
        <v>-1339.728289765168</v>
      </c>
      <c r="H14" s="45" t="n">
        <v>0</v>
      </c>
      <c r="I14" s="43" t="n">
        <v>1.275604347304788</v>
      </c>
      <c r="J14" s="45" t="n">
        <v>3.371274057223836</v>
      </c>
      <c r="K14" s="46" t="n"/>
      <c r="L14" s="32" t="n">
        <v>4030.023325044219</v>
      </c>
    </row>
    <row r="15">
      <c r="A15" s="2" t="inlineStr">
        <is>
          <t>C. Add digital gold</t>
        </is>
      </c>
      <c r="B15" s="2" t="inlineStr">
        <is>
          <t>base</t>
        </is>
      </c>
      <c r="C15" s="27" t="n">
        <v>256.0819168576521</v>
      </c>
      <c r="D15" s="61" t="n"/>
      <c r="E15" s="62" t="n">
        <v>-1.188132567113479</v>
      </c>
      <c r="F15" s="27" t="n">
        <v>242.3155178960042</v>
      </c>
      <c r="G15" s="27" t="n">
        <v>-445.0634625757987</v>
      </c>
      <c r="H15" s="51" t="n">
        <v>0</v>
      </c>
      <c r="I15" s="76" t="n">
        <v>9.887659313181969</v>
      </c>
      <c r="J15" s="51" t="n">
        <v>4.624576907479964</v>
      </c>
      <c r="K15" s="61" t="n"/>
      <c r="L15" s="27" t="n">
        <v>2687.750734408471</v>
      </c>
    </row>
    <row r="16">
      <c r="A16" s="25" t="inlineStr">
        <is>
          <t>C. Add digital gold</t>
        </is>
      </c>
      <c r="B16" s="25" t="inlineStr">
        <is>
          <t>bull</t>
        </is>
      </c>
      <c r="C16" s="32" t="n">
        <v>211.1851551226551</v>
      </c>
      <c r="D16" s="46" t="n">
        <v>15</v>
      </c>
      <c r="E16" s="75" t="n">
        <v>2.628997718409101</v>
      </c>
      <c r="F16" s="32" t="n">
        <v>932.7366049994951</v>
      </c>
      <c r="G16" s="32" t="n">
        <v>663.8849813115411</v>
      </c>
      <c r="H16" s="45" t="n">
        <v>0</v>
      </c>
      <c r="I16" s="43" t="n">
        <v>63.2684007187599</v>
      </c>
      <c r="J16" s="45" t="n">
        <v>7.270878039004891</v>
      </c>
      <c r="K16" s="46" t="n"/>
      <c r="L16" s="32" t="n">
        <v>425.3894857736063</v>
      </c>
    </row>
    <row r="17">
      <c r="A17" s="25" t="inlineStr">
        <is>
          <t>A + C (the plan)</t>
        </is>
      </c>
      <c r="B17" s="25" t="inlineStr">
        <is>
          <t>bear</t>
        </is>
      </c>
      <c r="C17" s="32" t="n">
        <v>366.6056945505475</v>
      </c>
      <c r="D17" s="46" t="n"/>
      <c r="E17" s="75" t="n">
        <v>-1.725387282143734</v>
      </c>
      <c r="F17" s="32" t="n">
        <v>42.84192947330423</v>
      </c>
      <c r="G17" s="32" t="n">
        <v>-1340.103577785419</v>
      </c>
      <c r="H17" s="45" t="n">
        <v>0</v>
      </c>
      <c r="I17" s="43" t="n">
        <v>1.277003803655409</v>
      </c>
      <c r="J17" s="45" t="n">
        <v>3.371274057223836</v>
      </c>
      <c r="K17" s="46" t="n"/>
      <c r="L17" s="32" t="n">
        <v>4030.261322512183</v>
      </c>
    </row>
    <row r="18">
      <c r="A18" s="2" t="inlineStr">
        <is>
          <t>A + C (the plan)</t>
        </is>
      </c>
      <c r="B18" s="2" t="inlineStr">
        <is>
          <t>base</t>
        </is>
      </c>
      <c r="C18" s="27" t="n">
        <v>256.0819168576521</v>
      </c>
      <c r="D18" s="61" t="n"/>
      <c r="E18" s="62" t="n">
        <v>-1.187241157033409</v>
      </c>
      <c r="F18" s="27" t="n">
        <v>246.522001209278</v>
      </c>
      <c r="G18" s="27" t="n">
        <v>-446.1801762464342</v>
      </c>
      <c r="H18" s="51" t="n">
        <v>0</v>
      </c>
      <c r="I18" s="76" t="n">
        <v>10.0599041121845</v>
      </c>
      <c r="J18" s="51" t="n">
        <v>4.624576907479964</v>
      </c>
      <c r="K18" s="61" t="n"/>
      <c r="L18" s="27" t="n">
        <v>2688.109215709722</v>
      </c>
    </row>
    <row r="19">
      <c r="A19" s="25" t="inlineStr">
        <is>
          <t>A + C (the plan)</t>
        </is>
      </c>
      <c r="B19" s="25" t="inlineStr">
        <is>
          <t>bull</t>
        </is>
      </c>
      <c r="C19" s="32" t="n">
        <v>211.1851551226551</v>
      </c>
      <c r="D19" s="46" t="n">
        <v>15</v>
      </c>
      <c r="E19" s="75" t="n">
        <v>2.864777151594754</v>
      </c>
      <c r="F19" s="32" t="n">
        <v>1009.259937847338</v>
      </c>
      <c r="G19" s="32" t="n">
        <v>722.5550698980605</v>
      </c>
      <c r="H19" s="45" t="n">
        <v>0</v>
      </c>
      <c r="I19" s="43" t="n">
        <v>68.07509508225809</v>
      </c>
      <c r="J19" s="45" t="n">
        <v>7.270878039004891</v>
      </c>
      <c r="K19" s="46" t="n"/>
      <c r="L19" s="32" t="n">
        <v>369.4568509603132</v>
      </c>
    </row>
    <row r="20">
      <c r="A20" s="25" t="inlineStr">
        <is>
          <t>B + C</t>
        </is>
      </c>
      <c r="B20" s="25" t="inlineStr">
        <is>
          <t>bear</t>
        </is>
      </c>
      <c r="C20" s="32" t="n">
        <v>366.6056945505475</v>
      </c>
      <c r="D20" s="46" t="n"/>
      <c r="E20" s="75" t="n">
        <v>-1.732523503229266</v>
      </c>
      <c r="F20" s="32" t="n">
        <v>43.87233006492536</v>
      </c>
      <c r="G20" s="32" t="n">
        <v>-1350.220678285297</v>
      </c>
      <c r="H20" s="45" t="n">
        <v>0.03137225065179154</v>
      </c>
      <c r="I20" s="43" t="n">
        <v>1.296818886614669</v>
      </c>
      <c r="J20" s="45" t="n">
        <v>3.371274057223836</v>
      </c>
      <c r="K20" s="46" t="n"/>
      <c r="L20" s="32" t="n">
        <v>4110.730087894673</v>
      </c>
    </row>
    <row r="21">
      <c r="A21" s="2" t="inlineStr">
        <is>
          <t>B + C</t>
        </is>
      </c>
      <c r="B21" s="2" t="inlineStr">
        <is>
          <t>base</t>
        </is>
      </c>
      <c r="C21" s="27" t="n">
        <v>256.0819168576521</v>
      </c>
      <c r="D21" s="61" t="n"/>
      <c r="E21" s="62" t="n">
        <v>-1.202447891810099</v>
      </c>
      <c r="F21" s="27" t="n">
        <v>278.7053617478981</v>
      </c>
      <c r="G21" s="27" t="n">
        <v>-451.5927023415974</v>
      </c>
      <c r="H21" s="51" t="n">
        <v>0.0763194988757768</v>
      </c>
      <c r="I21" s="76" t="n">
        <v>10.98933575331019</v>
      </c>
      <c r="J21" s="51" t="n">
        <v>4.624576907479964</v>
      </c>
      <c r="K21" s="61" t="n"/>
      <c r="L21" s="27" t="n">
        <v>2758.205460560805</v>
      </c>
    </row>
    <row r="22">
      <c r="A22" s="25" t="inlineStr">
        <is>
          <t>B + C</t>
        </is>
      </c>
      <c r="B22" s="25" t="inlineStr">
        <is>
          <t>bull</t>
        </is>
      </c>
      <c r="C22" s="32" t="n">
        <v>211.1851551226551</v>
      </c>
      <c r="D22" s="46" t="n">
        <v>13</v>
      </c>
      <c r="E22" s="75" t="n">
        <v>3.563482227439203</v>
      </c>
      <c r="F22" s="32" t="n">
        <v>1316.173975895689</v>
      </c>
      <c r="G22" s="32" t="n">
        <v>982.7300250164901</v>
      </c>
      <c r="H22" s="45" t="n">
        <v>0.09813355944505565</v>
      </c>
      <c r="I22" s="43" t="n">
        <v>82.0711573928745</v>
      </c>
      <c r="J22" s="45" t="n">
        <v>7.270878039004891</v>
      </c>
      <c r="K22" s="46" t="n"/>
      <c r="L22" s="32" t="n">
        <v>325.5508036206342</v>
      </c>
    </row>
    <row r="23">
      <c r="A23" s="25" t="inlineStr">
        <is>
          <t>A + C, gig only</t>
        </is>
      </c>
      <c r="B23" s="25" t="inlineStr">
        <is>
          <t>bear</t>
        </is>
      </c>
      <c r="C23" s="32" t="n">
        <v>297.6725978270096</v>
      </c>
      <c r="D23" s="46" t="n"/>
      <c r="E23" s="75" t="n">
        <v>-1.695987588931403</v>
      </c>
      <c r="F23" s="32" t="n">
        <v>38.65053807158147</v>
      </c>
      <c r="G23" s="32" t="n">
        <v>-1313.548454944636</v>
      </c>
      <c r="H23" s="45" t="n">
        <v>0</v>
      </c>
      <c r="I23" s="43" t="n">
        <v>0.8971193924438535</v>
      </c>
      <c r="J23" s="45" t="n">
        <v>2.725294325199875</v>
      </c>
      <c r="K23" s="46" t="n"/>
      <c r="L23" s="32" t="n">
        <v>3401.160906384448</v>
      </c>
    </row>
    <row r="24">
      <c r="A24" s="2" t="inlineStr">
        <is>
          <t>A + C, gig only</t>
        </is>
      </c>
      <c r="B24" s="2" t="inlineStr">
        <is>
          <t>base</t>
        </is>
      </c>
      <c r="C24" s="27" t="n">
        <v>249.3395828028181</v>
      </c>
      <c r="D24" s="61" t="n"/>
      <c r="E24" s="62" t="n">
        <v>-1.059293767034479</v>
      </c>
      <c r="F24" s="27" t="n">
        <v>227.5373452166841</v>
      </c>
      <c r="G24" s="27" t="n">
        <v>-439.3550572024149</v>
      </c>
      <c r="H24" s="51" t="n">
        <v>0</v>
      </c>
      <c r="I24" s="76" t="n">
        <v>7.790494955492991</v>
      </c>
      <c r="J24" s="51" t="n">
        <v>4.022804790375083</v>
      </c>
      <c r="K24" s="61" t="n"/>
      <c r="L24" s="27" t="n">
        <v>2561.080485507515</v>
      </c>
    </row>
    <row r="25">
      <c r="A25" s="25" t="inlineStr">
        <is>
          <t>A + C, gig only</t>
        </is>
      </c>
      <c r="B25" s="25" t="inlineStr">
        <is>
          <t>bull</t>
        </is>
      </c>
      <c r="C25" s="32" t="n">
        <v>217.1175727866904</v>
      </c>
      <c r="D25" s="46" t="n">
        <v>21</v>
      </c>
      <c r="E25" s="75" t="n">
        <v>1.913454259682336</v>
      </c>
      <c r="F25" s="32" t="n">
        <v>841.8703894389171</v>
      </c>
      <c r="G25" s="32" t="n">
        <v>562.2288736652109</v>
      </c>
      <c r="H25" s="45" t="n">
        <v>0</v>
      </c>
      <c r="I25" s="43" t="n">
        <v>50.57395163430111</v>
      </c>
      <c r="J25" s="45" t="n">
        <v>6.578333539340585</v>
      </c>
      <c r="K25" s="46" t="n"/>
      <c r="L25" s="32" t="n">
        <v>789.3618964485109</v>
      </c>
    </row>
  </sheetData>
  <mergeCells count="1">
    <mergeCell ref="A2:L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8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Path to $100M revenue: savers acquired × revenue per saver by cohort year × product mix</t>
        </is>
      </c>
    </row>
    <row r="2" ht="42" customHeight="1">
      <c r="A2" s="4" t="inlineStr">
        <is>
          <t>Savers acquired evenly through a year spend half a year in their first cohort year, so calendar year Y gets 0.5 × v(Y−c) + 0.5 × v(Y−c+1) from the cohort acquired in year c. After cohort year 5, values decay by (1 − monthly late churn)^12 a year. Volumes are the same in every scenario; the scenario changes the unit economics.</t>
        </is>
      </c>
    </row>
    <row r="4">
      <c r="A4" s="5" t="inlineStr">
        <is>
          <t>Growth inputs</t>
        </is>
      </c>
      <c r="B4" s="5" t="inlineStr">
        <is>
          <t>Year 1</t>
        </is>
      </c>
      <c r="C4" s="5" t="inlineStr">
        <is>
          <t>Year 2</t>
        </is>
      </c>
      <c r="D4" s="5" t="inlineStr">
        <is>
          <t>Year 3</t>
        </is>
      </c>
      <c r="E4" s="5" t="inlineStr">
        <is>
          <t>Year 4</t>
        </is>
      </c>
      <c r="F4" s="5" t="inlineStr">
        <is>
          <t>Year 5</t>
        </is>
      </c>
      <c r="G4" s="5" t="inlineStr">
        <is>
          <t>Year 6</t>
        </is>
      </c>
      <c r="H4" s="5" t="inlineStr">
        <is>
          <t>Year 7</t>
        </is>
      </c>
      <c r="I4" s="5" t="inlineStr">
        <is>
          <t>Year 8</t>
        </is>
      </c>
      <c r="J4" s="5" t="inlineStr">
        <is>
          <t>Year 9</t>
        </is>
      </c>
      <c r="K4" s="5" t="inlineStr">
        <is>
          <t>Year 10</t>
        </is>
      </c>
      <c r="L4" s="5" t="inlineStr">
        <is>
          <t>Basis</t>
        </is>
      </c>
    </row>
    <row r="5">
      <c r="A5" s="25" t="inlineStr">
        <is>
          <t>New activated savers</t>
        </is>
      </c>
      <c r="B5" s="30" t="n">
        <v>25000</v>
      </c>
      <c r="C5" s="30" t="n">
        <v>150000</v>
      </c>
      <c r="D5" s="30" t="n">
        <v>500000</v>
      </c>
      <c r="E5" s="30" t="n">
        <v>1200000</v>
      </c>
      <c r="F5" s="30" t="n">
        <v>2000000</v>
      </c>
      <c r="G5" s="30" t="n">
        <v>3000000</v>
      </c>
      <c r="H5" s="30" t="n">
        <v>4000000</v>
      </c>
      <c r="I5" s="30" t="n">
        <v>5000000</v>
      </c>
      <c r="J5" s="30" t="n">
        <v>6000000</v>
      </c>
      <c r="K5" s="30" t="n">
        <v>7000000</v>
      </c>
      <c r="L5" s="28" t="inlineStr">
        <is>
          <t>assumption</t>
        </is>
      </c>
    </row>
    <row r="6">
      <c r="A6" s="25" t="inlineStr">
        <is>
          <t>CAC multiplier as channels saturate</t>
        </is>
      </c>
      <c r="B6" s="77" t="n">
        <v>1</v>
      </c>
      <c r="C6" s="77" t="n">
        <v>1</v>
      </c>
      <c r="D6" s="77" t="n">
        <v>1.1</v>
      </c>
      <c r="E6" s="77" t="n">
        <v>1.2</v>
      </c>
      <c r="F6" s="77" t="n">
        <v>1.3</v>
      </c>
      <c r="G6" s="77" t="n">
        <v>1.4</v>
      </c>
      <c r="H6" s="77" t="n">
        <v>1.5</v>
      </c>
      <c r="I6" s="77" t="n">
        <v>1.6</v>
      </c>
      <c r="J6" s="77" t="n">
        <v>1.7</v>
      </c>
      <c r="K6" s="77" t="n">
        <v>1.8</v>
      </c>
      <c r="L6" s="28" t="inlineStr">
        <is>
          <t>assumption</t>
        </is>
      </c>
    </row>
    <row r="7">
      <c r="A7" s="25" t="inlineStr">
        <is>
          <t>Fixed opex: team, tech, office (₹ crore)</t>
        </is>
      </c>
      <c r="B7" s="42" t="n">
        <v>6</v>
      </c>
      <c r="C7" s="42" t="n">
        <v>15</v>
      </c>
      <c r="D7" s="42" t="n">
        <v>30</v>
      </c>
      <c r="E7" s="42" t="n">
        <v>50</v>
      </c>
      <c r="F7" s="42" t="n">
        <v>70</v>
      </c>
      <c r="G7" s="42" t="n">
        <v>85</v>
      </c>
      <c r="H7" s="42" t="n">
        <v>100</v>
      </c>
      <c r="I7" s="42" t="n">
        <v>115</v>
      </c>
      <c r="J7" s="42" t="n">
        <v>130</v>
      </c>
      <c r="K7" s="42" t="n">
        <v>145</v>
      </c>
      <c r="L7" s="28" t="inlineStr">
        <is>
          <t>assumption</t>
        </is>
      </c>
    </row>
    <row r="10">
      <c r="A10" s="5" t="inlineStr">
        <is>
          <t>Per activated saver, by cohort year k</t>
        </is>
      </c>
      <c r="B10" s="5" t="inlineStr">
        <is>
          <t>k=0</t>
        </is>
      </c>
      <c r="C10" s="5" t="inlineStr">
        <is>
          <t>k=1</t>
        </is>
      </c>
      <c r="D10" s="5" t="inlineStr">
        <is>
          <t>k=2</t>
        </is>
      </c>
      <c r="E10" s="5" t="inlineStr">
        <is>
          <t>k=3</t>
        </is>
      </c>
      <c r="F10" s="5" t="inlineStr">
        <is>
          <t>k=4</t>
        </is>
      </c>
      <c r="G10" s="5" t="inlineStr">
        <is>
          <t>k=5</t>
        </is>
      </c>
      <c r="H10" s="5" t="inlineStr">
        <is>
          <t>k=6</t>
        </is>
      </c>
      <c r="I10" s="5" t="inlineStr">
        <is>
          <t>k=7</t>
        </is>
      </c>
      <c r="J10" s="5" t="inlineStr">
        <is>
          <t>k=8</t>
        </is>
      </c>
      <c r="K10" s="5" t="inlineStr">
        <is>
          <t>k=9</t>
        </is>
      </c>
      <c r="L10" s="5" t="inlineStr">
        <is>
          <t>k=10</t>
        </is>
      </c>
    </row>
    <row r="11">
      <c r="A11" s="25" t="inlineStr">
        <is>
          <t>Revenue (₹)</t>
        </is>
      </c>
      <c r="B11" s="32">
        <f>0</f>
        <v/>
      </c>
      <c r="C11" s="40">
        <f>y1_rev_act</f>
        <v/>
      </c>
      <c r="D11" s="40">
        <f>y2_rev_act</f>
        <v/>
      </c>
      <c r="E11" s="40">
        <f>y3_rev_act</f>
        <v/>
      </c>
      <c r="F11" s="40">
        <f>y4_rev_act</f>
        <v/>
      </c>
      <c r="G11" s="40">
        <f>y5_rev_act</f>
        <v/>
      </c>
      <c r="H11" s="32">
        <f>G11*(1-churn_path)^(12*1)</f>
        <v/>
      </c>
      <c r="I11" s="32">
        <f>G11*(1-churn_path)^(12*2)</f>
        <v/>
      </c>
      <c r="J11" s="32">
        <f>G11*(1-churn_path)^(12*3)</f>
        <v/>
      </c>
      <c r="K11" s="32">
        <f>G11*(1-churn_path)^(12*4)</f>
        <v/>
      </c>
      <c r="L11" s="32">
        <f>G11*(1-churn_path)^(12*5)</f>
        <v/>
      </c>
    </row>
    <row r="12">
      <c r="A12" s="25" t="inlineStr">
        <is>
          <t>Contribution (₹)</t>
        </is>
      </c>
      <c r="B12" s="32">
        <f>0</f>
        <v/>
      </c>
      <c r="C12" s="40">
        <f>y1_cm_act</f>
        <v/>
      </c>
      <c r="D12" s="40">
        <f>y2_cm_act</f>
        <v/>
      </c>
      <c r="E12" s="40">
        <f>y3_cm_act</f>
        <v/>
      </c>
      <c r="F12" s="40">
        <f>y4_cm_act</f>
        <v/>
      </c>
      <c r="G12" s="40">
        <f>y5_cm_act</f>
        <v/>
      </c>
      <c r="H12" s="32">
        <f>G12*(1-churn_path)^(12*1)</f>
        <v/>
      </c>
      <c r="I12" s="32">
        <f>G12*(1-churn_path)^(12*2)</f>
        <v/>
      </c>
      <c r="J12" s="32">
        <f>G12*(1-churn_path)^(12*3)</f>
        <v/>
      </c>
      <c r="K12" s="32">
        <f>G12*(1-churn_path)^(12*4)</f>
        <v/>
      </c>
      <c r="L12" s="32">
        <f>G12*(1-churn_path)^(12*5)</f>
        <v/>
      </c>
    </row>
    <row r="13">
      <c r="A13" s="25" t="inlineStr">
        <is>
          <t>Active savers per activated (avg in year)</t>
        </is>
      </c>
      <c r="B13" s="45">
        <f>0</f>
        <v/>
      </c>
      <c r="C13" s="50">
        <f>y1_active_per</f>
        <v/>
      </c>
      <c r="D13" s="50">
        <f>y2_active_per</f>
        <v/>
      </c>
      <c r="E13" s="50">
        <f>y3_active_per</f>
        <v/>
      </c>
      <c r="F13" s="50">
        <f>y4_active_per</f>
        <v/>
      </c>
      <c r="G13" s="50">
        <f>y5_active_per</f>
        <v/>
      </c>
      <c r="H13" s="45">
        <f>G13*(1-churn_path)^(12*1)</f>
        <v/>
      </c>
      <c r="I13" s="45">
        <f>G13*(1-churn_path)^(12*2)</f>
        <v/>
      </c>
      <c r="J13" s="45">
        <f>G13*(1-churn_path)^(12*3)</f>
        <v/>
      </c>
      <c r="K13" s="45">
        <f>G13*(1-churn_path)^(12*4)</f>
        <v/>
      </c>
      <c r="L13" s="45">
        <f>G13*(1-churn_path)^(12*5)</f>
        <v/>
      </c>
    </row>
    <row r="14">
      <c r="A14" s="25" t="inlineStr">
        <is>
          <t>Capital locked per activated (₹, avg in year)</t>
        </is>
      </c>
      <c r="B14" s="32">
        <f>0</f>
        <v/>
      </c>
      <c r="C14" s="40">
        <f>y1_cap_act</f>
        <v/>
      </c>
      <c r="D14" s="40">
        <f>y2_cap_act</f>
        <v/>
      </c>
      <c r="E14" s="40">
        <f>y3_cap_act</f>
        <v/>
      </c>
      <c r="F14" s="40">
        <f>y4_cap_act</f>
        <v/>
      </c>
      <c r="G14" s="40">
        <f>y5_cap_act</f>
        <v/>
      </c>
      <c r="H14" s="32">
        <f>G14*(1-churn_path)^(12*1)</f>
        <v/>
      </c>
      <c r="I14" s="32">
        <f>G14*(1-churn_path)^(12*2)</f>
        <v/>
      </c>
      <c r="J14" s="32">
        <f>G14*(1-churn_path)^(12*3)</f>
        <v/>
      </c>
      <c r="K14" s="32">
        <f>G14*(1-churn_path)^(12*4)</f>
        <v/>
      </c>
      <c r="L14" s="32">
        <f>G14*(1-churn_path)^(12*5)</f>
        <v/>
      </c>
    </row>
    <row r="17" ht="30" customHeight="1">
      <c r="A17" s="5" t="inlineStr">
        <is>
          <t>Revenue (₹) by acquisition-year cohort (rows) and calendar year (columns)</t>
        </is>
      </c>
      <c r="B17" s="5" t="inlineStr">
        <is>
          <t>Year 1</t>
        </is>
      </c>
      <c r="C17" s="5" t="inlineStr">
        <is>
          <t>Year 2</t>
        </is>
      </c>
      <c r="D17" s="5" t="inlineStr">
        <is>
          <t>Year 3</t>
        </is>
      </c>
      <c r="E17" s="5" t="inlineStr">
        <is>
          <t>Year 4</t>
        </is>
      </c>
      <c r="F17" s="5" t="inlineStr">
        <is>
          <t>Year 5</t>
        </is>
      </c>
      <c r="G17" s="5" t="inlineStr">
        <is>
          <t>Year 6</t>
        </is>
      </c>
      <c r="H17" s="5" t="inlineStr">
        <is>
          <t>Year 7</t>
        </is>
      </c>
      <c r="I17" s="5" t="inlineStr">
        <is>
          <t>Year 8</t>
        </is>
      </c>
      <c r="J17" s="5" t="inlineStr">
        <is>
          <t>Year 9</t>
        </is>
      </c>
      <c r="K17" s="5" t="inlineStr">
        <is>
          <t>Year 10</t>
        </is>
      </c>
    </row>
    <row r="18">
      <c r="A18" s="28" t="inlineStr">
        <is>
          <t>Cohort acquired in year 1</t>
        </is>
      </c>
      <c r="B18" s="38">
        <f>$B$5*0.5*(INDEX($B$11:$L$11,1,1)+INDEX($B$11:$L$11,1,2))</f>
        <v/>
      </c>
      <c r="C18" s="38">
        <f>$B$5*0.5*(INDEX($B$11:$L$11,1,2)+INDEX($B$11:$L$11,1,3))</f>
        <v/>
      </c>
      <c r="D18" s="38">
        <f>$B$5*0.5*(INDEX($B$11:$L$11,1,3)+INDEX($B$11:$L$11,1,4))</f>
        <v/>
      </c>
      <c r="E18" s="38">
        <f>$B$5*0.5*(INDEX($B$11:$L$11,1,4)+INDEX($B$11:$L$11,1,5))</f>
        <v/>
      </c>
      <c r="F18" s="38">
        <f>$B$5*0.5*(INDEX($B$11:$L$11,1,5)+INDEX($B$11:$L$11,1,6))</f>
        <v/>
      </c>
      <c r="G18" s="38">
        <f>$B$5*0.5*(INDEX($B$11:$L$11,1,6)+INDEX($B$11:$L$11,1,7))</f>
        <v/>
      </c>
      <c r="H18" s="38">
        <f>$B$5*0.5*(INDEX($B$11:$L$11,1,7)+INDEX($B$11:$L$11,1,8))</f>
        <v/>
      </c>
      <c r="I18" s="38">
        <f>$B$5*0.5*(INDEX($B$11:$L$11,1,8)+INDEX($B$11:$L$11,1,9))</f>
        <v/>
      </c>
      <c r="J18" s="38">
        <f>$B$5*0.5*(INDEX($B$11:$L$11,1,9)+INDEX($B$11:$L$11,1,10))</f>
        <v/>
      </c>
      <c r="K18" s="38">
        <f>$B$5*0.5*(INDEX($B$11:$L$11,1,10)+INDEX($B$11:$L$11,1,11))</f>
        <v/>
      </c>
    </row>
    <row r="19">
      <c r="A19" s="28" t="inlineStr">
        <is>
          <t>Cohort acquired in year 2</t>
        </is>
      </c>
      <c r="B19" s="38" t="n">
        <v>0</v>
      </c>
      <c r="C19" s="38">
        <f>$C$5*0.5*(INDEX($B$11:$L$11,1,1)+INDEX($B$11:$L$11,1,2))</f>
        <v/>
      </c>
      <c r="D19" s="38">
        <f>$C$5*0.5*(INDEX($B$11:$L$11,1,2)+INDEX($B$11:$L$11,1,3))</f>
        <v/>
      </c>
      <c r="E19" s="38">
        <f>$C$5*0.5*(INDEX($B$11:$L$11,1,3)+INDEX($B$11:$L$11,1,4))</f>
        <v/>
      </c>
      <c r="F19" s="38">
        <f>$C$5*0.5*(INDEX($B$11:$L$11,1,4)+INDEX($B$11:$L$11,1,5))</f>
        <v/>
      </c>
      <c r="G19" s="38">
        <f>$C$5*0.5*(INDEX($B$11:$L$11,1,5)+INDEX($B$11:$L$11,1,6))</f>
        <v/>
      </c>
      <c r="H19" s="38">
        <f>$C$5*0.5*(INDEX($B$11:$L$11,1,6)+INDEX($B$11:$L$11,1,7))</f>
        <v/>
      </c>
      <c r="I19" s="38">
        <f>$C$5*0.5*(INDEX($B$11:$L$11,1,7)+INDEX($B$11:$L$11,1,8))</f>
        <v/>
      </c>
      <c r="J19" s="38">
        <f>$C$5*0.5*(INDEX($B$11:$L$11,1,8)+INDEX($B$11:$L$11,1,9))</f>
        <v/>
      </c>
      <c r="K19" s="38">
        <f>$C$5*0.5*(INDEX($B$11:$L$11,1,9)+INDEX($B$11:$L$11,1,10))</f>
        <v/>
      </c>
    </row>
    <row r="20">
      <c r="A20" s="28" t="inlineStr">
        <is>
          <t>Cohort acquired in year 3</t>
        </is>
      </c>
      <c r="B20" s="38" t="n">
        <v>0</v>
      </c>
      <c r="C20" s="38" t="n">
        <v>0</v>
      </c>
      <c r="D20" s="38">
        <f>$D$5*0.5*(INDEX($B$11:$L$11,1,1)+INDEX($B$11:$L$11,1,2))</f>
        <v/>
      </c>
      <c r="E20" s="38">
        <f>$D$5*0.5*(INDEX($B$11:$L$11,1,2)+INDEX($B$11:$L$11,1,3))</f>
        <v/>
      </c>
      <c r="F20" s="38">
        <f>$D$5*0.5*(INDEX($B$11:$L$11,1,3)+INDEX($B$11:$L$11,1,4))</f>
        <v/>
      </c>
      <c r="G20" s="38">
        <f>$D$5*0.5*(INDEX($B$11:$L$11,1,4)+INDEX($B$11:$L$11,1,5))</f>
        <v/>
      </c>
      <c r="H20" s="38">
        <f>$D$5*0.5*(INDEX($B$11:$L$11,1,5)+INDEX($B$11:$L$11,1,6))</f>
        <v/>
      </c>
      <c r="I20" s="38">
        <f>$D$5*0.5*(INDEX($B$11:$L$11,1,6)+INDEX($B$11:$L$11,1,7))</f>
        <v/>
      </c>
      <c r="J20" s="38">
        <f>$D$5*0.5*(INDEX($B$11:$L$11,1,7)+INDEX($B$11:$L$11,1,8))</f>
        <v/>
      </c>
      <c r="K20" s="38">
        <f>$D$5*0.5*(INDEX($B$11:$L$11,1,8)+INDEX($B$11:$L$11,1,9))</f>
        <v/>
      </c>
    </row>
    <row r="21">
      <c r="A21" s="28" t="inlineStr">
        <is>
          <t>Cohort acquired in year 4</t>
        </is>
      </c>
      <c r="B21" s="38" t="n">
        <v>0</v>
      </c>
      <c r="C21" s="38" t="n">
        <v>0</v>
      </c>
      <c r="D21" s="38" t="n">
        <v>0</v>
      </c>
      <c r="E21" s="38">
        <f>$E$5*0.5*(INDEX($B$11:$L$11,1,1)+INDEX($B$11:$L$11,1,2))</f>
        <v/>
      </c>
      <c r="F21" s="38">
        <f>$E$5*0.5*(INDEX($B$11:$L$11,1,2)+INDEX($B$11:$L$11,1,3))</f>
        <v/>
      </c>
      <c r="G21" s="38">
        <f>$E$5*0.5*(INDEX($B$11:$L$11,1,3)+INDEX($B$11:$L$11,1,4))</f>
        <v/>
      </c>
      <c r="H21" s="38">
        <f>$E$5*0.5*(INDEX($B$11:$L$11,1,4)+INDEX($B$11:$L$11,1,5))</f>
        <v/>
      </c>
      <c r="I21" s="38">
        <f>$E$5*0.5*(INDEX($B$11:$L$11,1,5)+INDEX($B$11:$L$11,1,6))</f>
        <v/>
      </c>
      <c r="J21" s="38">
        <f>$E$5*0.5*(INDEX($B$11:$L$11,1,6)+INDEX($B$11:$L$11,1,7))</f>
        <v/>
      </c>
      <c r="K21" s="38">
        <f>$E$5*0.5*(INDEX($B$11:$L$11,1,7)+INDEX($B$11:$L$11,1,8))</f>
        <v/>
      </c>
    </row>
    <row r="22">
      <c r="A22" s="28" t="inlineStr">
        <is>
          <t>Cohort acquired in year 5</t>
        </is>
      </c>
      <c r="B22" s="38" t="n">
        <v>0</v>
      </c>
      <c r="C22" s="38" t="n">
        <v>0</v>
      </c>
      <c r="D22" s="38" t="n">
        <v>0</v>
      </c>
      <c r="E22" s="38" t="n">
        <v>0</v>
      </c>
      <c r="F22" s="38">
        <f>$F$5*0.5*(INDEX($B$11:$L$11,1,1)+INDEX($B$11:$L$11,1,2))</f>
        <v/>
      </c>
      <c r="G22" s="38">
        <f>$F$5*0.5*(INDEX($B$11:$L$11,1,2)+INDEX($B$11:$L$11,1,3))</f>
        <v/>
      </c>
      <c r="H22" s="38">
        <f>$F$5*0.5*(INDEX($B$11:$L$11,1,3)+INDEX($B$11:$L$11,1,4))</f>
        <v/>
      </c>
      <c r="I22" s="38">
        <f>$F$5*0.5*(INDEX($B$11:$L$11,1,4)+INDEX($B$11:$L$11,1,5))</f>
        <v/>
      </c>
      <c r="J22" s="38">
        <f>$F$5*0.5*(INDEX($B$11:$L$11,1,5)+INDEX($B$11:$L$11,1,6))</f>
        <v/>
      </c>
      <c r="K22" s="38">
        <f>$F$5*0.5*(INDEX($B$11:$L$11,1,6)+INDEX($B$11:$L$11,1,7))</f>
        <v/>
      </c>
    </row>
    <row r="23">
      <c r="A23" s="28" t="inlineStr">
        <is>
          <t>Cohort acquired in year 6</t>
        </is>
      </c>
      <c r="B23" s="38" t="n">
        <v>0</v>
      </c>
      <c r="C23" s="38" t="n">
        <v>0</v>
      </c>
      <c r="D23" s="38" t="n">
        <v>0</v>
      </c>
      <c r="E23" s="38" t="n">
        <v>0</v>
      </c>
      <c r="F23" s="38" t="n">
        <v>0</v>
      </c>
      <c r="G23" s="38">
        <f>$G$5*0.5*(INDEX($B$11:$L$11,1,1)+INDEX($B$11:$L$11,1,2))</f>
        <v/>
      </c>
      <c r="H23" s="38">
        <f>$G$5*0.5*(INDEX($B$11:$L$11,1,2)+INDEX($B$11:$L$11,1,3))</f>
        <v/>
      </c>
      <c r="I23" s="38">
        <f>$G$5*0.5*(INDEX($B$11:$L$11,1,3)+INDEX($B$11:$L$11,1,4))</f>
        <v/>
      </c>
      <c r="J23" s="38">
        <f>$G$5*0.5*(INDEX($B$11:$L$11,1,4)+INDEX($B$11:$L$11,1,5))</f>
        <v/>
      </c>
      <c r="K23" s="38">
        <f>$G$5*0.5*(INDEX($B$11:$L$11,1,5)+INDEX($B$11:$L$11,1,6))</f>
        <v/>
      </c>
    </row>
    <row r="24">
      <c r="A24" s="28" t="inlineStr">
        <is>
          <t>Cohort acquired in year 7</t>
        </is>
      </c>
      <c r="B24" s="38" t="n">
        <v>0</v>
      </c>
      <c r="C24" s="38" t="n">
        <v>0</v>
      </c>
      <c r="D24" s="38" t="n">
        <v>0</v>
      </c>
      <c r="E24" s="38" t="n">
        <v>0</v>
      </c>
      <c r="F24" s="38" t="n">
        <v>0</v>
      </c>
      <c r="G24" s="38" t="n">
        <v>0</v>
      </c>
      <c r="H24" s="38">
        <f>$H$5*0.5*(INDEX($B$11:$L$11,1,1)+INDEX($B$11:$L$11,1,2))</f>
        <v/>
      </c>
      <c r="I24" s="38">
        <f>$H$5*0.5*(INDEX($B$11:$L$11,1,2)+INDEX($B$11:$L$11,1,3))</f>
        <v/>
      </c>
      <c r="J24" s="38">
        <f>$H$5*0.5*(INDEX($B$11:$L$11,1,3)+INDEX($B$11:$L$11,1,4))</f>
        <v/>
      </c>
      <c r="K24" s="38">
        <f>$H$5*0.5*(INDEX($B$11:$L$11,1,4)+INDEX($B$11:$L$11,1,5))</f>
        <v/>
      </c>
    </row>
    <row r="25">
      <c r="A25" s="28" t="inlineStr">
        <is>
          <t>Cohort acquired in year 8</t>
        </is>
      </c>
      <c r="B25" s="38" t="n">
        <v>0</v>
      </c>
      <c r="C25" s="38" t="n">
        <v>0</v>
      </c>
      <c r="D25" s="38" t="n">
        <v>0</v>
      </c>
      <c r="E25" s="38" t="n">
        <v>0</v>
      </c>
      <c r="F25" s="38" t="n">
        <v>0</v>
      </c>
      <c r="G25" s="38" t="n">
        <v>0</v>
      </c>
      <c r="H25" s="38" t="n">
        <v>0</v>
      </c>
      <c r="I25" s="38">
        <f>$I$5*0.5*(INDEX($B$11:$L$11,1,1)+INDEX($B$11:$L$11,1,2))</f>
        <v/>
      </c>
      <c r="J25" s="38">
        <f>$I$5*0.5*(INDEX($B$11:$L$11,1,2)+INDEX($B$11:$L$11,1,3))</f>
        <v/>
      </c>
      <c r="K25" s="38">
        <f>$I$5*0.5*(INDEX($B$11:$L$11,1,3)+INDEX($B$11:$L$11,1,4))</f>
        <v/>
      </c>
    </row>
    <row r="26">
      <c r="A26" s="28" t="inlineStr">
        <is>
          <t>Cohort acquired in year 9</t>
        </is>
      </c>
      <c r="B26" s="38" t="n">
        <v>0</v>
      </c>
      <c r="C26" s="38" t="n">
        <v>0</v>
      </c>
      <c r="D26" s="38" t="n">
        <v>0</v>
      </c>
      <c r="E26" s="38" t="n">
        <v>0</v>
      </c>
      <c r="F26" s="38" t="n">
        <v>0</v>
      </c>
      <c r="G26" s="38" t="n">
        <v>0</v>
      </c>
      <c r="H26" s="38" t="n">
        <v>0</v>
      </c>
      <c r="I26" s="38" t="n">
        <v>0</v>
      </c>
      <c r="J26" s="38">
        <f>$J$5*0.5*(INDEX($B$11:$L$11,1,1)+INDEX($B$11:$L$11,1,2))</f>
        <v/>
      </c>
      <c r="K26" s="38">
        <f>$J$5*0.5*(INDEX($B$11:$L$11,1,2)+INDEX($B$11:$L$11,1,3))</f>
        <v/>
      </c>
    </row>
    <row r="27">
      <c r="A27" s="28" t="inlineStr">
        <is>
          <t>Cohort acquired in year 10</t>
        </is>
      </c>
      <c r="B27" s="38" t="n">
        <v>0</v>
      </c>
      <c r="C27" s="38" t="n">
        <v>0</v>
      </c>
      <c r="D27" s="38" t="n">
        <v>0</v>
      </c>
      <c r="E27" s="38" t="n">
        <v>0</v>
      </c>
      <c r="F27" s="38" t="n">
        <v>0</v>
      </c>
      <c r="G27" s="38" t="n">
        <v>0</v>
      </c>
      <c r="H27" s="38" t="n">
        <v>0</v>
      </c>
      <c r="I27" s="38" t="n">
        <v>0</v>
      </c>
      <c r="J27" s="38" t="n">
        <v>0</v>
      </c>
      <c r="K27" s="38">
        <f>$K$5*0.5*(INDEX($B$11:$L$11,1,1)+INDEX($B$11:$L$11,1,2))</f>
        <v/>
      </c>
    </row>
    <row r="28">
      <c r="A28" s="2" t="inlineStr">
        <is>
          <t>Total</t>
        </is>
      </c>
      <c r="B28" s="27">
        <f>SUM(B18:B27)</f>
        <v/>
      </c>
      <c r="C28" s="27">
        <f>SUM(C18:C27)</f>
        <v/>
      </c>
      <c r="D28" s="27">
        <f>SUM(D18:D27)</f>
        <v/>
      </c>
      <c r="E28" s="27">
        <f>SUM(E18:E27)</f>
        <v/>
      </c>
      <c r="F28" s="27">
        <f>SUM(F18:F27)</f>
        <v/>
      </c>
      <c r="G28" s="27">
        <f>SUM(G18:G27)</f>
        <v/>
      </c>
      <c r="H28" s="27">
        <f>SUM(H18:H27)</f>
        <v/>
      </c>
      <c r="I28" s="27">
        <f>SUM(I18:I27)</f>
        <v/>
      </c>
      <c r="J28" s="27">
        <f>SUM(J18:J27)</f>
        <v/>
      </c>
      <c r="K28" s="27">
        <f>SUM(K18:K27)</f>
        <v/>
      </c>
    </row>
    <row r="30" ht="30" customHeight="1">
      <c r="A30" s="5" t="inlineStr">
        <is>
          <t>Contribution (₹) by cohort and calendar year</t>
        </is>
      </c>
      <c r="B30" s="5" t="inlineStr">
        <is>
          <t>Year 1</t>
        </is>
      </c>
      <c r="C30" s="5" t="inlineStr">
        <is>
          <t>Year 2</t>
        </is>
      </c>
      <c r="D30" s="5" t="inlineStr">
        <is>
          <t>Year 3</t>
        </is>
      </c>
      <c r="E30" s="5" t="inlineStr">
        <is>
          <t>Year 4</t>
        </is>
      </c>
      <c r="F30" s="5" t="inlineStr">
        <is>
          <t>Year 5</t>
        </is>
      </c>
      <c r="G30" s="5" t="inlineStr">
        <is>
          <t>Year 6</t>
        </is>
      </c>
      <c r="H30" s="5" t="inlineStr">
        <is>
          <t>Year 7</t>
        </is>
      </c>
      <c r="I30" s="5" t="inlineStr">
        <is>
          <t>Year 8</t>
        </is>
      </c>
      <c r="J30" s="5" t="inlineStr">
        <is>
          <t>Year 9</t>
        </is>
      </c>
      <c r="K30" s="5" t="inlineStr">
        <is>
          <t>Year 10</t>
        </is>
      </c>
    </row>
    <row r="31">
      <c r="A31" s="28" t="inlineStr">
        <is>
          <t>Cohort acquired in year 1</t>
        </is>
      </c>
      <c r="B31" s="38">
        <f>$B$5*0.5*(INDEX($B$12:$L$12,1,1)+INDEX($B$12:$L$12,1,2))</f>
        <v/>
      </c>
      <c r="C31" s="38">
        <f>$B$5*0.5*(INDEX($B$12:$L$12,1,2)+INDEX($B$12:$L$12,1,3))</f>
        <v/>
      </c>
      <c r="D31" s="38">
        <f>$B$5*0.5*(INDEX($B$12:$L$12,1,3)+INDEX($B$12:$L$12,1,4))</f>
        <v/>
      </c>
      <c r="E31" s="38">
        <f>$B$5*0.5*(INDEX($B$12:$L$12,1,4)+INDEX($B$12:$L$12,1,5))</f>
        <v/>
      </c>
      <c r="F31" s="38">
        <f>$B$5*0.5*(INDEX($B$12:$L$12,1,5)+INDEX($B$12:$L$12,1,6))</f>
        <v/>
      </c>
      <c r="G31" s="38">
        <f>$B$5*0.5*(INDEX($B$12:$L$12,1,6)+INDEX($B$12:$L$12,1,7))</f>
        <v/>
      </c>
      <c r="H31" s="38">
        <f>$B$5*0.5*(INDEX($B$12:$L$12,1,7)+INDEX($B$12:$L$12,1,8))</f>
        <v/>
      </c>
      <c r="I31" s="38">
        <f>$B$5*0.5*(INDEX($B$12:$L$12,1,8)+INDEX($B$12:$L$12,1,9))</f>
        <v/>
      </c>
      <c r="J31" s="38">
        <f>$B$5*0.5*(INDEX($B$12:$L$12,1,9)+INDEX($B$12:$L$12,1,10))</f>
        <v/>
      </c>
      <c r="K31" s="38">
        <f>$B$5*0.5*(INDEX($B$12:$L$12,1,10)+INDEX($B$12:$L$12,1,11))</f>
        <v/>
      </c>
    </row>
    <row r="32">
      <c r="A32" s="28" t="inlineStr">
        <is>
          <t>Cohort acquired in year 2</t>
        </is>
      </c>
      <c r="B32" s="38" t="n">
        <v>0</v>
      </c>
      <c r="C32" s="38">
        <f>$C$5*0.5*(INDEX($B$12:$L$12,1,1)+INDEX($B$12:$L$12,1,2))</f>
        <v/>
      </c>
      <c r="D32" s="38">
        <f>$C$5*0.5*(INDEX($B$12:$L$12,1,2)+INDEX($B$12:$L$12,1,3))</f>
        <v/>
      </c>
      <c r="E32" s="38">
        <f>$C$5*0.5*(INDEX($B$12:$L$12,1,3)+INDEX($B$12:$L$12,1,4))</f>
        <v/>
      </c>
      <c r="F32" s="38">
        <f>$C$5*0.5*(INDEX($B$12:$L$12,1,4)+INDEX($B$12:$L$12,1,5))</f>
        <v/>
      </c>
      <c r="G32" s="38">
        <f>$C$5*0.5*(INDEX($B$12:$L$12,1,5)+INDEX($B$12:$L$12,1,6))</f>
        <v/>
      </c>
      <c r="H32" s="38">
        <f>$C$5*0.5*(INDEX($B$12:$L$12,1,6)+INDEX($B$12:$L$12,1,7))</f>
        <v/>
      </c>
      <c r="I32" s="38">
        <f>$C$5*0.5*(INDEX($B$12:$L$12,1,7)+INDEX($B$12:$L$12,1,8))</f>
        <v/>
      </c>
      <c r="J32" s="38">
        <f>$C$5*0.5*(INDEX($B$12:$L$12,1,8)+INDEX($B$12:$L$12,1,9))</f>
        <v/>
      </c>
      <c r="K32" s="38">
        <f>$C$5*0.5*(INDEX($B$12:$L$12,1,9)+INDEX($B$12:$L$12,1,10))</f>
        <v/>
      </c>
    </row>
    <row r="33">
      <c r="A33" s="28" t="inlineStr">
        <is>
          <t>Cohort acquired in year 3</t>
        </is>
      </c>
      <c r="B33" s="38" t="n">
        <v>0</v>
      </c>
      <c r="C33" s="38" t="n">
        <v>0</v>
      </c>
      <c r="D33" s="38">
        <f>$D$5*0.5*(INDEX($B$12:$L$12,1,1)+INDEX($B$12:$L$12,1,2))</f>
        <v/>
      </c>
      <c r="E33" s="38">
        <f>$D$5*0.5*(INDEX($B$12:$L$12,1,2)+INDEX($B$12:$L$12,1,3))</f>
        <v/>
      </c>
      <c r="F33" s="38">
        <f>$D$5*0.5*(INDEX($B$12:$L$12,1,3)+INDEX($B$12:$L$12,1,4))</f>
        <v/>
      </c>
      <c r="G33" s="38">
        <f>$D$5*0.5*(INDEX($B$12:$L$12,1,4)+INDEX($B$12:$L$12,1,5))</f>
        <v/>
      </c>
      <c r="H33" s="38">
        <f>$D$5*0.5*(INDEX($B$12:$L$12,1,5)+INDEX($B$12:$L$12,1,6))</f>
        <v/>
      </c>
      <c r="I33" s="38">
        <f>$D$5*0.5*(INDEX($B$12:$L$12,1,6)+INDEX($B$12:$L$12,1,7))</f>
        <v/>
      </c>
      <c r="J33" s="38">
        <f>$D$5*0.5*(INDEX($B$12:$L$12,1,7)+INDEX($B$12:$L$12,1,8))</f>
        <v/>
      </c>
      <c r="K33" s="38">
        <f>$D$5*0.5*(INDEX($B$12:$L$12,1,8)+INDEX($B$12:$L$12,1,9))</f>
        <v/>
      </c>
    </row>
    <row r="34">
      <c r="A34" s="28" t="inlineStr">
        <is>
          <t>Cohort acquired in year 4</t>
        </is>
      </c>
      <c r="B34" s="38" t="n">
        <v>0</v>
      </c>
      <c r="C34" s="38" t="n">
        <v>0</v>
      </c>
      <c r="D34" s="38" t="n">
        <v>0</v>
      </c>
      <c r="E34" s="38">
        <f>$E$5*0.5*(INDEX($B$12:$L$12,1,1)+INDEX($B$12:$L$12,1,2))</f>
        <v/>
      </c>
      <c r="F34" s="38">
        <f>$E$5*0.5*(INDEX($B$12:$L$12,1,2)+INDEX($B$12:$L$12,1,3))</f>
        <v/>
      </c>
      <c r="G34" s="38">
        <f>$E$5*0.5*(INDEX($B$12:$L$12,1,3)+INDEX($B$12:$L$12,1,4))</f>
        <v/>
      </c>
      <c r="H34" s="38">
        <f>$E$5*0.5*(INDEX($B$12:$L$12,1,4)+INDEX($B$12:$L$12,1,5))</f>
        <v/>
      </c>
      <c r="I34" s="38">
        <f>$E$5*0.5*(INDEX($B$12:$L$12,1,5)+INDEX($B$12:$L$12,1,6))</f>
        <v/>
      </c>
      <c r="J34" s="38">
        <f>$E$5*0.5*(INDEX($B$12:$L$12,1,6)+INDEX($B$12:$L$12,1,7))</f>
        <v/>
      </c>
      <c r="K34" s="38">
        <f>$E$5*0.5*(INDEX($B$12:$L$12,1,7)+INDEX($B$12:$L$12,1,8))</f>
        <v/>
      </c>
    </row>
    <row r="35">
      <c r="A35" s="28" t="inlineStr">
        <is>
          <t>Cohort acquired in year 5</t>
        </is>
      </c>
      <c r="B35" s="38" t="n">
        <v>0</v>
      </c>
      <c r="C35" s="38" t="n">
        <v>0</v>
      </c>
      <c r="D35" s="38" t="n">
        <v>0</v>
      </c>
      <c r="E35" s="38" t="n">
        <v>0</v>
      </c>
      <c r="F35" s="38">
        <f>$F$5*0.5*(INDEX($B$12:$L$12,1,1)+INDEX($B$12:$L$12,1,2))</f>
        <v/>
      </c>
      <c r="G35" s="38">
        <f>$F$5*0.5*(INDEX($B$12:$L$12,1,2)+INDEX($B$12:$L$12,1,3))</f>
        <v/>
      </c>
      <c r="H35" s="38">
        <f>$F$5*0.5*(INDEX($B$12:$L$12,1,3)+INDEX($B$12:$L$12,1,4))</f>
        <v/>
      </c>
      <c r="I35" s="38">
        <f>$F$5*0.5*(INDEX($B$12:$L$12,1,4)+INDEX($B$12:$L$12,1,5))</f>
        <v/>
      </c>
      <c r="J35" s="38">
        <f>$F$5*0.5*(INDEX($B$12:$L$12,1,5)+INDEX($B$12:$L$12,1,6))</f>
        <v/>
      </c>
      <c r="K35" s="38">
        <f>$F$5*0.5*(INDEX($B$12:$L$12,1,6)+INDEX($B$12:$L$12,1,7))</f>
        <v/>
      </c>
    </row>
    <row r="36">
      <c r="A36" s="28" t="inlineStr">
        <is>
          <t>Cohort acquired in year 6</t>
        </is>
      </c>
      <c r="B36" s="38" t="n">
        <v>0</v>
      </c>
      <c r="C36" s="38" t="n">
        <v>0</v>
      </c>
      <c r="D36" s="38" t="n">
        <v>0</v>
      </c>
      <c r="E36" s="38" t="n">
        <v>0</v>
      </c>
      <c r="F36" s="38" t="n">
        <v>0</v>
      </c>
      <c r="G36" s="38">
        <f>$G$5*0.5*(INDEX($B$12:$L$12,1,1)+INDEX($B$12:$L$12,1,2))</f>
        <v/>
      </c>
      <c r="H36" s="38">
        <f>$G$5*0.5*(INDEX($B$12:$L$12,1,2)+INDEX($B$12:$L$12,1,3))</f>
        <v/>
      </c>
      <c r="I36" s="38">
        <f>$G$5*0.5*(INDEX($B$12:$L$12,1,3)+INDEX($B$12:$L$12,1,4))</f>
        <v/>
      </c>
      <c r="J36" s="38">
        <f>$G$5*0.5*(INDEX($B$12:$L$12,1,4)+INDEX($B$12:$L$12,1,5))</f>
        <v/>
      </c>
      <c r="K36" s="38">
        <f>$G$5*0.5*(INDEX($B$12:$L$12,1,5)+INDEX($B$12:$L$12,1,6))</f>
        <v/>
      </c>
    </row>
    <row r="37">
      <c r="A37" s="28" t="inlineStr">
        <is>
          <t>Cohort acquired in year 7</t>
        </is>
      </c>
      <c r="B37" s="38" t="n">
        <v>0</v>
      </c>
      <c r="C37" s="38" t="n">
        <v>0</v>
      </c>
      <c r="D37" s="38" t="n">
        <v>0</v>
      </c>
      <c r="E37" s="38" t="n">
        <v>0</v>
      </c>
      <c r="F37" s="38" t="n">
        <v>0</v>
      </c>
      <c r="G37" s="38" t="n">
        <v>0</v>
      </c>
      <c r="H37" s="38">
        <f>$H$5*0.5*(INDEX($B$12:$L$12,1,1)+INDEX($B$12:$L$12,1,2))</f>
        <v/>
      </c>
      <c r="I37" s="38">
        <f>$H$5*0.5*(INDEX($B$12:$L$12,1,2)+INDEX($B$12:$L$12,1,3))</f>
        <v/>
      </c>
      <c r="J37" s="38">
        <f>$H$5*0.5*(INDEX($B$12:$L$12,1,3)+INDEX($B$12:$L$12,1,4))</f>
        <v/>
      </c>
      <c r="K37" s="38">
        <f>$H$5*0.5*(INDEX($B$12:$L$12,1,4)+INDEX($B$12:$L$12,1,5))</f>
        <v/>
      </c>
    </row>
    <row r="38">
      <c r="A38" s="28" t="inlineStr">
        <is>
          <t>Cohort acquired in year 8</t>
        </is>
      </c>
      <c r="B38" s="38" t="n">
        <v>0</v>
      </c>
      <c r="C38" s="38" t="n">
        <v>0</v>
      </c>
      <c r="D38" s="38" t="n">
        <v>0</v>
      </c>
      <c r="E38" s="38" t="n">
        <v>0</v>
      </c>
      <c r="F38" s="38" t="n">
        <v>0</v>
      </c>
      <c r="G38" s="38" t="n">
        <v>0</v>
      </c>
      <c r="H38" s="38" t="n">
        <v>0</v>
      </c>
      <c r="I38" s="38">
        <f>$I$5*0.5*(INDEX($B$12:$L$12,1,1)+INDEX($B$12:$L$12,1,2))</f>
        <v/>
      </c>
      <c r="J38" s="38">
        <f>$I$5*0.5*(INDEX($B$12:$L$12,1,2)+INDEX($B$12:$L$12,1,3))</f>
        <v/>
      </c>
      <c r="K38" s="38">
        <f>$I$5*0.5*(INDEX($B$12:$L$12,1,3)+INDEX($B$12:$L$12,1,4))</f>
        <v/>
      </c>
    </row>
    <row r="39">
      <c r="A39" s="28" t="inlineStr">
        <is>
          <t>Cohort acquired in year 9</t>
        </is>
      </c>
      <c r="B39" s="38" t="n">
        <v>0</v>
      </c>
      <c r="C39" s="38" t="n">
        <v>0</v>
      </c>
      <c r="D39" s="38" t="n">
        <v>0</v>
      </c>
      <c r="E39" s="38" t="n">
        <v>0</v>
      </c>
      <c r="F39" s="38" t="n">
        <v>0</v>
      </c>
      <c r="G39" s="38" t="n">
        <v>0</v>
      </c>
      <c r="H39" s="38" t="n">
        <v>0</v>
      </c>
      <c r="I39" s="38" t="n">
        <v>0</v>
      </c>
      <c r="J39" s="38">
        <f>$J$5*0.5*(INDEX($B$12:$L$12,1,1)+INDEX($B$12:$L$12,1,2))</f>
        <v/>
      </c>
      <c r="K39" s="38">
        <f>$J$5*0.5*(INDEX($B$12:$L$12,1,2)+INDEX($B$12:$L$12,1,3))</f>
        <v/>
      </c>
    </row>
    <row r="40">
      <c r="A40" s="28" t="inlineStr">
        <is>
          <t>Cohort acquired in year 10</t>
        </is>
      </c>
      <c r="B40" s="38" t="n">
        <v>0</v>
      </c>
      <c r="C40" s="38" t="n">
        <v>0</v>
      </c>
      <c r="D40" s="38" t="n">
        <v>0</v>
      </c>
      <c r="E40" s="38" t="n">
        <v>0</v>
      </c>
      <c r="F40" s="38" t="n">
        <v>0</v>
      </c>
      <c r="G40" s="38" t="n">
        <v>0</v>
      </c>
      <c r="H40" s="38" t="n">
        <v>0</v>
      </c>
      <c r="I40" s="38" t="n">
        <v>0</v>
      </c>
      <c r="J40" s="38" t="n">
        <v>0</v>
      </c>
      <c r="K40" s="38">
        <f>$K$5*0.5*(INDEX($B$12:$L$12,1,1)+INDEX($B$12:$L$12,1,2))</f>
        <v/>
      </c>
    </row>
    <row r="41">
      <c r="A41" s="2" t="inlineStr">
        <is>
          <t>Total</t>
        </is>
      </c>
      <c r="B41" s="27">
        <f>SUM(B31:B40)</f>
        <v/>
      </c>
      <c r="C41" s="27">
        <f>SUM(C31:C40)</f>
        <v/>
      </c>
      <c r="D41" s="27">
        <f>SUM(D31:D40)</f>
        <v/>
      </c>
      <c r="E41" s="27">
        <f>SUM(E31:E40)</f>
        <v/>
      </c>
      <c r="F41" s="27">
        <f>SUM(F31:F40)</f>
        <v/>
      </c>
      <c r="G41" s="27">
        <f>SUM(G31:G40)</f>
        <v/>
      </c>
      <c r="H41" s="27">
        <f>SUM(H31:H40)</f>
        <v/>
      </c>
      <c r="I41" s="27">
        <f>SUM(I31:I40)</f>
        <v/>
      </c>
      <c r="J41" s="27">
        <f>SUM(J31:J40)</f>
        <v/>
      </c>
      <c r="K41" s="27">
        <f>SUM(K31:K40)</f>
        <v/>
      </c>
    </row>
    <row r="43" ht="30" customHeight="1">
      <c r="A43" s="5" t="inlineStr">
        <is>
          <t>Active savers by cohort and calendar year</t>
        </is>
      </c>
      <c r="B43" s="5" t="inlineStr">
        <is>
          <t>Year 1</t>
        </is>
      </c>
      <c r="C43" s="5" t="inlineStr">
        <is>
          <t>Year 2</t>
        </is>
      </c>
      <c r="D43" s="5" t="inlineStr">
        <is>
          <t>Year 3</t>
        </is>
      </c>
      <c r="E43" s="5" t="inlineStr">
        <is>
          <t>Year 4</t>
        </is>
      </c>
      <c r="F43" s="5" t="inlineStr">
        <is>
          <t>Year 5</t>
        </is>
      </c>
      <c r="G43" s="5" t="inlineStr">
        <is>
          <t>Year 6</t>
        </is>
      </c>
      <c r="H43" s="5" t="inlineStr">
        <is>
          <t>Year 7</t>
        </is>
      </c>
      <c r="I43" s="5" t="inlineStr">
        <is>
          <t>Year 8</t>
        </is>
      </c>
      <c r="J43" s="5" t="inlineStr">
        <is>
          <t>Year 9</t>
        </is>
      </c>
      <c r="K43" s="5" t="inlineStr">
        <is>
          <t>Year 10</t>
        </is>
      </c>
    </row>
    <row r="44">
      <c r="A44" s="28" t="inlineStr">
        <is>
          <t>Cohort acquired in year 1</t>
        </is>
      </c>
      <c r="B44" s="38">
        <f>$B$5*0.5*(INDEX($B$13:$L$13,1,1)+INDEX($B$13:$L$13,1,2))</f>
        <v/>
      </c>
      <c r="C44" s="38">
        <f>$B$5*0.5*(INDEX($B$13:$L$13,1,2)+INDEX($B$13:$L$13,1,3))</f>
        <v/>
      </c>
      <c r="D44" s="38">
        <f>$B$5*0.5*(INDEX($B$13:$L$13,1,3)+INDEX($B$13:$L$13,1,4))</f>
        <v/>
      </c>
      <c r="E44" s="38">
        <f>$B$5*0.5*(INDEX($B$13:$L$13,1,4)+INDEX($B$13:$L$13,1,5))</f>
        <v/>
      </c>
      <c r="F44" s="38">
        <f>$B$5*0.5*(INDEX($B$13:$L$13,1,5)+INDEX($B$13:$L$13,1,6))</f>
        <v/>
      </c>
      <c r="G44" s="38">
        <f>$B$5*0.5*(INDEX($B$13:$L$13,1,6)+INDEX($B$13:$L$13,1,7))</f>
        <v/>
      </c>
      <c r="H44" s="38">
        <f>$B$5*0.5*(INDEX($B$13:$L$13,1,7)+INDEX($B$13:$L$13,1,8))</f>
        <v/>
      </c>
      <c r="I44" s="38">
        <f>$B$5*0.5*(INDEX($B$13:$L$13,1,8)+INDEX($B$13:$L$13,1,9))</f>
        <v/>
      </c>
      <c r="J44" s="38">
        <f>$B$5*0.5*(INDEX($B$13:$L$13,1,9)+INDEX($B$13:$L$13,1,10))</f>
        <v/>
      </c>
      <c r="K44" s="38">
        <f>$B$5*0.5*(INDEX($B$13:$L$13,1,10)+INDEX($B$13:$L$13,1,11))</f>
        <v/>
      </c>
    </row>
    <row r="45">
      <c r="A45" s="28" t="inlineStr">
        <is>
          <t>Cohort acquired in year 2</t>
        </is>
      </c>
      <c r="B45" s="38" t="n">
        <v>0</v>
      </c>
      <c r="C45" s="38">
        <f>$C$5*0.5*(INDEX($B$13:$L$13,1,1)+INDEX($B$13:$L$13,1,2))</f>
        <v/>
      </c>
      <c r="D45" s="38">
        <f>$C$5*0.5*(INDEX($B$13:$L$13,1,2)+INDEX($B$13:$L$13,1,3))</f>
        <v/>
      </c>
      <c r="E45" s="38">
        <f>$C$5*0.5*(INDEX($B$13:$L$13,1,3)+INDEX($B$13:$L$13,1,4))</f>
        <v/>
      </c>
      <c r="F45" s="38">
        <f>$C$5*0.5*(INDEX($B$13:$L$13,1,4)+INDEX($B$13:$L$13,1,5))</f>
        <v/>
      </c>
      <c r="G45" s="38">
        <f>$C$5*0.5*(INDEX($B$13:$L$13,1,5)+INDEX($B$13:$L$13,1,6))</f>
        <v/>
      </c>
      <c r="H45" s="38">
        <f>$C$5*0.5*(INDEX($B$13:$L$13,1,6)+INDEX($B$13:$L$13,1,7))</f>
        <v/>
      </c>
      <c r="I45" s="38">
        <f>$C$5*0.5*(INDEX($B$13:$L$13,1,7)+INDEX($B$13:$L$13,1,8))</f>
        <v/>
      </c>
      <c r="J45" s="38">
        <f>$C$5*0.5*(INDEX($B$13:$L$13,1,8)+INDEX($B$13:$L$13,1,9))</f>
        <v/>
      </c>
      <c r="K45" s="38">
        <f>$C$5*0.5*(INDEX($B$13:$L$13,1,9)+INDEX($B$13:$L$13,1,10))</f>
        <v/>
      </c>
    </row>
    <row r="46">
      <c r="A46" s="28" t="inlineStr">
        <is>
          <t>Cohort acquired in year 3</t>
        </is>
      </c>
      <c r="B46" s="38" t="n">
        <v>0</v>
      </c>
      <c r="C46" s="38" t="n">
        <v>0</v>
      </c>
      <c r="D46" s="38">
        <f>$D$5*0.5*(INDEX($B$13:$L$13,1,1)+INDEX($B$13:$L$13,1,2))</f>
        <v/>
      </c>
      <c r="E46" s="38">
        <f>$D$5*0.5*(INDEX($B$13:$L$13,1,2)+INDEX($B$13:$L$13,1,3))</f>
        <v/>
      </c>
      <c r="F46" s="38">
        <f>$D$5*0.5*(INDEX($B$13:$L$13,1,3)+INDEX($B$13:$L$13,1,4))</f>
        <v/>
      </c>
      <c r="G46" s="38">
        <f>$D$5*0.5*(INDEX($B$13:$L$13,1,4)+INDEX($B$13:$L$13,1,5))</f>
        <v/>
      </c>
      <c r="H46" s="38">
        <f>$D$5*0.5*(INDEX($B$13:$L$13,1,5)+INDEX($B$13:$L$13,1,6))</f>
        <v/>
      </c>
      <c r="I46" s="38">
        <f>$D$5*0.5*(INDEX($B$13:$L$13,1,6)+INDEX($B$13:$L$13,1,7))</f>
        <v/>
      </c>
      <c r="J46" s="38">
        <f>$D$5*0.5*(INDEX($B$13:$L$13,1,7)+INDEX($B$13:$L$13,1,8))</f>
        <v/>
      </c>
      <c r="K46" s="38">
        <f>$D$5*0.5*(INDEX($B$13:$L$13,1,8)+INDEX($B$13:$L$13,1,9))</f>
        <v/>
      </c>
    </row>
    <row r="47">
      <c r="A47" s="28" t="inlineStr">
        <is>
          <t>Cohort acquired in year 4</t>
        </is>
      </c>
      <c r="B47" s="38" t="n">
        <v>0</v>
      </c>
      <c r="C47" s="38" t="n">
        <v>0</v>
      </c>
      <c r="D47" s="38" t="n">
        <v>0</v>
      </c>
      <c r="E47" s="38">
        <f>$E$5*0.5*(INDEX($B$13:$L$13,1,1)+INDEX($B$13:$L$13,1,2))</f>
        <v/>
      </c>
      <c r="F47" s="38">
        <f>$E$5*0.5*(INDEX($B$13:$L$13,1,2)+INDEX($B$13:$L$13,1,3))</f>
        <v/>
      </c>
      <c r="G47" s="38">
        <f>$E$5*0.5*(INDEX($B$13:$L$13,1,3)+INDEX($B$13:$L$13,1,4))</f>
        <v/>
      </c>
      <c r="H47" s="38">
        <f>$E$5*0.5*(INDEX($B$13:$L$13,1,4)+INDEX($B$13:$L$13,1,5))</f>
        <v/>
      </c>
      <c r="I47" s="38">
        <f>$E$5*0.5*(INDEX($B$13:$L$13,1,5)+INDEX($B$13:$L$13,1,6))</f>
        <v/>
      </c>
      <c r="J47" s="38">
        <f>$E$5*0.5*(INDEX($B$13:$L$13,1,6)+INDEX($B$13:$L$13,1,7))</f>
        <v/>
      </c>
      <c r="K47" s="38">
        <f>$E$5*0.5*(INDEX($B$13:$L$13,1,7)+INDEX($B$13:$L$13,1,8))</f>
        <v/>
      </c>
    </row>
    <row r="48">
      <c r="A48" s="28" t="inlineStr">
        <is>
          <t>Cohort acquired in year 5</t>
        </is>
      </c>
      <c r="B48" s="38" t="n">
        <v>0</v>
      </c>
      <c r="C48" s="38" t="n">
        <v>0</v>
      </c>
      <c r="D48" s="38" t="n">
        <v>0</v>
      </c>
      <c r="E48" s="38" t="n">
        <v>0</v>
      </c>
      <c r="F48" s="38">
        <f>$F$5*0.5*(INDEX($B$13:$L$13,1,1)+INDEX($B$13:$L$13,1,2))</f>
        <v/>
      </c>
      <c r="G48" s="38">
        <f>$F$5*0.5*(INDEX($B$13:$L$13,1,2)+INDEX($B$13:$L$13,1,3))</f>
        <v/>
      </c>
      <c r="H48" s="38">
        <f>$F$5*0.5*(INDEX($B$13:$L$13,1,3)+INDEX($B$13:$L$13,1,4))</f>
        <v/>
      </c>
      <c r="I48" s="38">
        <f>$F$5*0.5*(INDEX($B$13:$L$13,1,4)+INDEX($B$13:$L$13,1,5))</f>
        <v/>
      </c>
      <c r="J48" s="38">
        <f>$F$5*0.5*(INDEX($B$13:$L$13,1,5)+INDEX($B$13:$L$13,1,6))</f>
        <v/>
      </c>
      <c r="K48" s="38">
        <f>$F$5*0.5*(INDEX($B$13:$L$13,1,6)+INDEX($B$13:$L$13,1,7))</f>
        <v/>
      </c>
    </row>
    <row r="49">
      <c r="A49" s="28" t="inlineStr">
        <is>
          <t>Cohort acquired in year 6</t>
        </is>
      </c>
      <c r="B49" s="38" t="n">
        <v>0</v>
      </c>
      <c r="C49" s="38" t="n">
        <v>0</v>
      </c>
      <c r="D49" s="38" t="n">
        <v>0</v>
      </c>
      <c r="E49" s="38" t="n">
        <v>0</v>
      </c>
      <c r="F49" s="38" t="n">
        <v>0</v>
      </c>
      <c r="G49" s="38">
        <f>$G$5*0.5*(INDEX($B$13:$L$13,1,1)+INDEX($B$13:$L$13,1,2))</f>
        <v/>
      </c>
      <c r="H49" s="38">
        <f>$G$5*0.5*(INDEX($B$13:$L$13,1,2)+INDEX($B$13:$L$13,1,3))</f>
        <v/>
      </c>
      <c r="I49" s="38">
        <f>$G$5*0.5*(INDEX($B$13:$L$13,1,3)+INDEX($B$13:$L$13,1,4))</f>
        <v/>
      </c>
      <c r="J49" s="38">
        <f>$G$5*0.5*(INDEX($B$13:$L$13,1,4)+INDEX($B$13:$L$13,1,5))</f>
        <v/>
      </c>
      <c r="K49" s="38">
        <f>$G$5*0.5*(INDEX($B$13:$L$13,1,5)+INDEX($B$13:$L$13,1,6))</f>
        <v/>
      </c>
    </row>
    <row r="50">
      <c r="A50" s="28" t="inlineStr">
        <is>
          <t>Cohort acquired in year 7</t>
        </is>
      </c>
      <c r="B50" s="38" t="n">
        <v>0</v>
      </c>
      <c r="C50" s="38" t="n">
        <v>0</v>
      </c>
      <c r="D50" s="38" t="n">
        <v>0</v>
      </c>
      <c r="E50" s="38" t="n">
        <v>0</v>
      </c>
      <c r="F50" s="38" t="n">
        <v>0</v>
      </c>
      <c r="G50" s="38" t="n">
        <v>0</v>
      </c>
      <c r="H50" s="38">
        <f>$H$5*0.5*(INDEX($B$13:$L$13,1,1)+INDEX($B$13:$L$13,1,2))</f>
        <v/>
      </c>
      <c r="I50" s="38">
        <f>$H$5*0.5*(INDEX($B$13:$L$13,1,2)+INDEX($B$13:$L$13,1,3))</f>
        <v/>
      </c>
      <c r="J50" s="38">
        <f>$H$5*0.5*(INDEX($B$13:$L$13,1,3)+INDEX($B$13:$L$13,1,4))</f>
        <v/>
      </c>
      <c r="K50" s="38">
        <f>$H$5*0.5*(INDEX($B$13:$L$13,1,4)+INDEX($B$13:$L$13,1,5))</f>
        <v/>
      </c>
    </row>
    <row r="51">
      <c r="A51" s="28" t="inlineStr">
        <is>
          <t>Cohort acquired in year 8</t>
        </is>
      </c>
      <c r="B51" s="38" t="n">
        <v>0</v>
      </c>
      <c r="C51" s="38" t="n">
        <v>0</v>
      </c>
      <c r="D51" s="38" t="n">
        <v>0</v>
      </c>
      <c r="E51" s="38" t="n">
        <v>0</v>
      </c>
      <c r="F51" s="38" t="n">
        <v>0</v>
      </c>
      <c r="G51" s="38" t="n">
        <v>0</v>
      </c>
      <c r="H51" s="38" t="n">
        <v>0</v>
      </c>
      <c r="I51" s="38">
        <f>$I$5*0.5*(INDEX($B$13:$L$13,1,1)+INDEX($B$13:$L$13,1,2))</f>
        <v/>
      </c>
      <c r="J51" s="38">
        <f>$I$5*0.5*(INDEX($B$13:$L$13,1,2)+INDEX($B$13:$L$13,1,3))</f>
        <v/>
      </c>
      <c r="K51" s="38">
        <f>$I$5*0.5*(INDEX($B$13:$L$13,1,3)+INDEX($B$13:$L$13,1,4))</f>
        <v/>
      </c>
    </row>
    <row r="52">
      <c r="A52" s="28" t="inlineStr">
        <is>
          <t>Cohort acquired in year 9</t>
        </is>
      </c>
      <c r="B52" s="38" t="n">
        <v>0</v>
      </c>
      <c r="C52" s="38" t="n">
        <v>0</v>
      </c>
      <c r="D52" s="38" t="n">
        <v>0</v>
      </c>
      <c r="E52" s="38" t="n">
        <v>0</v>
      </c>
      <c r="F52" s="38" t="n">
        <v>0</v>
      </c>
      <c r="G52" s="38" t="n">
        <v>0</v>
      </c>
      <c r="H52" s="38" t="n">
        <v>0</v>
      </c>
      <c r="I52" s="38" t="n">
        <v>0</v>
      </c>
      <c r="J52" s="38">
        <f>$J$5*0.5*(INDEX($B$13:$L$13,1,1)+INDEX($B$13:$L$13,1,2))</f>
        <v/>
      </c>
      <c r="K52" s="38">
        <f>$J$5*0.5*(INDEX($B$13:$L$13,1,2)+INDEX($B$13:$L$13,1,3))</f>
        <v/>
      </c>
    </row>
    <row r="53">
      <c r="A53" s="28" t="inlineStr">
        <is>
          <t>Cohort acquired in year 10</t>
        </is>
      </c>
      <c r="B53" s="38" t="n">
        <v>0</v>
      </c>
      <c r="C53" s="38" t="n">
        <v>0</v>
      </c>
      <c r="D53" s="38" t="n">
        <v>0</v>
      </c>
      <c r="E53" s="38" t="n">
        <v>0</v>
      </c>
      <c r="F53" s="38" t="n">
        <v>0</v>
      </c>
      <c r="G53" s="38" t="n">
        <v>0</v>
      </c>
      <c r="H53" s="38" t="n">
        <v>0</v>
      </c>
      <c r="I53" s="38" t="n">
        <v>0</v>
      </c>
      <c r="J53" s="38" t="n">
        <v>0</v>
      </c>
      <c r="K53" s="38">
        <f>$K$5*0.5*(INDEX($B$13:$L$13,1,1)+INDEX($B$13:$L$13,1,2))</f>
        <v/>
      </c>
    </row>
    <row r="54">
      <c r="A54" s="2" t="inlineStr">
        <is>
          <t>Total</t>
        </is>
      </c>
      <c r="B54" s="27">
        <f>SUM(B44:B53)</f>
        <v/>
      </c>
      <c r="C54" s="27">
        <f>SUM(C44:C53)</f>
        <v/>
      </c>
      <c r="D54" s="27">
        <f>SUM(D44:D53)</f>
        <v/>
      </c>
      <c r="E54" s="27">
        <f>SUM(E44:E53)</f>
        <v/>
      </c>
      <c r="F54" s="27">
        <f>SUM(F44:F53)</f>
        <v/>
      </c>
      <c r="G54" s="27">
        <f>SUM(G44:G53)</f>
        <v/>
      </c>
      <c r="H54" s="27">
        <f>SUM(H44:H53)</f>
        <v/>
      </c>
      <c r="I54" s="27">
        <f>SUM(I44:I53)</f>
        <v/>
      </c>
      <c r="J54" s="27">
        <f>SUM(J44:J53)</f>
        <v/>
      </c>
      <c r="K54" s="27">
        <f>SUM(K44:K53)</f>
        <v/>
      </c>
    </row>
    <row r="56" ht="30" customHeight="1">
      <c r="A56" s="5" t="inlineStr">
        <is>
          <t>Capital locked (₹) by cohort and calendar year</t>
        </is>
      </c>
      <c r="B56" s="5" t="inlineStr">
        <is>
          <t>Year 1</t>
        </is>
      </c>
      <c r="C56" s="5" t="inlineStr">
        <is>
          <t>Year 2</t>
        </is>
      </c>
      <c r="D56" s="5" t="inlineStr">
        <is>
          <t>Year 3</t>
        </is>
      </c>
      <c r="E56" s="5" t="inlineStr">
        <is>
          <t>Year 4</t>
        </is>
      </c>
      <c r="F56" s="5" t="inlineStr">
        <is>
          <t>Year 5</t>
        </is>
      </c>
      <c r="G56" s="5" t="inlineStr">
        <is>
          <t>Year 6</t>
        </is>
      </c>
      <c r="H56" s="5" t="inlineStr">
        <is>
          <t>Year 7</t>
        </is>
      </c>
      <c r="I56" s="5" t="inlineStr">
        <is>
          <t>Year 8</t>
        </is>
      </c>
      <c r="J56" s="5" t="inlineStr">
        <is>
          <t>Year 9</t>
        </is>
      </c>
      <c r="K56" s="5" t="inlineStr">
        <is>
          <t>Year 10</t>
        </is>
      </c>
    </row>
    <row r="57">
      <c r="A57" s="28" t="inlineStr">
        <is>
          <t>Cohort acquired in year 1</t>
        </is>
      </c>
      <c r="B57" s="38">
        <f>$B$5*0.5*(INDEX($B$14:$L$14,1,1)+INDEX($B$14:$L$14,1,2))</f>
        <v/>
      </c>
      <c r="C57" s="38">
        <f>$B$5*0.5*(INDEX($B$14:$L$14,1,2)+INDEX($B$14:$L$14,1,3))</f>
        <v/>
      </c>
      <c r="D57" s="38">
        <f>$B$5*0.5*(INDEX($B$14:$L$14,1,3)+INDEX($B$14:$L$14,1,4))</f>
        <v/>
      </c>
      <c r="E57" s="38">
        <f>$B$5*0.5*(INDEX($B$14:$L$14,1,4)+INDEX($B$14:$L$14,1,5))</f>
        <v/>
      </c>
      <c r="F57" s="38">
        <f>$B$5*0.5*(INDEX($B$14:$L$14,1,5)+INDEX($B$14:$L$14,1,6))</f>
        <v/>
      </c>
      <c r="G57" s="38">
        <f>$B$5*0.5*(INDEX($B$14:$L$14,1,6)+INDEX($B$14:$L$14,1,7))</f>
        <v/>
      </c>
      <c r="H57" s="38">
        <f>$B$5*0.5*(INDEX($B$14:$L$14,1,7)+INDEX($B$14:$L$14,1,8))</f>
        <v/>
      </c>
      <c r="I57" s="38">
        <f>$B$5*0.5*(INDEX($B$14:$L$14,1,8)+INDEX($B$14:$L$14,1,9))</f>
        <v/>
      </c>
      <c r="J57" s="38">
        <f>$B$5*0.5*(INDEX($B$14:$L$14,1,9)+INDEX($B$14:$L$14,1,10))</f>
        <v/>
      </c>
      <c r="K57" s="38">
        <f>$B$5*0.5*(INDEX($B$14:$L$14,1,10)+INDEX($B$14:$L$14,1,11))</f>
        <v/>
      </c>
    </row>
    <row r="58">
      <c r="A58" s="28" t="inlineStr">
        <is>
          <t>Cohort acquired in year 2</t>
        </is>
      </c>
      <c r="B58" s="38" t="n">
        <v>0</v>
      </c>
      <c r="C58" s="38">
        <f>$C$5*0.5*(INDEX($B$14:$L$14,1,1)+INDEX($B$14:$L$14,1,2))</f>
        <v/>
      </c>
      <c r="D58" s="38">
        <f>$C$5*0.5*(INDEX($B$14:$L$14,1,2)+INDEX($B$14:$L$14,1,3))</f>
        <v/>
      </c>
      <c r="E58" s="38">
        <f>$C$5*0.5*(INDEX($B$14:$L$14,1,3)+INDEX($B$14:$L$14,1,4))</f>
        <v/>
      </c>
      <c r="F58" s="38">
        <f>$C$5*0.5*(INDEX($B$14:$L$14,1,4)+INDEX($B$14:$L$14,1,5))</f>
        <v/>
      </c>
      <c r="G58" s="38">
        <f>$C$5*0.5*(INDEX($B$14:$L$14,1,5)+INDEX($B$14:$L$14,1,6))</f>
        <v/>
      </c>
      <c r="H58" s="38">
        <f>$C$5*0.5*(INDEX($B$14:$L$14,1,6)+INDEX($B$14:$L$14,1,7))</f>
        <v/>
      </c>
      <c r="I58" s="38">
        <f>$C$5*0.5*(INDEX($B$14:$L$14,1,7)+INDEX($B$14:$L$14,1,8))</f>
        <v/>
      </c>
      <c r="J58" s="38">
        <f>$C$5*0.5*(INDEX($B$14:$L$14,1,8)+INDEX($B$14:$L$14,1,9))</f>
        <v/>
      </c>
      <c r="K58" s="38">
        <f>$C$5*0.5*(INDEX($B$14:$L$14,1,9)+INDEX($B$14:$L$14,1,10))</f>
        <v/>
      </c>
    </row>
    <row r="59">
      <c r="A59" s="28" t="inlineStr">
        <is>
          <t>Cohort acquired in year 3</t>
        </is>
      </c>
      <c r="B59" s="38" t="n">
        <v>0</v>
      </c>
      <c r="C59" s="38" t="n">
        <v>0</v>
      </c>
      <c r="D59" s="38">
        <f>$D$5*0.5*(INDEX($B$14:$L$14,1,1)+INDEX($B$14:$L$14,1,2))</f>
        <v/>
      </c>
      <c r="E59" s="38">
        <f>$D$5*0.5*(INDEX($B$14:$L$14,1,2)+INDEX($B$14:$L$14,1,3))</f>
        <v/>
      </c>
      <c r="F59" s="38">
        <f>$D$5*0.5*(INDEX($B$14:$L$14,1,3)+INDEX($B$14:$L$14,1,4))</f>
        <v/>
      </c>
      <c r="G59" s="38">
        <f>$D$5*0.5*(INDEX($B$14:$L$14,1,4)+INDEX($B$14:$L$14,1,5))</f>
        <v/>
      </c>
      <c r="H59" s="38">
        <f>$D$5*0.5*(INDEX($B$14:$L$14,1,5)+INDEX($B$14:$L$14,1,6))</f>
        <v/>
      </c>
      <c r="I59" s="38">
        <f>$D$5*0.5*(INDEX($B$14:$L$14,1,6)+INDEX($B$14:$L$14,1,7))</f>
        <v/>
      </c>
      <c r="J59" s="38">
        <f>$D$5*0.5*(INDEX($B$14:$L$14,1,7)+INDEX($B$14:$L$14,1,8))</f>
        <v/>
      </c>
      <c r="K59" s="38">
        <f>$D$5*0.5*(INDEX($B$14:$L$14,1,8)+INDEX($B$14:$L$14,1,9))</f>
        <v/>
      </c>
    </row>
    <row r="60">
      <c r="A60" s="28" t="inlineStr">
        <is>
          <t>Cohort acquired in year 4</t>
        </is>
      </c>
      <c r="B60" s="38" t="n">
        <v>0</v>
      </c>
      <c r="C60" s="38" t="n">
        <v>0</v>
      </c>
      <c r="D60" s="38" t="n">
        <v>0</v>
      </c>
      <c r="E60" s="38">
        <f>$E$5*0.5*(INDEX($B$14:$L$14,1,1)+INDEX($B$14:$L$14,1,2))</f>
        <v/>
      </c>
      <c r="F60" s="38">
        <f>$E$5*0.5*(INDEX($B$14:$L$14,1,2)+INDEX($B$14:$L$14,1,3))</f>
        <v/>
      </c>
      <c r="G60" s="38">
        <f>$E$5*0.5*(INDEX($B$14:$L$14,1,3)+INDEX($B$14:$L$14,1,4))</f>
        <v/>
      </c>
      <c r="H60" s="38">
        <f>$E$5*0.5*(INDEX($B$14:$L$14,1,4)+INDEX($B$14:$L$14,1,5))</f>
        <v/>
      </c>
      <c r="I60" s="38">
        <f>$E$5*0.5*(INDEX($B$14:$L$14,1,5)+INDEX($B$14:$L$14,1,6))</f>
        <v/>
      </c>
      <c r="J60" s="38">
        <f>$E$5*0.5*(INDEX($B$14:$L$14,1,6)+INDEX($B$14:$L$14,1,7))</f>
        <v/>
      </c>
      <c r="K60" s="38">
        <f>$E$5*0.5*(INDEX($B$14:$L$14,1,7)+INDEX($B$14:$L$14,1,8))</f>
        <v/>
      </c>
    </row>
    <row r="61">
      <c r="A61" s="28" t="inlineStr">
        <is>
          <t>Cohort acquired in year 5</t>
        </is>
      </c>
      <c r="B61" s="38" t="n">
        <v>0</v>
      </c>
      <c r="C61" s="38" t="n">
        <v>0</v>
      </c>
      <c r="D61" s="38" t="n">
        <v>0</v>
      </c>
      <c r="E61" s="38" t="n">
        <v>0</v>
      </c>
      <c r="F61" s="38">
        <f>$F$5*0.5*(INDEX($B$14:$L$14,1,1)+INDEX($B$14:$L$14,1,2))</f>
        <v/>
      </c>
      <c r="G61" s="38">
        <f>$F$5*0.5*(INDEX($B$14:$L$14,1,2)+INDEX($B$14:$L$14,1,3))</f>
        <v/>
      </c>
      <c r="H61" s="38">
        <f>$F$5*0.5*(INDEX($B$14:$L$14,1,3)+INDEX($B$14:$L$14,1,4))</f>
        <v/>
      </c>
      <c r="I61" s="38">
        <f>$F$5*0.5*(INDEX($B$14:$L$14,1,4)+INDEX($B$14:$L$14,1,5))</f>
        <v/>
      </c>
      <c r="J61" s="38">
        <f>$F$5*0.5*(INDEX($B$14:$L$14,1,5)+INDEX($B$14:$L$14,1,6))</f>
        <v/>
      </c>
      <c r="K61" s="38">
        <f>$F$5*0.5*(INDEX($B$14:$L$14,1,6)+INDEX($B$14:$L$14,1,7))</f>
        <v/>
      </c>
    </row>
    <row r="62">
      <c r="A62" s="28" t="inlineStr">
        <is>
          <t>Cohort acquired in year 6</t>
        </is>
      </c>
      <c r="B62" s="38" t="n">
        <v>0</v>
      </c>
      <c r="C62" s="38" t="n">
        <v>0</v>
      </c>
      <c r="D62" s="38" t="n">
        <v>0</v>
      </c>
      <c r="E62" s="38" t="n">
        <v>0</v>
      </c>
      <c r="F62" s="38" t="n">
        <v>0</v>
      </c>
      <c r="G62" s="38">
        <f>$G$5*0.5*(INDEX($B$14:$L$14,1,1)+INDEX($B$14:$L$14,1,2))</f>
        <v/>
      </c>
      <c r="H62" s="38">
        <f>$G$5*0.5*(INDEX($B$14:$L$14,1,2)+INDEX($B$14:$L$14,1,3))</f>
        <v/>
      </c>
      <c r="I62" s="38">
        <f>$G$5*0.5*(INDEX($B$14:$L$14,1,3)+INDEX($B$14:$L$14,1,4))</f>
        <v/>
      </c>
      <c r="J62" s="38">
        <f>$G$5*0.5*(INDEX($B$14:$L$14,1,4)+INDEX($B$14:$L$14,1,5))</f>
        <v/>
      </c>
      <c r="K62" s="38">
        <f>$G$5*0.5*(INDEX($B$14:$L$14,1,5)+INDEX($B$14:$L$14,1,6))</f>
        <v/>
      </c>
    </row>
    <row r="63">
      <c r="A63" s="28" t="inlineStr">
        <is>
          <t>Cohort acquired in year 7</t>
        </is>
      </c>
      <c r="B63" s="38" t="n">
        <v>0</v>
      </c>
      <c r="C63" s="38" t="n">
        <v>0</v>
      </c>
      <c r="D63" s="38" t="n">
        <v>0</v>
      </c>
      <c r="E63" s="38" t="n">
        <v>0</v>
      </c>
      <c r="F63" s="38" t="n">
        <v>0</v>
      </c>
      <c r="G63" s="38" t="n">
        <v>0</v>
      </c>
      <c r="H63" s="38">
        <f>$H$5*0.5*(INDEX($B$14:$L$14,1,1)+INDEX($B$14:$L$14,1,2))</f>
        <v/>
      </c>
      <c r="I63" s="38">
        <f>$H$5*0.5*(INDEX($B$14:$L$14,1,2)+INDEX($B$14:$L$14,1,3))</f>
        <v/>
      </c>
      <c r="J63" s="38">
        <f>$H$5*0.5*(INDEX($B$14:$L$14,1,3)+INDEX($B$14:$L$14,1,4))</f>
        <v/>
      </c>
      <c r="K63" s="38">
        <f>$H$5*0.5*(INDEX($B$14:$L$14,1,4)+INDEX($B$14:$L$14,1,5))</f>
        <v/>
      </c>
    </row>
    <row r="64">
      <c r="A64" s="28" t="inlineStr">
        <is>
          <t>Cohort acquired in year 8</t>
        </is>
      </c>
      <c r="B64" s="38" t="n">
        <v>0</v>
      </c>
      <c r="C64" s="38" t="n">
        <v>0</v>
      </c>
      <c r="D64" s="38" t="n">
        <v>0</v>
      </c>
      <c r="E64" s="38" t="n">
        <v>0</v>
      </c>
      <c r="F64" s="38" t="n">
        <v>0</v>
      </c>
      <c r="G64" s="38" t="n">
        <v>0</v>
      </c>
      <c r="H64" s="38" t="n">
        <v>0</v>
      </c>
      <c r="I64" s="38">
        <f>$I$5*0.5*(INDEX($B$14:$L$14,1,1)+INDEX($B$14:$L$14,1,2))</f>
        <v/>
      </c>
      <c r="J64" s="38">
        <f>$I$5*0.5*(INDEX($B$14:$L$14,1,2)+INDEX($B$14:$L$14,1,3))</f>
        <v/>
      </c>
      <c r="K64" s="38">
        <f>$I$5*0.5*(INDEX($B$14:$L$14,1,3)+INDEX($B$14:$L$14,1,4))</f>
        <v/>
      </c>
    </row>
    <row r="65">
      <c r="A65" s="28" t="inlineStr">
        <is>
          <t>Cohort acquired in year 9</t>
        </is>
      </c>
      <c r="B65" s="38" t="n">
        <v>0</v>
      </c>
      <c r="C65" s="38" t="n">
        <v>0</v>
      </c>
      <c r="D65" s="38" t="n">
        <v>0</v>
      </c>
      <c r="E65" s="38" t="n">
        <v>0</v>
      </c>
      <c r="F65" s="38" t="n">
        <v>0</v>
      </c>
      <c r="G65" s="38" t="n">
        <v>0</v>
      </c>
      <c r="H65" s="38" t="n">
        <v>0</v>
      </c>
      <c r="I65" s="38" t="n">
        <v>0</v>
      </c>
      <c r="J65" s="38">
        <f>$J$5*0.5*(INDEX($B$14:$L$14,1,1)+INDEX($B$14:$L$14,1,2))</f>
        <v/>
      </c>
      <c r="K65" s="38">
        <f>$J$5*0.5*(INDEX($B$14:$L$14,1,2)+INDEX($B$14:$L$14,1,3))</f>
        <v/>
      </c>
    </row>
    <row r="66">
      <c r="A66" s="28" t="inlineStr">
        <is>
          <t>Cohort acquired in year 10</t>
        </is>
      </c>
      <c r="B66" s="38" t="n">
        <v>0</v>
      </c>
      <c r="C66" s="38" t="n">
        <v>0</v>
      </c>
      <c r="D66" s="38" t="n">
        <v>0</v>
      </c>
      <c r="E66" s="38" t="n">
        <v>0</v>
      </c>
      <c r="F66" s="38" t="n">
        <v>0</v>
      </c>
      <c r="G66" s="38" t="n">
        <v>0</v>
      </c>
      <c r="H66" s="38" t="n">
        <v>0</v>
      </c>
      <c r="I66" s="38" t="n">
        <v>0</v>
      </c>
      <c r="J66" s="38" t="n">
        <v>0</v>
      </c>
      <c r="K66" s="38">
        <f>$K$5*0.5*(INDEX($B$14:$L$14,1,1)+INDEX($B$14:$L$14,1,2))</f>
        <v/>
      </c>
    </row>
    <row r="67">
      <c r="A67" s="2" t="inlineStr">
        <is>
          <t>Total</t>
        </is>
      </c>
      <c r="B67" s="27">
        <f>SUM(B57:B66)</f>
        <v/>
      </c>
      <c r="C67" s="27">
        <f>SUM(C57:C66)</f>
        <v/>
      </c>
      <c r="D67" s="27">
        <f>SUM(D57:D66)</f>
        <v/>
      </c>
      <c r="E67" s="27">
        <f>SUM(E57:E66)</f>
        <v/>
      </c>
      <c r="F67" s="27">
        <f>SUM(F57:F66)</f>
        <v/>
      </c>
      <c r="G67" s="27">
        <f>SUM(G57:G66)</f>
        <v/>
      </c>
      <c r="H67" s="27">
        <f>SUM(H57:H66)</f>
        <v/>
      </c>
      <c r="I67" s="27">
        <f>SUM(I57:I66)</f>
        <v/>
      </c>
      <c r="J67" s="27">
        <f>SUM(J57:J66)</f>
        <v/>
      </c>
      <c r="K67" s="27">
        <f>SUM(K57:K66)</f>
        <v/>
      </c>
    </row>
    <row r="69">
      <c r="A69" s="5" t="inlineStr">
        <is>
          <t>Summary</t>
        </is>
      </c>
      <c r="B69" s="5" t="inlineStr">
        <is>
          <t>Year 1</t>
        </is>
      </c>
      <c r="C69" s="5" t="inlineStr">
        <is>
          <t>Year 2</t>
        </is>
      </c>
      <c r="D69" s="5" t="inlineStr">
        <is>
          <t>Year 3</t>
        </is>
      </c>
      <c r="E69" s="5" t="inlineStr">
        <is>
          <t>Year 4</t>
        </is>
      </c>
      <c r="F69" s="5" t="inlineStr">
        <is>
          <t>Year 5</t>
        </is>
      </c>
      <c r="G69" s="5" t="inlineStr">
        <is>
          <t>Year 6</t>
        </is>
      </c>
      <c r="H69" s="5" t="inlineStr">
        <is>
          <t>Year 7</t>
        </is>
      </c>
      <c r="I69" s="5" t="inlineStr">
        <is>
          <t>Year 8</t>
        </is>
      </c>
      <c r="J69" s="5" t="inlineStr">
        <is>
          <t>Year 9</t>
        </is>
      </c>
      <c r="K69" s="5" t="inlineStr">
        <is>
          <t>Year 10</t>
        </is>
      </c>
    </row>
    <row r="70">
      <c r="A70" s="25" t="inlineStr">
        <is>
          <t>Revenue (₹ crore)</t>
        </is>
      </c>
      <c r="B70" s="43">
        <f>B28/10000000</f>
        <v/>
      </c>
      <c r="C70" s="43">
        <f>C28/10000000</f>
        <v/>
      </c>
      <c r="D70" s="43">
        <f>D28/10000000</f>
        <v/>
      </c>
      <c r="E70" s="43">
        <f>E28/10000000</f>
        <v/>
      </c>
      <c r="F70" s="43">
        <f>F28/10000000</f>
        <v/>
      </c>
      <c r="G70" s="43">
        <f>G28/10000000</f>
        <v/>
      </c>
      <c r="H70" s="43">
        <f>H28/10000000</f>
        <v/>
      </c>
      <c r="I70" s="43">
        <f>I28/10000000</f>
        <v/>
      </c>
      <c r="J70" s="43">
        <f>J28/10000000</f>
        <v/>
      </c>
      <c r="K70" s="43">
        <f>K28/10000000</f>
        <v/>
      </c>
    </row>
    <row r="71">
      <c r="A71" s="2" t="inlineStr">
        <is>
          <t>Revenue ($ million)</t>
        </is>
      </c>
      <c r="B71" s="76">
        <f>B28/usd_inr/1000000</f>
        <v/>
      </c>
      <c r="C71" s="76">
        <f>C28/usd_inr/1000000</f>
        <v/>
      </c>
      <c r="D71" s="76">
        <f>D28/usd_inr/1000000</f>
        <v/>
      </c>
      <c r="E71" s="76">
        <f>E28/usd_inr/1000000</f>
        <v/>
      </c>
      <c r="F71" s="76">
        <f>F28/usd_inr/1000000</f>
        <v/>
      </c>
      <c r="G71" s="76">
        <f>G28/usd_inr/1000000</f>
        <v/>
      </c>
      <c r="H71" s="76">
        <f>H28/usd_inr/1000000</f>
        <v/>
      </c>
      <c r="I71" s="76">
        <f>I28/usd_inr/1000000</f>
        <v/>
      </c>
      <c r="J71" s="76">
        <f>J28/usd_inr/1000000</f>
        <v/>
      </c>
      <c r="K71" s="76">
        <f>K28/usd_inr/1000000</f>
        <v/>
      </c>
    </row>
    <row r="72">
      <c r="A72" s="25" t="inlineStr">
        <is>
          <t>Active savers (million, average in year)</t>
        </is>
      </c>
      <c r="B72" s="45">
        <f>B54/1000000</f>
        <v/>
      </c>
      <c r="C72" s="45">
        <f>C54/1000000</f>
        <v/>
      </c>
      <c r="D72" s="45">
        <f>D54/1000000</f>
        <v/>
      </c>
      <c r="E72" s="45">
        <f>E54/1000000</f>
        <v/>
      </c>
      <c r="F72" s="45">
        <f>F54/1000000</f>
        <v/>
      </c>
      <c r="G72" s="45">
        <f>G54/1000000</f>
        <v/>
      </c>
      <c r="H72" s="45">
        <f>H54/1000000</f>
        <v/>
      </c>
      <c r="I72" s="45">
        <f>I54/1000000</f>
        <v/>
      </c>
      <c r="J72" s="45">
        <f>J54/1000000</f>
        <v/>
      </c>
      <c r="K72" s="45">
        <f>K54/1000000</f>
        <v/>
      </c>
    </row>
    <row r="73">
      <c r="A73" s="25" t="inlineStr">
        <is>
          <t>Revenue per active saver (₹ per year)</t>
        </is>
      </c>
      <c r="B73" s="32">
        <f>IFERROR(B28/B54,0)</f>
        <v/>
      </c>
      <c r="C73" s="32">
        <f>IFERROR(C28/C54,0)</f>
        <v/>
      </c>
      <c r="D73" s="32">
        <f>IFERROR(D28/D54,0)</f>
        <v/>
      </c>
      <c r="E73" s="32">
        <f>IFERROR(E28/E54,0)</f>
        <v/>
      </c>
      <c r="F73" s="32">
        <f>IFERROR(F28/F54,0)</f>
        <v/>
      </c>
      <c r="G73" s="32">
        <f>IFERROR(G28/G54,0)</f>
        <v/>
      </c>
      <c r="H73" s="32">
        <f>IFERROR(H28/H54,0)</f>
        <v/>
      </c>
      <c r="I73" s="32">
        <f>IFERROR(I28/I54,0)</f>
        <v/>
      </c>
      <c r="J73" s="32">
        <f>IFERROR(J28/J54,0)</f>
        <v/>
      </c>
      <c r="K73" s="32">
        <f>IFERROR(K28/K54,0)</f>
        <v/>
      </c>
    </row>
    <row r="74">
      <c r="A74" s="25" t="inlineStr">
        <is>
          <t>Contribution (₹ crore)</t>
        </is>
      </c>
      <c r="B74" s="43">
        <f>B41/10000000</f>
        <v/>
      </c>
      <c r="C74" s="43">
        <f>C41/10000000</f>
        <v/>
      </c>
      <c r="D74" s="43">
        <f>D41/10000000</f>
        <v/>
      </c>
      <c r="E74" s="43">
        <f>E41/10000000</f>
        <v/>
      </c>
      <c r="F74" s="43">
        <f>F41/10000000</f>
        <v/>
      </c>
      <c r="G74" s="43">
        <f>G41/10000000</f>
        <v/>
      </c>
      <c r="H74" s="43">
        <f>H41/10000000</f>
        <v/>
      </c>
      <c r="I74" s="43">
        <f>I41/10000000</f>
        <v/>
      </c>
      <c r="J74" s="43">
        <f>J41/10000000</f>
        <v/>
      </c>
      <c r="K74" s="43">
        <f>K41/10000000</f>
        <v/>
      </c>
    </row>
    <row r="75">
      <c r="A75" s="25" t="inlineStr">
        <is>
          <t>Acquisition spend (₹ crore)</t>
        </is>
      </c>
      <c r="B75" s="43">
        <f>B5*cac_blended*B6/10000000</f>
        <v/>
      </c>
      <c r="C75" s="43">
        <f>C5*cac_blended*C6/10000000</f>
        <v/>
      </c>
      <c r="D75" s="43">
        <f>D5*cac_blended*D6/10000000</f>
        <v/>
      </c>
      <c r="E75" s="43">
        <f>E5*cac_blended*E6/10000000</f>
        <v/>
      </c>
      <c r="F75" s="43">
        <f>F5*cac_blended*F6/10000000</f>
        <v/>
      </c>
      <c r="G75" s="43">
        <f>G5*cac_blended*G6/10000000</f>
        <v/>
      </c>
      <c r="H75" s="43">
        <f>H5*cac_blended*H6/10000000</f>
        <v/>
      </c>
      <c r="I75" s="43">
        <f>I5*cac_blended*I6/10000000</f>
        <v/>
      </c>
      <c r="J75" s="43">
        <f>J5*cac_blended*J6/10000000</f>
        <v/>
      </c>
      <c r="K75" s="43">
        <f>K5*cac_blended*K6/10000000</f>
        <v/>
      </c>
    </row>
    <row r="76">
      <c r="A76" s="25" t="inlineStr">
        <is>
          <t>Fixed opex, plus NBFC overhead if that lever is on (₹ crore)</t>
        </is>
      </c>
      <c r="B76" s="43">
        <f>B7+IF(nbfc_on=1,nbfc_fixed_cr,0)</f>
        <v/>
      </c>
      <c r="C76" s="43">
        <f>C7+IF(nbfc_on=1,nbfc_fixed_cr,0)</f>
        <v/>
      </c>
      <c r="D76" s="43">
        <f>D7+IF(nbfc_on=1,nbfc_fixed_cr,0)</f>
        <v/>
      </c>
      <c r="E76" s="43">
        <f>E7+IF(nbfc_on=1,nbfc_fixed_cr,0)</f>
        <v/>
      </c>
      <c r="F76" s="43">
        <f>F7+IF(nbfc_on=1,nbfc_fixed_cr,0)</f>
        <v/>
      </c>
      <c r="G76" s="43">
        <f>G7+IF(nbfc_on=1,nbfc_fixed_cr,0)</f>
        <v/>
      </c>
      <c r="H76" s="43">
        <f>H7+IF(nbfc_on=1,nbfc_fixed_cr,0)</f>
        <v/>
      </c>
      <c r="I76" s="43">
        <f>I7+IF(nbfc_on=1,nbfc_fixed_cr,0)</f>
        <v/>
      </c>
      <c r="J76" s="43">
        <f>J7+IF(nbfc_on=1,nbfc_fixed_cr,0)</f>
        <v/>
      </c>
      <c r="K76" s="43">
        <f>K7+IF(nbfc_on=1,nbfc_fixed_cr,0)</f>
        <v/>
      </c>
    </row>
    <row r="77">
      <c r="A77" s="25" t="inlineStr">
        <is>
          <t>Capital locked: guarantee deposits or NBFC equity, incl. ₹10 cr minimum (₹ crore)</t>
        </is>
      </c>
      <c r="B77" s="43">
        <f>IF(nbfc_on=1,MAX(nbfc_nof_cr,B67/10000000),B67/10000000)</f>
        <v/>
      </c>
      <c r="C77" s="43">
        <f>IF(nbfc_on=1,MAX(nbfc_nof_cr,C67/10000000),C67/10000000)</f>
        <v/>
      </c>
      <c r="D77" s="43">
        <f>IF(nbfc_on=1,MAX(nbfc_nof_cr,D67/10000000),D67/10000000)</f>
        <v/>
      </c>
      <c r="E77" s="43">
        <f>IF(nbfc_on=1,MAX(nbfc_nof_cr,E67/10000000),E67/10000000)</f>
        <v/>
      </c>
      <c r="F77" s="43">
        <f>IF(nbfc_on=1,MAX(nbfc_nof_cr,F67/10000000),F67/10000000)</f>
        <v/>
      </c>
      <c r="G77" s="43">
        <f>IF(nbfc_on=1,MAX(nbfc_nof_cr,G67/10000000),G67/10000000)</f>
        <v/>
      </c>
      <c r="H77" s="43">
        <f>IF(nbfc_on=1,MAX(nbfc_nof_cr,H67/10000000),H67/10000000)</f>
        <v/>
      </c>
      <c r="I77" s="43">
        <f>IF(nbfc_on=1,MAX(nbfc_nof_cr,I67/10000000),I67/10000000)</f>
        <v/>
      </c>
      <c r="J77" s="43">
        <f>IF(nbfc_on=1,MAX(nbfc_nof_cr,J67/10000000),J67/10000000)</f>
        <v/>
      </c>
      <c r="K77" s="43">
        <f>IF(nbfc_on=1,MAX(nbfc_nof_cr,K67/10000000),K67/10000000)</f>
        <v/>
      </c>
    </row>
    <row r="78">
      <c r="A78" s="25" t="inlineStr">
        <is>
          <t>Increase in capital locked (₹ crore)</t>
        </is>
      </c>
      <c r="B78" s="43">
        <f>B77</f>
        <v/>
      </c>
      <c r="C78" s="43">
        <f>C77-B77</f>
        <v/>
      </c>
      <c r="D78" s="43">
        <f>D77-C77</f>
        <v/>
      </c>
      <c r="E78" s="43">
        <f>E77-D77</f>
        <v/>
      </c>
      <c r="F78" s="43">
        <f>F77-E77</f>
        <v/>
      </c>
      <c r="G78" s="43">
        <f>G77-F77</f>
        <v/>
      </c>
      <c r="H78" s="43">
        <f>H77-G77</f>
        <v/>
      </c>
      <c r="I78" s="43">
        <f>I77-H77</f>
        <v/>
      </c>
      <c r="J78" s="43">
        <f>J77-I77</f>
        <v/>
      </c>
      <c r="K78" s="43">
        <f>K77-J77</f>
        <v/>
      </c>
    </row>
    <row r="79">
      <c r="A79" s="25" t="inlineStr">
        <is>
          <t>Cash flow (₹ crore)</t>
        </is>
      </c>
      <c r="B79" s="43">
        <f>B74-B75-B76-B78</f>
        <v/>
      </c>
      <c r="C79" s="43">
        <f>C74-C75-C76-C78</f>
        <v/>
      </c>
      <c r="D79" s="43">
        <f>D74-D75-D76-D78</f>
        <v/>
      </c>
      <c r="E79" s="43">
        <f>E74-E75-E76-E78</f>
        <v/>
      </c>
      <c r="F79" s="43">
        <f>F74-F75-F76-F78</f>
        <v/>
      </c>
      <c r="G79" s="43">
        <f>G74-G75-G76-G78</f>
        <v/>
      </c>
      <c r="H79" s="43">
        <f>H74-H75-H76-H78</f>
        <v/>
      </c>
      <c r="I79" s="43">
        <f>I74-I75-I76-I78</f>
        <v/>
      </c>
      <c r="J79" s="43">
        <f>J74-J75-J76-J78</f>
        <v/>
      </c>
      <c r="K79" s="43">
        <f>K74-K75-K76-K78</f>
        <v/>
      </c>
    </row>
    <row r="80">
      <c r="A80" s="25" t="inlineStr">
        <is>
          <t>Cumulative cash (₹ crore)</t>
        </is>
      </c>
      <c r="B80" s="43">
        <f>B79</f>
        <v/>
      </c>
      <c r="C80" s="43">
        <f>B80+C79</f>
        <v/>
      </c>
      <c r="D80" s="43">
        <f>C80+D79</f>
        <v/>
      </c>
      <c r="E80" s="43">
        <f>D80+E79</f>
        <v/>
      </c>
      <c r="F80" s="43">
        <f>E80+F79</f>
        <v/>
      </c>
      <c r="G80" s="43">
        <f>F80+G79</f>
        <v/>
      </c>
      <c r="H80" s="43">
        <f>G80+H79</f>
        <v/>
      </c>
      <c r="I80" s="43">
        <f>H80+I79</f>
        <v/>
      </c>
      <c r="J80" s="43">
        <f>I80+J79</f>
        <v/>
      </c>
      <c r="K80" s="43">
        <f>J80+K79</f>
        <v/>
      </c>
    </row>
    <row r="81">
      <c r="A81" s="2" t="inlineStr">
        <is>
          <t>Capital needed to reach this year-end (₹ crore)</t>
        </is>
      </c>
      <c r="B81" s="76">
        <f>MAX(0,-MIN($B$80:B80))</f>
        <v/>
      </c>
      <c r="C81" s="76">
        <f>MAX(0,-MIN($B$80:C80))</f>
        <v/>
      </c>
      <c r="D81" s="76">
        <f>MAX(0,-MIN($B$80:D80))</f>
        <v/>
      </c>
      <c r="E81" s="76">
        <f>MAX(0,-MIN($B$80:E80))</f>
        <v/>
      </c>
      <c r="F81" s="76">
        <f>MAX(0,-MIN($B$80:F80))</f>
        <v/>
      </c>
      <c r="G81" s="76">
        <f>MAX(0,-MIN($B$80:G80))</f>
        <v/>
      </c>
      <c r="H81" s="76">
        <f>MAX(0,-MIN($B$80:H80))</f>
        <v/>
      </c>
      <c r="I81" s="76">
        <f>MAX(0,-MIN($B$80:I80))</f>
        <v/>
      </c>
      <c r="J81" s="76">
        <f>MAX(0,-MIN($B$80:J80))</f>
        <v/>
      </c>
      <c r="K81" s="76">
        <f>MAX(0,-MIN($B$80:K80))</f>
        <v/>
      </c>
    </row>
    <row r="82">
      <c r="A82" s="25" t="inlineStr">
        <is>
          <t>Flag: revenue ≥ $100M (year, else 99)</t>
        </is>
      </c>
      <c r="B82" s="46">
        <f>IF(B71&gt;=100,1,99)</f>
        <v/>
      </c>
      <c r="C82" s="46">
        <f>IF(C71&gt;=100,2,99)</f>
        <v/>
      </c>
      <c r="D82" s="46">
        <f>IF(D71&gt;=100,3,99)</f>
        <v/>
      </c>
      <c r="E82" s="46">
        <f>IF(E71&gt;=100,4,99)</f>
        <v/>
      </c>
      <c r="F82" s="46">
        <f>IF(F71&gt;=100,5,99)</f>
        <v/>
      </c>
      <c r="G82" s="46">
        <f>IF(G71&gt;=100,6,99)</f>
        <v/>
      </c>
      <c r="H82" s="46">
        <f>IF(H71&gt;=100,7,99)</f>
        <v/>
      </c>
      <c r="I82" s="46">
        <f>IF(I71&gt;=100,8,99)</f>
        <v/>
      </c>
      <c r="J82" s="46">
        <f>IF(J71&gt;=100,9,99)</f>
        <v/>
      </c>
      <c r="K82" s="46">
        <f>IF(K71&gt;=100,10,99)</f>
        <v/>
      </c>
    </row>
    <row r="84">
      <c r="A84" s="2" t="inlineStr">
        <is>
          <t>First year revenue reaches $100M</t>
        </is>
      </c>
      <c r="B84" s="2">
        <f>IF(MIN(B82:K82)=99,"not within 10 years",MIN(B82:K82))</f>
        <v/>
      </c>
    </row>
    <row r="85">
      <c r="A85" s="2" t="inlineStr">
        <is>
          <t>Peak capital needed over 10 years (₹ crore)</t>
        </is>
      </c>
      <c r="B85" s="76">
        <f>K81</f>
        <v/>
      </c>
    </row>
  </sheetData>
  <mergeCells count="1">
    <mergeCell ref="A2:L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268"/>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50" customWidth="1" min="3" max="3"/>
    <col width="14" customWidth="1" min="4" max="4"/>
    <col width="14" customWidth="1" min="5" max="5"/>
    <col width="28" customWidth="1" min="6" max="6"/>
    <col width="11" customWidth="1" min="7" max="7"/>
    <col width="10" customWidth="1" min="8" max="8"/>
    <col width="30" customWidth="1" min="9" max="9"/>
    <col width="40" customWidth="1" min="10" max="10"/>
    <col width="11" customWidth="1" min="11" max="11"/>
    <col width="11" customWidth="1" min="12" max="12"/>
    <col width="12" customWidth="1" min="13" max="13"/>
    <col width="50" customWidth="1" min="14" max="14"/>
  </cols>
  <sheetData>
    <row r="1">
      <c r="A1" s="1" t="inlineStr">
        <is>
          <t>Sources: every link, when it was read, and what it supports</t>
        </is>
      </c>
    </row>
    <row r="3">
      <c r="A3" s="5" t="inlineStr">
        <is>
          <t>id</t>
        </is>
      </c>
      <c r="B3" s="5" t="inlineStr">
        <is>
          <t>Topic</t>
        </is>
      </c>
      <c r="C3" s="5" t="inlineStr">
        <is>
          <t>Claim</t>
        </is>
      </c>
      <c r="D3" s="5" t="inlineStr">
        <is>
          <t>Value</t>
        </is>
      </c>
      <c r="E3" s="5" t="inlineStr">
        <is>
          <t>Unit</t>
        </is>
      </c>
      <c r="F3" s="5" t="inlineStr">
        <is>
          <t>Population</t>
        </is>
      </c>
      <c r="G3" s="5" t="inlineStr">
        <is>
          <t>As of</t>
        </is>
      </c>
      <c r="H3" s="5" t="inlineStr">
        <is>
          <t>Gross / net</t>
        </is>
      </c>
      <c r="I3" s="5" t="inlineStr">
        <is>
          <t>Source</t>
        </is>
      </c>
      <c r="J3" s="5" t="inlineStr">
        <is>
          <t>URL</t>
        </is>
      </c>
      <c r="K3" s="5" t="inlineStr">
        <is>
          <t>Source date</t>
        </is>
      </c>
      <c r="L3" s="5" t="inlineStr">
        <is>
          <t>Accessed</t>
        </is>
      </c>
      <c r="M3" s="5" t="inlineStr">
        <is>
          <t>Verdict</t>
        </is>
      </c>
      <c r="N3" s="5" t="inlineStr">
        <is>
          <t>Notes</t>
        </is>
      </c>
    </row>
    <row r="4">
      <c r="A4" s="9" t="inlineStr">
        <is>
          <t>JAR-01</t>
        </is>
      </c>
      <c r="B4" s="9" t="inlineStr">
        <is>
          <t>Jar</t>
        </is>
      </c>
      <c r="C4" s="10" t="inlineStr">
        <is>
          <t>FY25 revenue from operations (statutory, RoC)</t>
        </is>
      </c>
      <c r="D4" s="9" t="inlineStr">
        <is>
          <t>2,447.8</t>
        </is>
      </c>
      <c r="E4" s="9" t="inlineStr">
        <is>
          <t>INR crore</t>
        </is>
      </c>
      <c r="F4" s="10" t="inlineStr">
        <is>
          <t>Central Square Fintech Pvt Ltd consolidated, FY ended 31 Mar 2025</t>
        </is>
      </c>
      <c r="G4" s="9" t="inlineStr">
        <is>
          <t>FY25</t>
        </is>
      </c>
      <c r="H4" s="9" t="inlineStr">
        <is>
          <t>gross (full value of gold sold as principal)</t>
        </is>
      </c>
      <c r="I4" s="9" t="inlineStr">
        <is>
          <t>Inc42: Wealthtech Startup Jar Halves FY25 Loss To INR 50.5 Cr</t>
        </is>
      </c>
      <c r="J4" s="9" t="inlineStr">
        <is>
          <t>https://inc42.com/buzz/wealthtech-startup-jar-halves-fy25-loss-to-inr-50-5-cr/</t>
        </is>
      </c>
      <c r="K4" s="9" t="inlineStr">
        <is>
          <t>2025-11-29</t>
        </is>
      </c>
      <c r="L4" s="9" t="inlineStr">
        <is>
          <t>2026-09-30</t>
        </is>
      </c>
      <c r="M4" s="9" t="inlineStr">
        <is>
          <t>confirmed</t>
        </is>
      </c>
      <c r="N4" s="10" t="inlineStr">
        <is>
          <t>RoC filing. Total income 2,450.7 cr incl. other income 2.9 cr. FY24 revenue from ops 49 cr (≈50x). Also reported by The Head and Tale (2025-12-01). This is the ~2,447-2,450 cr figure; it is GROSS gold sales, not comparable to 208 cr.</t>
        </is>
      </c>
    </row>
    <row r="5">
      <c r="A5" s="9" t="inlineStr">
        <is>
          <t>JAR-02</t>
        </is>
      </c>
      <c r="B5" s="9" t="inlineStr">
        <is>
          <t>Jar</t>
        </is>
      </c>
      <c r="C5" s="10" t="inlineStr">
        <is>
          <t>FY25 'operating revenue' (company-defined, press release)</t>
        </is>
      </c>
      <c r="D5" s="9" t="inlineStr">
        <is>
          <t>208</t>
        </is>
      </c>
      <c r="E5" s="9" t="inlineStr">
        <is>
          <t>INR crore</t>
        </is>
      </c>
      <c r="F5" s="10" t="inlineStr">
        <is>
          <t>Jar, FY25, company-reported metric</t>
        </is>
      </c>
      <c r="G5" s="9" t="inlineStr">
        <is>
          <t>FY25</t>
        </is>
      </c>
      <c r="H5" s="9" t="inlineStr">
        <is>
          <t>net (company-defined; definition not disclosed)</t>
        </is>
      </c>
      <c r="I5" s="9" t="inlineStr">
        <is>
          <t>Entrackr: Jar clocks Rs 208 Cr operating revenue in FY25, turns profitable in H2</t>
        </is>
      </c>
      <c r="J5" s="9" t="inlineStr">
        <is>
          <t>https://entrackr.com/news/jar-clocks-rs-208-cr-operating-revenue-in-fy25-turns-profitable-in-h2-10478229</t>
        </is>
      </c>
      <c r="K5" s="9" t="inlineStr">
        <is>
          <t>2025-09-19</t>
        </is>
      </c>
      <c r="L5" s="9" t="inlineStr">
        <is>
          <t>2026-09-30</t>
        </is>
      </c>
      <c r="M5" s="9" t="inlineStr">
        <is>
          <t>corrected</t>
        </is>
      </c>
      <c r="N5" s="10" t="inlineStr">
        <is>
          <t>VALUE confirmed as company-reported; LABEL corrected: the statutory 'revenue from operations' in the RoC filing is Rs 2,447.8 cr (gross gold sales), so Rs 208 cr is a company-defined net metric, not RoC operating revenue. From company press release, NOT an RoC line item. TechCrunch (2025-09-18) says 'grew ninefold' and 'primarily from its core gold-saving app'. Cannot be rebuilt from RoC lines: revenue 2,447.8 minus purchase of traded goods 2,333.6 = 114.2 cr (inventory change not disclosed). 9x implies a FY24 base of ~23 cr, not the RoC FY24 revenue of 49 cr; Inc42 (2025-04-02) reported ARR Dec-2023 of 23 cr and Dec-2024 of 270 cr, consistent with a company-internal net metric. Use 208 cr as a company claim only.</t>
        </is>
      </c>
    </row>
    <row r="6">
      <c r="A6" s="9" t="inlineStr">
        <is>
          <t>JAR-03</t>
        </is>
      </c>
      <c r="B6" s="9" t="inlineStr">
        <is>
          <t>Jar</t>
        </is>
      </c>
      <c r="C6" s="10" t="inlineStr">
        <is>
          <t>FY25 purchase of traded goods (gold)</t>
        </is>
      </c>
      <c r="D6" s="9" t="inlineStr">
        <is>
          <t>2,333.6</t>
        </is>
      </c>
      <c r="E6" s="9" t="inlineStr">
        <is>
          <t>INR crore</t>
        </is>
      </c>
      <c r="F6" s="10" t="inlineStr">
        <is>
          <t>Central Square Fintech consolidated, FY25</t>
        </is>
      </c>
      <c r="G6" s="9" t="inlineStr">
        <is>
          <t>FY25</t>
        </is>
      </c>
      <c r="H6" s="9" t="inlineStr">
        <is>
          <t>gross</t>
        </is>
      </c>
      <c r="I6" s="9" t="inlineStr">
        <is>
          <t>Inc42: Wealthtech Startup Jar Halves FY25 Loss To INR 50.5 Cr</t>
        </is>
      </c>
      <c r="J6" s="9" t="inlineStr">
        <is>
          <t>https://inc42.com/buzz/wealthtech-startup-jar-halves-fy25-loss-to-inr-50-5-cr/</t>
        </is>
      </c>
      <c r="K6" s="9" t="inlineStr">
        <is>
          <t>2025-11-29</t>
        </is>
      </c>
      <c r="L6" s="9" t="inlineStr">
        <is>
          <t>2026-09-30</t>
        </is>
      </c>
      <c r="M6" s="9" t="inlineStr">
        <is>
          <t>confirmed</t>
        </is>
      </c>
      <c r="N6" s="10" t="inlineStr">
        <is>
          <t>93% of total expenses (2,501.2 cr; FY24 160.4 cr). Revenue from ops minus this line = 114.2 cr, a rough gross-margin proxy (~4.7% of gold sales) before inventory change.</t>
        </is>
      </c>
    </row>
    <row r="7">
      <c r="A7" s="9" t="inlineStr">
        <is>
          <t>JAR-04</t>
        </is>
      </c>
      <c r="B7" s="9" t="inlineStr">
        <is>
          <t>Jar</t>
        </is>
      </c>
      <c r="C7" s="10" t="inlineStr">
        <is>
          <t>FY25 net loss (consolidated)</t>
        </is>
      </c>
      <c r="D7" s="9" t="inlineStr">
        <is>
          <t>50.5</t>
        </is>
      </c>
      <c r="E7" s="9" t="inlineStr">
        <is>
          <t>INR crore</t>
        </is>
      </c>
      <c r="F7" s="10" t="inlineStr">
        <is>
          <t>Central Square Fintech consolidated, FY25</t>
        </is>
      </c>
      <c r="G7" s="9" t="inlineStr">
        <is>
          <t>FY25</t>
        </is>
      </c>
      <c r="H7" s="9" t="inlineStr">
        <is>
          <t>net</t>
        </is>
      </c>
      <c r="I7" s="9" t="inlineStr">
        <is>
          <t>Inc42: Wealthtech Startup Jar Halves FY25 Loss To INR 50.5 Cr</t>
        </is>
      </c>
      <c r="J7" s="9" t="inlineStr">
        <is>
          <t>https://inc42.com/buzz/wealthtech-startup-jar-halves-fy25-loss-to-inr-50-5-cr/</t>
        </is>
      </c>
      <c r="K7" s="9" t="inlineStr">
        <is>
          <t>2025-11-29</t>
        </is>
      </c>
      <c r="L7" s="9" t="inlineStr">
        <is>
          <t>2026-09-30</t>
        </is>
      </c>
      <c r="M7" s="9" t="inlineStr">
        <is>
          <t>confirmed</t>
        </is>
      </c>
      <c r="N7" s="10" t="inlineStr">
        <is>
          <t>FY24 net loss 104 cr (103.97 cr per Inc42 2025-04-02). Loss excluding ESOP 35.3 cr (Entrackr says 35.23 cr). ESOP expense 14.6 cr.</t>
        </is>
      </c>
    </row>
    <row r="8">
      <c r="A8" s="9" t="inlineStr">
        <is>
          <t>JAR-05</t>
        </is>
      </c>
      <c r="B8" s="9" t="inlineStr">
        <is>
          <t>Jar</t>
        </is>
      </c>
      <c r="C8" s="10" t="inlineStr">
        <is>
          <t>FY25 cost lines: employee / advertising / web hosting / ESOP</t>
        </is>
      </c>
      <c r="D8" s="9" t="inlineStr">
        <is>
          <t>71.4 / 48.5 / 26.6 / 14.6</t>
        </is>
      </c>
      <c r="E8" s="9" t="inlineStr">
        <is>
          <t>INR crore</t>
        </is>
      </c>
      <c r="F8" s="10" t="inlineStr">
        <is>
          <t>Central Square Fintech consolidated, FY25</t>
        </is>
      </c>
      <c r="G8" s="9" t="inlineStr">
        <is>
          <t>FY25</t>
        </is>
      </c>
      <c r="H8" s="9" t="inlineStr">
        <is>
          <t>n/a (expense)</t>
        </is>
      </c>
      <c r="I8" s="9" t="inlineStr">
        <is>
          <t>Inc42: Wealthtech Startup Jar Halves FY25 Loss To INR 50.5 Cr</t>
        </is>
      </c>
      <c r="J8" s="9" t="inlineStr">
        <is>
          <t>https://inc42.com/buzz/wealthtech-startup-jar-halves-fy25-loss-to-inr-50-5-cr/</t>
        </is>
      </c>
      <c r="K8" s="9" t="inlineStr">
        <is>
          <t>2025-11-29</t>
        </is>
      </c>
      <c r="L8" s="9" t="inlineStr">
        <is>
          <t>2026-09-30</t>
        </is>
      </c>
      <c r="M8" s="9" t="inlineStr">
        <is>
          <t>confirmed</t>
        </is>
      </c>
      <c r="N8" s="10" t="inlineStr">
        <is>
          <t>Employee cost FY24 68.7 cr (The Head and Tale). Advertising 48.5 cr on a 35M registered base is ~Rs 14/registered user/yr (derived, cumulative-base denominator).</t>
        </is>
      </c>
    </row>
    <row r="9">
      <c r="A9" s="9" t="inlineStr">
        <is>
          <t>JAR-06</t>
        </is>
      </c>
      <c r="B9" s="9" t="inlineStr">
        <is>
          <t>Jar</t>
        </is>
      </c>
      <c r="C9" s="10" t="inlineStr">
        <is>
          <t>Profitable (after tax) in Jan-Mar 2025 and Apr-Jun 2025</t>
        </is>
      </c>
      <c r="D9" s="9" t="inlineStr">
        <is>
          <t>2</t>
        </is>
      </c>
      <c r="E9" s="9" t="inlineStr">
        <is>
          <t>consecutive quarters</t>
        </is>
      </c>
      <c r="F9" s="10" t="inlineStr">
        <is>
          <t>Jar, company claim</t>
        </is>
      </c>
      <c r="G9" s="9" t="inlineStr">
        <is>
          <t>2025-06-30</t>
        </is>
      </c>
      <c r="H9" s="9" t="inlineStr">
        <is>
          <t>net (PAT)</t>
        </is>
      </c>
      <c r="I9" s="9" t="inlineStr">
        <is>
          <t>TechCrunch: Indian fintech Jar turns profitable by enabling millions to save in gold</t>
        </is>
      </c>
      <c r="J9" s="9" t="inlineStr">
        <is>
          <t>https://techcrunch.com/2025/09/18/indian-fintech-jar-turns-profitable-by-helping-millions-save-in-gold/</t>
        </is>
      </c>
      <c r="K9" s="9" t="inlineStr">
        <is>
          <t>2025-09-18</t>
        </is>
      </c>
      <c r="L9" s="9" t="inlineStr">
        <is>
          <t>2026-09-30</t>
        </is>
      </c>
      <c r="M9" s="9" t="inlineStr">
        <is>
          <t>confirmed</t>
        </is>
      </c>
      <c r="N9" s="10" t="inlineStr">
        <is>
          <t>Company claim; Apr-Jun 2025 figures unaudited (Entrackr). No quarterly PAT amount disclosed. RoC full-year FY25 still shows a 50.5 cr loss, so H1-FY25 losses were larger than Q4 profit.</t>
        </is>
      </c>
    </row>
    <row r="10">
      <c r="A10" s="9" t="inlineStr">
        <is>
          <t>JAR-07</t>
        </is>
      </c>
      <c r="B10" s="9" t="inlineStr">
        <is>
          <t>Jar</t>
        </is>
      </c>
      <c r="C10" s="10" t="inlineStr">
        <is>
          <t>Registered users</t>
        </is>
      </c>
      <c r="D10" s="9" t="inlineStr">
        <is>
          <t>35</t>
        </is>
      </c>
      <c r="E10" s="9" t="inlineStr">
        <is>
          <t>million</t>
        </is>
      </c>
      <c r="F10" s="10" t="inlineStr">
        <is>
          <t>registered users since inception (cumulative)</t>
        </is>
      </c>
      <c r="G10" s="9" t="inlineStr">
        <is>
          <t>2025-09-18</t>
        </is>
      </c>
      <c r="H10" s="9" t="inlineStr">
        <is>
          <t>gross (cumulative registrations)</t>
        </is>
      </c>
      <c r="I10" s="9" t="inlineStr">
        <is>
          <t>TechCrunch: Indian fintech Jar turns profitable</t>
        </is>
      </c>
      <c r="J10" s="9" t="inlineStr">
        <is>
          <t>https://techcrunch.com/2025/09/18/indian-fintech-jar-turns-profitable-by-helping-millions-save-in-gold/</t>
        </is>
      </c>
      <c r="K10" s="9" t="inlineStr">
        <is>
          <t>2025-09-18</t>
        </is>
      </c>
      <c r="L10" s="9" t="inlineStr">
        <is>
          <t>2026-09-30</t>
        </is>
      </c>
      <c r="M10" s="9" t="inlineStr">
        <is>
          <t>confirmed</t>
        </is>
      </c>
      <c r="N10" s="10" t="inlineStr">
        <is>
          <t>Also 12,000 pin codes; ~60% tier-2/3; &gt;95% 'saving formally for the first time' (company claim, method undisclosed). Inc42 (2025-04-02) cited 'user base of over 1.5 crore' - a different, undefined population. Jar website (accessed 2026-09-30) now says '4 Cr+' and '5 Crore+ Indians' with no date or definition.</t>
        </is>
      </c>
    </row>
    <row r="11">
      <c r="A11" s="9" t="inlineStr">
        <is>
          <t>JAR-08</t>
        </is>
      </c>
      <c r="B11" s="9" t="inlineStr">
        <is>
          <t>Jar</t>
        </is>
      </c>
      <c r="C11" s="10" t="inlineStr">
        <is>
          <t>Monthly active / transacting / daily-saver counts</t>
        </is>
      </c>
      <c r="D11" s="9" t="inlineStr"/>
      <c r="E11" s="9" t="inlineStr"/>
      <c r="F11" s="10" t="inlineStr">
        <is>
          <t>MAU / transacting users</t>
        </is>
      </c>
      <c r="G11" s="9" t="inlineStr"/>
      <c r="H11" s="9" t="inlineStr"/>
      <c r="I11" s="9" t="inlineStr"/>
      <c r="J11" s="9" t="inlineStr"/>
      <c r="K11" s="9" t="inlineStr"/>
      <c r="L11" s="9" t="inlineStr">
        <is>
          <t>2026-09-30</t>
        </is>
      </c>
      <c r="M11" s="9" t="inlineStr">
        <is>
          <t>unverified</t>
        </is>
      </c>
      <c r="N11" s="10" t="inlineStr">
        <is>
          <t>No reputable source discloses MAU, transacting users or daily-saver counts. Transactions grew ~221% YoY in FY25 (Entrackr/Inc42), count not disclosed.</t>
        </is>
      </c>
    </row>
    <row r="12">
      <c r="A12" s="9" t="inlineStr">
        <is>
          <t>JAR-09</t>
        </is>
      </c>
      <c r="B12" s="9" t="inlineStr">
        <is>
          <t>Jar</t>
        </is>
      </c>
      <c r="C12" s="10" t="inlineStr">
        <is>
          <t>FY25 revenue per registered user (derived)</t>
        </is>
      </c>
      <c r="D12" s="9" t="inlineStr">
        <is>
          <t>59 (on 208 cr) / 699 (on 2,447.8 cr gross)</t>
        </is>
      </c>
      <c r="E12" s="9" t="inlineStr">
        <is>
          <t>INR per registered user per year</t>
        </is>
      </c>
      <c r="F12" s="10" t="inlineStr">
        <is>
          <t>35M registered users (cumulative, Sep 2025) as denominator</t>
        </is>
      </c>
      <c r="G12" s="9" t="inlineStr">
        <is>
          <t>FY25</t>
        </is>
      </c>
      <c r="H12" s="9" t="inlineStr">
        <is>
          <t>both shown</t>
        </is>
      </c>
      <c r="I12" s="9" t="inlineStr">
        <is>
          <t>Derived from JAR-01, JAR-02, JAR-07</t>
        </is>
      </c>
      <c r="J12" s="9" t="inlineStr"/>
      <c r="K12" s="9" t="inlineStr"/>
      <c r="L12" s="9" t="inlineStr">
        <is>
          <t>2026-09-30</t>
        </is>
      </c>
      <c r="M12" s="9" t="inlineStr">
        <is>
          <t>confirmed</t>
        </is>
      </c>
      <c r="N12" s="10" t="inlineStr">
        <is>
          <t>DERIVED. Date mismatch: revenue is FY25 (to Mar 2025) while 35M is a Sep 2025 cumulative count, so this UNDERSTATES per-user revenue. Per-active-user cannot be computed (no MAU disclosed). Using the Inc42 '1.5 crore' base gives Rs 139 on 208 cr.</t>
        </is>
      </c>
    </row>
    <row r="13">
      <c r="A13" s="9" t="inlineStr">
        <is>
          <t>JAR-10</t>
        </is>
      </c>
      <c r="B13" s="9" t="inlineStr">
        <is>
          <t>Jar</t>
        </is>
      </c>
      <c r="C13" s="10" t="inlineStr">
        <is>
          <t>Nek jewellery revenue</t>
        </is>
      </c>
      <c r="D13" s="9" t="inlineStr">
        <is>
          <t>~100</t>
        </is>
      </c>
      <c r="E13" s="9" t="inlineStr">
        <is>
          <t>INR crore annual (Rs 1 bn)</t>
        </is>
      </c>
      <c r="F13" s="10" t="inlineStr">
        <is>
          <t>Nek brand, 'last year' per company</t>
        </is>
      </c>
      <c r="G13" s="9" t="inlineStr">
        <is>
          <t>FY25 (approx)</t>
        </is>
      </c>
      <c r="H13" s="9" t="inlineStr">
        <is>
          <t>gross</t>
        </is>
      </c>
      <c r="I13" s="9" t="inlineStr">
        <is>
          <t>TechCrunch: Indian fintech Jar turns profitable</t>
        </is>
      </c>
      <c r="J13" s="9" t="inlineStr">
        <is>
          <t>https://techcrunch.com/2025/09/18/indian-fintech-jar-turns-profitable-by-helping-millions-save-in-gold/</t>
        </is>
      </c>
      <c r="K13" s="9" t="inlineStr">
        <is>
          <t>2025-09-18</t>
        </is>
      </c>
      <c r="L13" s="9" t="inlineStr">
        <is>
          <t>2026-09-30</t>
        </is>
      </c>
      <c r="M13" s="9" t="inlineStr">
        <is>
          <t>confirmed</t>
        </is>
      </c>
      <c r="N13" s="10" t="inlineStr">
        <is>
          <t>Nek launched Oct 2024 (Inc42). Drop-ship model. Included in the 2,450 cr gross.</t>
        </is>
      </c>
    </row>
    <row r="14">
      <c r="A14" s="9" t="inlineStr">
        <is>
          <t>JAR-11</t>
        </is>
      </c>
      <c r="B14" s="9" t="inlineStr">
        <is>
          <t>Jar</t>
        </is>
      </c>
      <c r="C14" s="10" t="inlineStr">
        <is>
          <t>Lending: Jar Plus P2P (lender side) with LenDenClub, testing</t>
        </is>
      </c>
      <c r="D14" s="9" t="inlineStr"/>
      <c r="E14" s="9" t="inlineStr"/>
      <c r="F14" s="10" t="inlineStr">
        <is>
          <t>select Jar users</t>
        </is>
      </c>
      <c r="G14" s="9" t="inlineStr">
        <is>
          <t>2024-03-11</t>
        </is>
      </c>
      <c r="H14" s="9" t="inlineStr"/>
      <c r="I14" s="9" t="inlineStr">
        <is>
          <t>Inc42: Jar Set To Foray Into P2P Lending Space</t>
        </is>
      </c>
      <c r="J14" s="9" t="inlineStr">
        <is>
          <t>https://inc42.com/buzz/jar-set-to-foray-into-p2p-lending-space-tests-product-for-select-users/</t>
        </is>
      </c>
      <c r="K14" s="9" t="inlineStr">
        <is>
          <t>2024-03-11</t>
        </is>
      </c>
      <c r="L14" s="9" t="inlineStr">
        <is>
          <t>2026-09-30</t>
        </is>
      </c>
      <c r="M14" s="9" t="inlineStr">
        <is>
          <t>confirmed</t>
        </is>
      </c>
      <c r="N14" s="10" t="inlineStr">
        <is>
          <t>This was an investment (lender-side) product, not a loan. Separately the Google Play 'lending' listing names NBFC partners Kisetsu Saison, Aditya Birla Finance, Innofin, Apollo Finvest, tenure 3-60 months, max APR 30% (per search snippet; page not fetchable). Personal-loan launch DATE: unverified.</t>
        </is>
      </c>
    </row>
    <row r="15">
      <c r="A15" s="9" t="inlineStr">
        <is>
          <t>JAR-12</t>
        </is>
      </c>
      <c r="B15" s="9" t="inlineStr">
        <is>
          <t>Jar</t>
        </is>
      </c>
      <c r="C15" s="10" t="inlineStr">
        <is>
          <t>Other products: UPI payments (BharatPe + Unity SFB), third-party distribution fees, insurance</t>
        </is>
      </c>
      <c r="D15" s="9" t="inlineStr"/>
      <c r="E15" s="9" t="inlineStr"/>
      <c r="F15" s="10" t="inlineStr">
        <is>
          <t>Jar</t>
        </is>
      </c>
      <c r="G15" s="9" t="inlineStr">
        <is>
          <t>2025-05</t>
        </is>
      </c>
      <c r="H15" s="9" t="inlineStr"/>
      <c r="I15" s="9" t="inlineStr">
        <is>
          <t>Entrackr / TechCrunch (Sep 2025)</t>
        </is>
      </c>
      <c r="J15" s="9" t="inlineStr">
        <is>
          <t>https://entrackr.com/news/jar-clocks-rs-208-cr-operating-revenue-in-fy25-turns-profitable-in-h2-10478229</t>
        </is>
      </c>
      <c r="K15" s="9" t="inlineStr">
        <is>
          <t>2025-09-19</t>
        </is>
      </c>
      <c r="L15" s="9" t="inlineStr">
        <is>
          <t>2026-09-30</t>
        </is>
      </c>
      <c r="M15" s="9" t="inlineStr">
        <is>
          <t>confirmed</t>
        </is>
      </c>
      <c r="N15" s="10" t="inlineStr">
        <is>
          <t>UPI launched with BharatPe partnership May 2025 (Entrackr); TechCrunch says early 2025 with BharatPe and Unity SFB. Custody Brinks; trustee Vistra; PhonePe distributes Jar gold.</t>
        </is>
      </c>
    </row>
    <row r="16">
      <c r="A16" s="9" t="inlineStr">
        <is>
          <t>JAR-13</t>
        </is>
      </c>
      <c r="B16" s="9" t="inlineStr">
        <is>
          <t>Jar</t>
        </is>
      </c>
      <c r="C16" s="10" t="inlineStr">
        <is>
          <t>Investors and total raised</t>
        </is>
      </c>
      <c r="D16" s="9" t="inlineStr">
        <is>
          <t>63.3 (TechCrunch) / 66.3 (Inc42, Tracxn)</t>
        </is>
      </c>
      <c r="E16" s="9" t="inlineStr">
        <is>
          <t>USD million</t>
        </is>
      </c>
      <c r="F16" s="10" t="inlineStr">
        <is>
          <t>Jar total equity raised</t>
        </is>
      </c>
      <c r="G16" s="9" t="inlineStr">
        <is>
          <t>2025-09</t>
        </is>
      </c>
      <c r="H16" s="9" t="inlineStr"/>
      <c r="I16" s="9" t="inlineStr">
        <is>
          <t>TechCrunch 2025-09-18; Inc42 2025-04-02</t>
        </is>
      </c>
      <c r="J16" s="9" t="inlineStr">
        <is>
          <t>https://inc42.com/buzz/jars-50-mn-funding-deal-falls-through-over-valuation-differences/</t>
        </is>
      </c>
      <c r="K16" s="9" t="inlineStr">
        <is>
          <t>2025-04-02</t>
        </is>
      </c>
      <c r="L16" s="9" t="inlineStr">
        <is>
          <t>2026-09-30</t>
        </is>
      </c>
      <c r="M16" s="9" t="inlineStr">
        <is>
          <t>confirmed</t>
        </is>
      </c>
      <c r="N16" s="10" t="inlineStr">
        <is>
          <t>Tiger Global, Arkam Ventures, Tribe Capital, Rocketship VC, WEH Ventures, Eximius confirmed. RAINMATTER: no source found - unverified. Last priced ~$300M (2022). A $50M round led by Prosus with SIG + Arkam fell through Apr 2025 (asked $300-350M, offered $200-250M); IPO talks 'sometime in 2026'. TechCrunch Sep 2025 says valuation '$300M+'. Tracxn lists a small Sep 2026 Arkam-led tranche (amount $1.4M, unconfirmed elsewhere).</t>
        </is>
      </c>
    </row>
    <row r="17">
      <c r="A17" s="9" t="inlineStr">
        <is>
          <t>JAR-14</t>
        </is>
      </c>
      <c r="B17" s="9" t="inlineStr">
        <is>
          <t>Jar</t>
        </is>
      </c>
      <c r="C17" s="10" t="inlineStr">
        <is>
          <t>FY26 financials</t>
        </is>
      </c>
      <c r="D17" s="9" t="inlineStr"/>
      <c r="E17" s="9" t="inlineStr"/>
      <c r="F17" s="10" t="inlineStr">
        <is>
          <t>FY ended 31 Mar 2026</t>
        </is>
      </c>
      <c r="G17" s="9" t="inlineStr"/>
      <c r="H17" s="9" t="inlineStr"/>
      <c r="I17" s="9" t="inlineStr"/>
      <c r="J17" s="9" t="inlineStr"/>
      <c r="K17" s="9" t="inlineStr"/>
      <c r="L17" s="9" t="inlineStr">
        <is>
          <t>2026-09-30</t>
        </is>
      </c>
      <c r="M17" s="9" t="inlineStr">
        <is>
          <t>unverified</t>
        </is>
      </c>
      <c r="N17" s="10" t="inlineStr">
        <is>
          <t>No FY26 figures found as of 2026-09-30 (RoC filings typically appear Oct-Dec).</t>
        </is>
      </c>
    </row>
    <row r="18">
      <c r="A18" s="9" t="inlineStr">
        <is>
          <t>BAC-01</t>
        </is>
      </c>
      <c r="B18" s="9" t="inlineStr">
        <is>
          <t>Bachatt</t>
        </is>
      </c>
      <c r="C18" s="10" t="inlineStr">
        <is>
          <t>Series A $12M led by Accel, with Lightspeed and Info Edge Ventures</t>
        </is>
      </c>
      <c r="D18" s="9" t="inlineStr">
        <is>
          <t>12</t>
        </is>
      </c>
      <c r="E18" s="9" t="inlineStr">
        <is>
          <t>USD million</t>
        </is>
      </c>
      <c r="F18" s="10" t="inlineStr">
        <is>
          <t>Trusave Fintech Pvt Ltd (Bachatt)</t>
        </is>
      </c>
      <c r="G18" s="9" t="inlineStr">
        <is>
          <t>2026-03-30</t>
        </is>
      </c>
      <c r="H18" s="9" t="inlineStr"/>
      <c r="I18" s="9" t="inlineStr">
        <is>
          <t>Entrackr: Wealthtech startup Bachatt raises $12 Mn in Series A led by Accel</t>
        </is>
      </c>
      <c r="J18" s="9" t="inlineStr">
        <is>
          <t>https://entrackr.com/news/wealthtech-startup-bachatt-raises-12-mn-in-series-a-led-by-accel-11438527</t>
        </is>
      </c>
      <c r="K18" s="9" t="inlineStr">
        <is>
          <t>2026-03-31</t>
        </is>
      </c>
      <c r="L18" s="9" t="inlineStr">
        <is>
          <t>2026-09-30</t>
        </is>
      </c>
      <c r="M18" s="9" t="inlineStr">
        <is>
          <t>confirmed</t>
        </is>
      </c>
      <c r="N18" s="10" t="inlineStr">
        <is>
          <t>Company press release dated 30 Mar; also Business Standard, YourStory. Valuation not disclosed. Seed: $4M (~Rs 34 cr) Apr 2025, Lightspeed $2.8M + Info Edge Ventures $1M, angels incl. Abhiraj Bhal (Urban Company), Sunil Prabhune (L&amp;T Finance). Founders Anugrah Jain (CEO), Ankur Jhavery, Mayank Agarwal.</t>
        </is>
      </c>
    </row>
    <row r="19">
      <c r="A19" s="9" t="inlineStr">
        <is>
          <t>BAC-02</t>
        </is>
      </c>
      <c r="B19" s="9" t="inlineStr">
        <is>
          <t>Bachatt</t>
        </is>
      </c>
      <c r="C19" s="10" t="inlineStr">
        <is>
          <t>Users acquired since May 2025 launch</t>
        </is>
      </c>
      <c r="D19" s="9" t="inlineStr">
        <is>
          <t>3</t>
        </is>
      </c>
      <c r="E19" s="9" t="inlineStr">
        <is>
          <t>million</t>
        </is>
      </c>
      <c r="F19" s="10" t="inlineStr">
        <is>
          <t>users acquired (undefined: registered/onboarded), cumulative since May 2025</t>
        </is>
      </c>
      <c r="G19" s="9" t="inlineStr">
        <is>
          <t>2026-03-30</t>
        </is>
      </c>
      <c r="H19" s="9" t="inlineStr">
        <is>
          <t>gross (cumulative)</t>
        </is>
      </c>
      <c r="I19" s="9" t="inlineStr">
        <is>
          <t>Bachatt press release / Entrackr</t>
        </is>
      </c>
      <c r="J19" s="9" t="inlineStr">
        <is>
          <t>https://bachatt.app/press-release</t>
        </is>
      </c>
      <c r="K19" s="9" t="inlineStr">
        <is>
          <t>2026-03-30</t>
        </is>
      </c>
      <c r="L19" s="9" t="inlineStr">
        <is>
          <t>2026-09-30</t>
        </is>
      </c>
      <c r="M19" s="9" t="inlineStr">
        <is>
          <t>confirmed</t>
        </is>
      </c>
      <c r="N19" s="10" t="inlineStr">
        <is>
          <t>Company claim. Target 30M users in 12-24 months. CONFLICT: bachatt.app homepage (accessed 2026-09-30, undated) says '10 lakh+ trusted users' and 'Rs 50+ Cr' invested - likely an older banner or a narrower population (investors vs sign-ups).</t>
        </is>
      </c>
    </row>
    <row r="20">
      <c r="A20" s="9" t="inlineStr">
        <is>
          <t>BAC-03</t>
        </is>
      </c>
      <c r="B20" s="9" t="inlineStr">
        <is>
          <t>Bachatt</t>
        </is>
      </c>
      <c r="C20" s="10" t="inlineStr">
        <is>
          <t>Mutual-fund transactions in one month</t>
        </is>
      </c>
      <c r="D20" s="9" t="inlineStr">
        <is>
          <t>2</t>
        </is>
      </c>
      <c r="E20" s="9" t="inlineStr">
        <is>
          <t>million transactions</t>
        </is>
      </c>
      <c r="F20" s="10" t="inlineStr">
        <is>
          <t>MF transactions executed on Bachatt, Feb 2026</t>
        </is>
      </c>
      <c r="G20" s="9" t="inlineStr">
        <is>
          <t>2026-02</t>
        </is>
      </c>
      <c r="H20" s="9" t="inlineStr"/>
      <c r="I20" s="9" t="inlineStr">
        <is>
          <t>Bachatt press release</t>
        </is>
      </c>
      <c r="J20" s="9" t="inlineStr">
        <is>
          <t>https://bachatt.app/press-release</t>
        </is>
      </c>
      <c r="K20" s="9" t="inlineStr">
        <is>
          <t>2026-03-30</t>
        </is>
      </c>
      <c r="L20" s="9" t="inlineStr">
        <is>
          <t>2026-09-30</t>
        </is>
      </c>
      <c r="M20" s="9" t="inlineStr">
        <is>
          <t>confirmed</t>
        </is>
      </c>
      <c r="N20" s="10" t="inlineStr">
        <is>
          <t>Daily/UPI SIPs create many small transactions: 2M/month is consistent with ~70-100k daily savers, but that is an inference, not disclosed. Also claims to be 'India's 3rd-largest SIP initiator' (basis undisclosed).</t>
        </is>
      </c>
    </row>
    <row r="21">
      <c r="A21" s="9" t="inlineStr">
        <is>
          <t>BAC-04</t>
        </is>
      </c>
      <c r="B21" s="9" t="inlineStr">
        <is>
          <t>Bachatt</t>
        </is>
      </c>
      <c r="C21" s="10" t="inlineStr">
        <is>
          <t>Amount invested on platform</t>
        </is>
      </c>
      <c r="D21" s="9" t="inlineStr">
        <is>
          <t>50+</t>
        </is>
      </c>
      <c r="E21" s="9" t="inlineStr">
        <is>
          <t>INR crore</t>
        </is>
      </c>
      <c r="F21" s="10" t="inlineStr">
        <is>
          <t>total invested/AUM, website banner, undated</t>
        </is>
      </c>
      <c r="G21" s="9" t="inlineStr">
        <is>
          <t>undated (accessed 2026-09-30)</t>
        </is>
      </c>
      <c r="H21" s="9" t="inlineStr">
        <is>
          <t>gross</t>
        </is>
      </c>
      <c r="I21" s="9" t="inlineStr">
        <is>
          <t>Bachatt homepage</t>
        </is>
      </c>
      <c r="J21" s="9" t="inlineStr">
        <is>
          <t>https://bachatt.app/</t>
        </is>
      </c>
      <c r="K21" s="9" t="inlineStr"/>
      <c r="L21" s="9" t="inlineStr">
        <is>
          <t>2026-09-30</t>
        </is>
      </c>
      <c r="M21" s="9" t="inlineStr">
        <is>
          <t>unverified</t>
        </is>
      </c>
      <c r="N21" s="10" t="inlineStr">
        <is>
          <t>Company website only; no independent source. If paired with 10 lakh users -&gt; ~Rs 500/user; with 3M users -&gt; ~Rs 170/user. Indicates very small balances per user in this segment.</t>
        </is>
      </c>
    </row>
    <row r="22">
      <c r="A22" s="9" t="inlineStr">
        <is>
          <t>BAC-05</t>
        </is>
      </c>
      <c r="B22" s="9" t="inlineStr">
        <is>
          <t>Bachatt</t>
        </is>
      </c>
      <c r="C22" s="10" t="inlineStr">
        <is>
          <t>Product and target segment</t>
        </is>
      </c>
      <c r="D22" s="9" t="inlineStr">
        <is>
          <t>Rs 51-200/day SIP; Rs 100 min</t>
        </is>
      </c>
      <c r="E22" s="9" t="inlineStr">
        <is>
          <t>INR</t>
        </is>
      </c>
      <c r="F22" s="10" t="inlineStr">
        <is>
          <t>self-employed/merchants earning Rs 30,000-70,000/month</t>
        </is>
      </c>
      <c r="G22" s="9" t="inlineStr">
        <is>
          <t>2025-04-26</t>
        </is>
      </c>
      <c r="H22" s="9" t="inlineStr"/>
      <c r="I22" s="9" t="inlineStr">
        <is>
          <t>Elets BFSI: Bachatt Secures $4M Seed Funding</t>
        </is>
      </c>
      <c r="J22" s="9" t="inlineStr">
        <is>
          <t>https://bfsi.eletsonline.com/bachatt-secures-4m-seed-funding-to-revolutionise-daily-savings-for-indias-self-employed/</t>
        </is>
      </c>
      <c r="K22" s="9" t="inlineStr">
        <is>
          <t>2025-04-26</t>
        </is>
      </c>
      <c r="L22" s="9" t="inlineStr">
        <is>
          <t>2026-09-30</t>
        </is>
      </c>
      <c r="M22" s="9" t="inlineStr">
        <is>
          <t>corrected</t>
        </is>
      </c>
      <c r="N22" s="10" t="inlineStr">
        <is>
          <t>Brief said 'daily/weekly UPI savings into MFs/FDs/gold/silver'. Correct: debt/liquid MFs ('Insta Fund'), gold &amp; silver via ETF-based funds (not digital gold), SIPs; FD is NOT a live product (press release calls FDs unsuitable for variable income). Series A copy targets shopkeepers/merchants/self-employed, not gig riders specifically (seed coverage mentions gig workers). Already cross-sells loans up to Rs 5 lakh (partners listed: L&amp;T Finance, Prefr, Moneyview, Kissht, FatakPay, Western Capital, Moneyboxx) and lifetime-free credit cards. AMFI ARN-321640. AMCs: SBI, ICICI Pru, Axis, ABSL, Nippon etc. THIS IS THE CLOSEST DIRECT COMPETITOR TO THE PROPOSED MODEL.</t>
        </is>
      </c>
    </row>
    <row r="23">
      <c r="A23" s="9" t="inlineStr">
        <is>
          <t>SAV-01</t>
        </is>
      </c>
      <c r="B23" s="9" t="inlineStr">
        <is>
          <t>Stable Money</t>
        </is>
      </c>
      <c r="C23" s="10" t="inlineStr">
        <is>
          <t>FY25 operating revenue</t>
        </is>
      </c>
      <c r="D23" s="9" t="inlineStr">
        <is>
          <t>4.3</t>
        </is>
      </c>
      <c r="E23" s="9" t="inlineStr">
        <is>
          <t>INR crore</t>
        </is>
      </c>
      <c r="F23" s="10" t="inlineStr">
        <is>
          <t>Stable Money (FD/bond marketplace), FY25</t>
        </is>
      </c>
      <c r="G23" s="9" t="inlineStr">
        <is>
          <t>FY25</t>
        </is>
      </c>
      <c r="H23" s="9" t="inlineStr">
        <is>
          <t>net (gross revenue 104.4 cr incl. bond resale)</t>
        </is>
      </c>
      <c r="I23" s="9" t="inlineStr">
        <is>
          <t>Entrackr: Stable Money reports Rs 4.3 Cr revenue and Rs 45 Cr loss in FY25</t>
        </is>
      </c>
      <c r="J23" s="9" t="inlineStr">
        <is>
          <t>https://entrackr.com/fintrackr/stable-money-reports-rs-43-cr-revenue-and-rs-45-cr-loss-in-fy25-11156962</t>
        </is>
      </c>
      <c r="K23" s="9" t="inlineStr">
        <is>
          <t>2026-02-26</t>
        </is>
      </c>
      <c r="L23" s="9" t="inlineStr">
        <is>
          <t>2026-09-30</t>
        </is>
      </c>
      <c r="M23" s="9" t="inlineStr">
        <is>
          <t>confirmed</t>
        </is>
      </c>
      <c r="N23" s="10" t="inlineStr">
        <is>
          <t>Bonds bought 100 cr, sold 104.4 cr. Non-operating income 7.63 cr; total income 112 cr. Net loss 44.8 cr (FY24 12.8 cr). Ad spend 25.33 cr; employee 21.8 cr. FD-commission revenue is NOT separately disclosed; the rate banks pay is NOT disclosed. Ad spend (25.3 cr) is ~6x operating revenue.</t>
        </is>
      </c>
    </row>
    <row r="24">
      <c r="A24" s="9" t="inlineStr">
        <is>
          <t>SAV-02</t>
        </is>
      </c>
      <c r="B24" s="9" t="inlineStr">
        <is>
          <t>Stable Money</t>
        </is>
      </c>
      <c r="C24" s="10" t="inlineStr">
        <is>
          <t>Users and amount invested</t>
        </is>
      </c>
      <c r="D24" s="9" t="inlineStr">
        <is>
          <t>40 lakh users; Rs 5,000+ cr invested</t>
        </is>
      </c>
      <c r="E24" s="9" t="inlineStr">
        <is>
          <t>users; INR crore</t>
        </is>
      </c>
      <c r="F24" s="10" t="inlineStr">
        <is>
          <t>users who have invested (company claim), cumulative</t>
        </is>
      </c>
      <c r="G24" s="9" t="inlineStr">
        <is>
          <t>2026-02</t>
        </is>
      </c>
      <c r="H24" s="9" t="inlineStr">
        <is>
          <t>gross (cumulative flow, not AUM)</t>
        </is>
      </c>
      <c r="I24" s="9" t="inlineStr">
        <is>
          <t>Entrackr: Stable Money reports Rs 4.3 Cr revenue</t>
        </is>
      </c>
      <c r="J24" s="9" t="inlineStr">
        <is>
          <t>https://entrackr.com/fintrackr/stable-money-reports-rs-43-cr-revenue-and-rs-45-cr-loss-in-fy25-11156962</t>
        </is>
      </c>
      <c r="K24" s="9" t="inlineStr">
        <is>
          <t>2026-02-26</t>
        </is>
      </c>
      <c r="L24" s="9" t="inlineStr">
        <is>
          <t>2026-09-30</t>
        </is>
      </c>
      <c r="M24" s="9" t="inlineStr">
        <is>
          <t>confirmed</t>
        </is>
      </c>
      <c r="N24" s="10" t="inlineStr">
        <is>
          <t>Company claim, cumulative across FDs, RDs, secured credit cards, bonds, gold/silver. Date mismatch vs FY25 revenue. ~Rs 12,500 per user (derived) - far above what a gig-worker saver will hold.</t>
        </is>
      </c>
    </row>
    <row r="25">
      <c r="A25" s="9" t="inlineStr">
        <is>
          <t>SAV-03</t>
        </is>
      </c>
      <c r="B25" s="9" t="inlineStr">
        <is>
          <t>Stable Money</t>
        </is>
      </c>
      <c r="C25" s="10" t="inlineStr">
        <is>
          <t>Funding and valuation</t>
        </is>
      </c>
      <c r="D25" s="9" t="inlineStr">
        <is>
          <t>Series C Rs 136 cr ($14.3M) at Rs 2,507 cr ($264M) post-money</t>
        </is>
      </c>
      <c r="E25" s="9" t="inlineStr">
        <is>
          <t>INR crore / USD million</t>
        </is>
      </c>
      <c r="F25" s="10" t="inlineStr">
        <is>
          <t>Stable Money</t>
        </is>
      </c>
      <c r="G25" s="9" t="inlineStr">
        <is>
          <t>2026-08-04</t>
        </is>
      </c>
      <c r="H25" s="9" t="inlineStr"/>
      <c r="I25" s="9" t="inlineStr">
        <is>
          <t>Entrackr Exclusive: Stable Money kicks off Series C with $14.3 Mn</t>
        </is>
      </c>
      <c r="J25" s="9" t="inlineStr">
        <is>
          <t>https://entrackr.com/exclusive/exclusive-stable-money-kicks-off-series-c-with-143-mn-from-existing-investors-12226556</t>
        </is>
      </c>
      <c r="K25" s="9" t="inlineStr">
        <is>
          <t>2026-08-04</t>
        </is>
      </c>
      <c r="L25" s="9" t="inlineStr">
        <is>
          <t>2026-09-30</t>
        </is>
      </c>
      <c r="M25" s="9" t="inlineStr">
        <is>
          <t>confirmed</t>
        </is>
      </c>
      <c r="N25" s="10" t="inlineStr">
        <is>
          <t>Fundamentum (lead, 73.76 cr), Peak XV (22 cr), RTP Global (20.2 cr), Z47/Matrix (20.2 cr). Feb 2026 round $25M. Total raised ~$65M before Series C (Entrackr Feb 2026).</t>
        </is>
      </c>
    </row>
    <row r="26">
      <c r="A26" s="9" t="inlineStr">
        <is>
          <t>SAV-04</t>
        </is>
      </c>
      <c r="B26" s="9" t="inlineStr">
        <is>
          <t>Gullak</t>
        </is>
      </c>
      <c r="C26" s="10" t="inlineStr">
        <is>
          <t>Series A $7.5M led by Chiratae</t>
        </is>
      </c>
      <c r="D26" s="9" t="inlineStr">
        <is>
          <t>7.5</t>
        </is>
      </c>
      <c r="E26" s="9" t="inlineStr">
        <is>
          <t>USD million</t>
        </is>
      </c>
      <c r="F26" s="10" t="inlineStr">
        <is>
          <t>Gullak (Finternet), gold-savings app</t>
        </is>
      </c>
      <c r="G26" s="9" t="inlineStr">
        <is>
          <t>2025-09</t>
        </is>
      </c>
      <c r="H26" s="9" t="inlineStr"/>
      <c r="I26" s="9" t="inlineStr">
        <is>
          <t>Entrackr: Gold savings app Gullak raises $7.5 Mn led by Chiratae</t>
        </is>
      </c>
      <c r="J26" s="9" t="inlineStr">
        <is>
          <t>https://entrackr.com/news/gold-savings-app-gullak-raises-75-mn-led-by-chiratae-10495967</t>
        </is>
      </c>
      <c r="K26" s="9" t="inlineStr">
        <is>
          <t>2025-09</t>
        </is>
      </c>
      <c r="L26" s="9" t="inlineStr">
        <is>
          <t>2026-09-30</t>
        </is>
      </c>
      <c r="M26" s="9" t="inlineStr">
        <is>
          <t>confirmed</t>
        </is>
      </c>
      <c r="N26" s="10" t="inlineStr">
        <is>
          <t>Co-investors White VC, Samved; existing YC, GMO. Cumulative &gt;$12M. FY24 revenue Rs 2 cr, loss Rs 11.39 cr. Gold SIP from Rs 100/day; redeemable at 3,000+ stores of 15 jewellery chains. Users: '1Mn+' (company site) and ~300,000 'active users regularly transacting' (secondary coverage) - both unverified by an independent source.</t>
        </is>
      </c>
    </row>
    <row r="27">
      <c r="A27" s="9" t="inlineStr">
        <is>
          <t>SAV-05</t>
        </is>
      </c>
      <c r="B27" s="9" t="inlineStr">
        <is>
          <t>Fello</t>
        </is>
      </c>
      <c r="C27" s="10" t="inlineStr">
        <is>
          <t>Funding and users</t>
        </is>
      </c>
      <c r="D27" s="9" t="inlineStr">
        <is>
          <t>$4M round (Jan 2023) led by Courtside Ventures; 500,000+ users</t>
        </is>
      </c>
      <c r="E27" s="9" t="inlineStr">
        <is>
          <t>USD million; users</t>
        </is>
      </c>
      <c r="F27" s="10" t="inlineStr">
        <is>
          <t>Fello gamified savings app; users claimed at Jan 2023</t>
        </is>
      </c>
      <c r="G27" s="9" t="inlineStr">
        <is>
          <t>2023-01</t>
        </is>
      </c>
      <c r="H27" s="9" t="inlineStr"/>
      <c r="I27" s="9" t="inlineStr">
        <is>
          <t>Entrackr: Y Combinator-backed Fello raises $4 Mn</t>
        </is>
      </c>
      <c r="J27" s="9" t="inlineStr">
        <is>
          <t>https://entrackr.com/2023/01/y-combinator-backed-fello-raises-4-mn/</t>
        </is>
      </c>
      <c r="K27" s="9" t="inlineStr">
        <is>
          <t>2023-01</t>
        </is>
      </c>
      <c r="L27" s="9" t="inlineStr">
        <is>
          <t>2026-09-30</t>
        </is>
      </c>
      <c r="M27" s="9" t="inlineStr">
        <is>
          <t>confirmed</t>
        </is>
      </c>
      <c r="N27" s="10" t="inlineStr">
        <is>
          <t>72% of users via referrals (company). Total raised ~$5.56M (Tracxn); one aggregator says $44.4M - unverified/likely wrong. No revenue disclosed. Products now: gold SIP (Augmont), FD, MF (ICICI Pru).</t>
        </is>
      </c>
    </row>
    <row r="28">
      <c r="A28" s="9" t="inlineStr">
        <is>
          <t>SAV-06</t>
        </is>
      </c>
      <c r="B28" s="9" t="inlineStr">
        <is>
          <t>Deciml</t>
        </is>
      </c>
      <c r="C28" s="10" t="inlineStr">
        <is>
          <t>Seed $3M led by Jainam Broking; total ~$4.86M</t>
        </is>
      </c>
      <c r="D28" s="9" t="inlineStr">
        <is>
          <t>3</t>
        </is>
      </c>
      <c r="E28" s="9" t="inlineStr">
        <is>
          <t>USD million</t>
        </is>
      </c>
      <c r="F28" s="10" t="inlineStr">
        <is>
          <t>Deciml round-up investing app</t>
        </is>
      </c>
      <c r="G28" s="9" t="inlineStr">
        <is>
          <t>2025</t>
        </is>
      </c>
      <c r="H28" s="9" t="inlineStr"/>
      <c r="I28" s="9" t="inlineStr">
        <is>
          <t>Entrackr: Round-up investing platform Deciml raises $3 Mn in seed round</t>
        </is>
      </c>
      <c r="J28" s="9" t="inlineStr">
        <is>
          <t>https://entrackr.com/snippets/round-up-investing-platform-deciml-raises-3-mn-is-seed-round-8776381</t>
        </is>
      </c>
      <c r="K28" s="9" t="inlineStr"/>
      <c r="L28" s="9" t="inlineStr">
        <is>
          <t>2026-09-30</t>
        </is>
      </c>
      <c r="M28" s="9" t="inlineStr">
        <is>
          <t>confirmed</t>
        </is>
      </c>
      <c r="N28" s="10" t="inlineStr">
        <is>
          <t>Round-ups on UPI/card spends to nearest Rs 10 invested in MF. Earlier $1M bridge (MyAsiaVC, Gaurav Munjal, Ritesh Malik). User counts (2 lakh downloads) only from early coverage - unverified. Source date not captured.</t>
        </is>
      </c>
    </row>
    <row r="29">
      <c r="A29" s="9" t="inlineStr">
        <is>
          <t>SAV-07</t>
        </is>
      </c>
      <c r="B29" s="9" t="inlineStr">
        <is>
          <t>Groww</t>
        </is>
      </c>
      <c r="C29" s="10" t="inlineStr">
        <is>
          <t>FY25 and FY26 revenue from operations and PAT</t>
        </is>
      </c>
      <c r="D29" s="9" t="inlineStr">
        <is>
          <t>FY25: 3,901.7 rev / 1,824 PAT; FY26: 4,644.6 rev / 2,083 PAT</t>
        </is>
      </c>
      <c r="E29" s="9" t="inlineStr">
        <is>
          <t>INR crore</t>
        </is>
      </c>
      <c r="F29" s="10" t="inlineStr">
        <is>
          <t>Billionbrains Garage Ventures consolidated</t>
        </is>
      </c>
      <c r="G29" s="9" t="inlineStr">
        <is>
          <t>FY26</t>
        </is>
      </c>
      <c r="H29" s="9" t="inlineStr">
        <is>
          <t>net</t>
        </is>
      </c>
      <c r="I29" s="9" t="inlineStr">
        <is>
          <t>Univest: Groww Q4 FY26 results</t>
        </is>
      </c>
      <c r="J29" s="9" t="inlineStr">
        <is>
          <t>https://univest.in/blogs/billionbrains-groww-q4-fy26-results-profit-686-crore-revenue-1505-crore</t>
        </is>
      </c>
      <c r="K29" s="9" t="inlineStr">
        <is>
          <t>2026-04-20</t>
        </is>
      </c>
      <c r="L29" s="9" t="inlineStr">
        <is>
          <t>2026-09-30</t>
        </is>
      </c>
      <c r="M29" s="9" t="inlineStr">
        <is>
          <t>confirmed</t>
        </is>
      </c>
      <c r="N29" s="10" t="inlineStr">
        <is>
          <t>FY26 total income 4,815.9 cr. Listed Nov 2025. Active users 16.7M and transacting users 21.6M in Q4 FY26 (IIFL, 2026-04-20); NSE active clients 12.6M (Jun 2025). CAC not disclosed; RHP analysis says early users acquired at 'near-zero CAC' via organic/referral.</t>
        </is>
      </c>
    </row>
    <row r="30">
      <c r="A30" s="9" t="inlineStr">
        <is>
          <t>SAV-08</t>
        </is>
      </c>
      <c r="B30" s="9" t="inlineStr">
        <is>
          <t>PhonePe</t>
        </is>
      </c>
      <c r="C30" s="10" t="inlineStr">
        <is>
          <t>PhonePe 'Daily Savings' in digital gold, built with Jar</t>
        </is>
      </c>
      <c r="D30" s="9" t="inlineStr">
        <is>
          <t>Rs 10-5,000/day</t>
        </is>
      </c>
      <c r="E30" s="9" t="inlineStr">
        <is>
          <t>INR</t>
        </is>
      </c>
      <c r="F30" s="10" t="inlineStr">
        <is>
          <t>PhonePe users</t>
        </is>
      </c>
      <c r="G30" s="9" t="inlineStr">
        <is>
          <t>2024-10-03</t>
        </is>
      </c>
      <c r="H30" s="9" t="inlineStr"/>
      <c r="I30" s="9" t="inlineStr">
        <is>
          <t>Medianama: PhonePe launches Daily Savings feature for digital gold</t>
        </is>
      </c>
      <c r="J30" s="9" t="inlineStr">
        <is>
          <t>https://www.medianama.com/2024/10/223-phonepe-launches-daily-savings-feature-digital-gold-investments/</t>
        </is>
      </c>
      <c r="K30" s="9" t="inlineStr">
        <is>
          <t>2024-10-03</t>
        </is>
      </c>
      <c r="L30" s="9" t="inlineStr">
        <is>
          <t>2026-09-30</t>
        </is>
      </c>
      <c r="M30" s="9" t="inlineStr">
        <is>
          <t>confirmed</t>
        </is>
      </c>
      <c r="N30" s="10" t="inlineStr">
        <is>
          <t>Distribution partnership means the largest UPI app already offers Rs 10/day auto-save. Secondary coverage says Jar users invest ~22 times/month on average (company claim, not verified in fetched text).</t>
        </is>
      </c>
    </row>
    <row r="31">
      <c r="A31" s="9" t="inlineStr">
        <is>
          <t>SAV-09</t>
        </is>
      </c>
      <c r="B31" s="9" t="inlineStr">
        <is>
          <t>Paytm</t>
        </is>
      </c>
      <c r="C31" s="10" t="inlineStr">
        <is>
          <t>Paytm Gold SIP daily/weekly/monthly, from Rs 9-51; '60 million investors in digital gold'</t>
        </is>
      </c>
      <c r="D31" s="9" t="inlineStr">
        <is>
          <t>60</t>
        </is>
      </c>
      <c r="E31" s="9" t="inlineStr">
        <is>
          <t>million (claim)</t>
        </is>
      </c>
      <c r="F31" s="10" t="inlineStr">
        <is>
          <t>Paytm digital gold investors, date unknown</t>
        </is>
      </c>
      <c r="G31" s="9" t="inlineStr">
        <is>
          <t>undated</t>
        </is>
      </c>
      <c r="H31" s="9" t="inlineStr">
        <is>
          <t>gross (cumulative)</t>
        </is>
      </c>
      <c r="I31" s="9" t="inlineStr">
        <is>
          <t>Paytm blog: Daily digital gold SIP</t>
        </is>
      </c>
      <c r="J31" s="9" t="inlineStr">
        <is>
          <t>https://paytm.com/blog/digital-gold/how-to-start-a-daily-digital-gold-sip-on-paytm-in-3-easy-steps/</t>
        </is>
      </c>
      <c r="K31" s="9" t="inlineStr"/>
      <c r="L31" s="9" t="inlineStr">
        <is>
          <t>2026-09-30</t>
        </is>
      </c>
      <c r="M31" s="9" t="inlineStr">
        <is>
          <t>unverified</t>
        </is>
      </c>
      <c r="N31" s="10" t="inlineStr">
        <is>
          <t>Company blog, undated; partner MMTC-PAMP. Treat 60M as a lifetime-buyer count at best.</t>
        </is>
      </c>
    </row>
    <row r="32">
      <c r="A32" s="9" t="inlineStr">
        <is>
          <t>SAV-10</t>
        </is>
      </c>
      <c r="B32" s="9" t="inlineStr">
        <is>
          <t>Google Pay</t>
        </is>
      </c>
      <c r="C32" s="10" t="inlineStr">
        <is>
          <t>Google Pay offers digital gold (MMTC-PAMP) and FDs via SFB partners (Equitas etc.)</t>
        </is>
      </c>
      <c r="D32" s="9" t="inlineStr"/>
      <c r="E32" s="9" t="inlineStr"/>
      <c r="F32" s="10" t="inlineStr">
        <is>
          <t>Google Pay India users</t>
        </is>
      </c>
      <c r="G32" s="9" t="inlineStr">
        <is>
          <t>2023-2025</t>
        </is>
      </c>
      <c r="H32" s="9" t="inlineStr"/>
      <c r="I32" s="9" t="inlineStr">
        <is>
          <t>India TV: Google Pay introduces Fixed Deposits</t>
        </is>
      </c>
      <c r="J32" s="9" t="inlineStr">
        <is>
          <t>https://www.indiatvnews.com/technology/news-google-pay-introduces-fixed-deposits-how-to-apply-interest-rates-and-more-731321</t>
        </is>
      </c>
      <c r="K32" s="9" t="inlineStr"/>
      <c r="L32" s="9" t="inlineStr">
        <is>
          <t>2026-09-30</t>
        </is>
      </c>
      <c r="M32" s="9" t="inlineStr">
        <is>
          <t>confirmed</t>
        </is>
      </c>
      <c r="N32" s="10" t="inlineStr">
        <is>
          <t>No user or volume figures found. Big UPI apps already bundle gold and FDs, so the feature itself is not a moat.</t>
        </is>
      </c>
    </row>
    <row r="33">
      <c r="A33" s="9" t="inlineStr">
        <is>
          <t>SAV-11</t>
        </is>
      </c>
      <c r="B33" s="9" t="inlineStr">
        <is>
          <t>Regulation</t>
        </is>
      </c>
      <c r="C33" s="10" t="inlineStr">
        <is>
          <t>SEBI cautioned investors that digital/e-gold is outside its regulation</t>
        </is>
      </c>
      <c r="D33" s="9" t="inlineStr"/>
      <c r="E33" s="9" t="inlineStr"/>
      <c r="F33" s="10" t="inlineStr">
        <is>
          <t>all Indian investors</t>
        </is>
      </c>
      <c r="G33" s="9" t="inlineStr">
        <is>
          <t>2025-11-08</t>
        </is>
      </c>
      <c r="H33" s="9" t="inlineStr"/>
      <c r="I33" s="9" t="inlineStr">
        <is>
          <t>News On AIR: SEBI warns investors against unregulated digital gold schemes</t>
        </is>
      </c>
      <c r="J33" s="9" t="inlineStr">
        <is>
          <t>https://www.newsonair.gov.in/sebi-warns-investors-against-unregulated-digital-gold-schemes</t>
        </is>
      </c>
      <c r="K33" s="9" t="inlineStr">
        <is>
          <t>2025-11-08</t>
        </is>
      </c>
      <c r="L33" s="9" t="inlineStr">
        <is>
          <t>2026-09-30</t>
        </is>
      </c>
      <c r="M33" s="9" t="inlineStr">
        <is>
          <t>confirmed</t>
        </is>
      </c>
      <c r="N33" s="10" t="inlineStr">
        <is>
          <t>Some outlets date it 10 Nov 2025. SEBI points to Gold ETFs/EGRs/ETCDs. Supports the founder's no-digital-gold-at-launch choice; also a risk to Jar/Gullak's core product.</t>
        </is>
      </c>
    </row>
    <row r="34">
      <c r="A34" s="9" t="inlineStr">
        <is>
          <t>LEND-01</t>
        </is>
      </c>
      <c r="B34" s="9" t="inlineStr">
        <is>
          <t>Kissht (OnEMI)</t>
        </is>
      </c>
      <c r="C34" s="10" t="inlineStr">
        <is>
          <t>FY25 revenue, PAT, marketing</t>
        </is>
      </c>
      <c r="D34" s="9" t="inlineStr">
        <is>
          <t>1,337.5 rev / 161 PAT / 95.7 marketing</t>
        </is>
      </c>
      <c r="E34" s="9" t="inlineStr">
        <is>
          <t>INR crore</t>
        </is>
      </c>
      <c r="F34" s="10" t="inlineStr">
        <is>
          <t>OnEMI Technology Solutions consolidated, FY25</t>
        </is>
      </c>
      <c r="G34" s="9" t="inlineStr">
        <is>
          <t>FY25</t>
        </is>
      </c>
      <c r="H34" s="9" t="inlineStr">
        <is>
          <t>net</t>
        </is>
      </c>
      <c r="I34" s="9" t="inlineStr">
        <is>
          <t>Entrackr: Kissht posts Rs 1,337 Cr revenue in FY25 with Rs 161 Cr profit; Inc42 FY25 profit dips 19%</t>
        </is>
      </c>
      <c r="J34" s="9" t="inlineStr">
        <is>
          <t>https://entrackr.com/fintrackr/kissht-revenue-down-20-in-fy25-profit-falls-to-rs-161-cr-9680219</t>
        </is>
      </c>
      <c r="K34" s="9" t="inlineStr">
        <is>
          <t>2025-08</t>
        </is>
      </c>
      <c r="L34" s="9" t="inlineStr">
        <is>
          <t>2026-09-30</t>
        </is>
      </c>
      <c r="M34" s="9" t="inlineStr">
        <is>
          <t>confirmed</t>
        </is>
      </c>
      <c r="N34" s="10" t="inlineStr">
        <is>
          <t>Revenue fell 20% from 1,672 cr (shift to longer tenures, lower rates). Marketing FY24 107.6 cr. IPO opened 30 Apr 2026, band Rs 162-171 (Inc42).</t>
        </is>
      </c>
    </row>
    <row r="35">
      <c r="A35" s="9" t="inlineStr">
        <is>
          <t>LEND-02</t>
        </is>
      </c>
      <c r="B35" s="9" t="inlineStr">
        <is>
          <t>Kissht (OnEMI)</t>
        </is>
      </c>
      <c r="C35" s="10" t="inlineStr">
        <is>
          <t>Users, borrowers, ticket size, credit quality</t>
        </is>
      </c>
      <c r="D35" s="9" t="inlineStr">
        <is>
          <t>53.2M registered; 1.9M active borrowers; ATS Rs 24,768 (9M FY26); GNPA 2.90% (9M FY26)</t>
        </is>
      </c>
      <c r="E35" s="9" t="inlineStr">
        <is>
          <t>mixed</t>
        </is>
      </c>
      <c r="F35" s="10" t="inlineStr">
        <is>
          <t>registered users since inception at Mar 2025; active borrowers at Mar 2025; ATS and GNPA for 9M to Dec 2025</t>
        </is>
      </c>
      <c r="G35" s="9" t="inlineStr">
        <is>
          <t>2025-12-31</t>
        </is>
      </c>
      <c r="H35" s="9" t="inlineStr"/>
      <c r="I35" s="9" t="inlineStr">
        <is>
          <t>IPO analysis substack: Moneylending for the Masses - the OnEMI IPO; indmoney DRHP summary</t>
        </is>
      </c>
      <c r="J35" s="9" t="inlineStr">
        <is>
          <t>https://ipoanalysis.substack.com/p/moneylending-for-the-masses-the-onemi</t>
        </is>
      </c>
      <c r="K35" s="9" t="inlineStr">
        <is>
          <t>2026-04</t>
        </is>
      </c>
      <c r="L35" s="9" t="inlineStr">
        <is>
          <t>2026-09-30</t>
        </is>
      </c>
      <c r="M35" s="9" t="inlineStr">
        <is>
          <t>confirmed</t>
        </is>
      </c>
      <c r="N35" s="10" t="inlineStr">
        <is>
          <t>Secondary summaries of DRHP/RHP. ATS rose from Rs 7,172 (FY23). Avg lending rate 30.73%; bounced-EMI rate 14% (9M FY26) vs 20% (FY23); ~50/50 on-book vs partner book (ICICI, AU SFB, Jana SFB, Shriram). Borrowers described as blue-collar, thin-file. 27,734 active merchants for credit-QR O2O acquisition (FY25). Registered users 64M in later RHP. Marketing/active borrower FY25 ~Rs 504 (derived: 95.7 cr / 1.9M) - DERIVED, mixes flow and stock.</t>
        </is>
      </c>
    </row>
    <row r="36">
      <c r="A36" s="9" t="inlineStr">
        <is>
          <t>LEND-03</t>
        </is>
      </c>
      <c r="B36" s="9" t="inlineStr">
        <is>
          <t>Moneyview</t>
        </is>
      </c>
      <c r="C36" s="10" t="inlineStr">
        <is>
          <t>Marketing and direct sourcing cost as % of loan disbursals</t>
        </is>
      </c>
      <c r="D36" s="9" t="inlineStr">
        <is>
          <t>2.92% (FY24) / 2.42% (FY25) / 1.90% (FY26)</t>
        </is>
      </c>
      <c r="E36" s="9" t="inlineStr">
        <is>
          <t>% of disbursals</t>
        </is>
      </c>
      <c r="F36" s="10" t="inlineStr">
        <is>
          <t>Moneyview Ltd, all personal-loan disbursals</t>
        </is>
      </c>
      <c r="G36" s="9" t="inlineStr">
        <is>
          <t>FY26</t>
        </is>
      </c>
      <c r="H36" s="9" t="inlineStr"/>
      <c r="I36" s="9" t="inlineStr">
        <is>
          <t>Multibagg: Moneyview earns partner fees but retains lending risk (RHP)</t>
        </is>
      </c>
      <c r="J36" s="9" t="inlineStr">
        <is>
          <t>https://www.multibagg.ai/market-pulse/articles/ipo/moneyview-partner-fees-lending-risk-rhp-cmucbq09u000nj0p5emb2mcnj</t>
        </is>
      </c>
      <c r="K36" s="9" t="inlineStr">
        <is>
          <t>2026-09</t>
        </is>
      </c>
      <c r="L36" s="9" t="inlineStr">
        <is>
          <t>2026-09-30</t>
        </is>
      </c>
      <c r="M36" s="9" t="inlineStr">
        <is>
          <t>confirmed</t>
        </is>
      </c>
      <c r="N36" s="10" t="inlineStr">
        <is>
          <t>From RHP (IPO 24-28 Sep 2026). FY26 disbursals 23,098.5 cr (FY25 17,621.1 cr) -&gt; FY26 marketing+sourcing ~439 cr (derived). DLG capped at 5% of portfolio. Best available benchmark for digital-lender CAC as % of disbursal. A per-loan rupee CAC is not disclosed.</t>
        </is>
      </c>
    </row>
    <row r="37">
      <c r="A37" s="9" t="inlineStr">
        <is>
          <t>LEND-04</t>
        </is>
      </c>
      <c r="B37" s="9" t="inlineStr">
        <is>
          <t>Moneyview</t>
        </is>
      </c>
      <c r="C37" s="10" t="inlineStr">
        <is>
          <t>Registered vs monetized users</t>
        </is>
      </c>
      <c r="D37" s="9" t="inlineStr">
        <is>
          <t>134.14M registered; 10.75M monetized (8.0%)</t>
        </is>
      </c>
      <c r="E37" s="9" t="inlineStr">
        <is>
          <t>users</t>
        </is>
      </c>
      <c r="F37" s="10" t="inlineStr">
        <is>
          <t>registered users (cumulative) vs monetized users (ever used a revenue product), at 31 Mar 2026</t>
        </is>
      </c>
      <c r="G37" s="9" t="inlineStr">
        <is>
          <t>2026-03-31</t>
        </is>
      </c>
      <c r="H37" s="9" t="inlineStr"/>
      <c r="I37" s="9" t="inlineStr">
        <is>
          <t>Multibagg RHP summary; India Fintech substack DRHP decoded</t>
        </is>
      </c>
      <c r="J37" s="9" t="inlineStr">
        <is>
          <t>https://indiafintech.substack.com/p/moneyviews-drhp-decoded-the-economics</t>
        </is>
      </c>
      <c r="K37" s="9" t="inlineStr">
        <is>
          <t>2026</t>
        </is>
      </c>
      <c r="L37" s="9" t="inlineStr">
        <is>
          <t>2026-09-30</t>
        </is>
      </c>
      <c r="M37" s="9" t="inlineStr">
        <is>
          <t>confirmed</t>
        </is>
      </c>
      <c r="N37" s="10" t="inlineStr">
        <is>
          <t>At 30 Jun 2026: 140.28M registered, 11.90M monetized (8.48%). Monetized share rose from 3.64% (FY23). 79.5% of monetized users tier-2+. Monetized users' avg monthly income Rs 47,118. Benchmark: only ~8% of a lending app's registered base ever borrows.</t>
        </is>
      </c>
    </row>
    <row r="38">
      <c r="A38" s="9" t="inlineStr">
        <is>
          <t>LEND-05</t>
        </is>
      </c>
      <c r="B38" s="9" t="inlineStr">
        <is>
          <t>Moneyview</t>
        </is>
      </c>
      <c r="C38" s="10" t="inlineStr">
        <is>
          <t>Annualized loss rate on personal loans: Moneyview vs industry</t>
        </is>
      </c>
      <c r="D38" s="9" t="inlineStr">
        <is>
          <t>7.07% vs 9.35%</t>
        </is>
      </c>
      <c r="E38" s="9" t="inlineStr">
        <is>
          <t>% annualized</t>
        </is>
      </c>
      <c r="F38" s="10" t="inlineStr">
        <is>
          <t>Moneyview personal-loan portfolio FY25 vs industry (per DRHP industry report)</t>
        </is>
      </c>
      <c r="G38" s="9" t="inlineStr">
        <is>
          <t>FY25</t>
        </is>
      </c>
      <c r="H38" s="9" t="inlineStr">
        <is>
          <t>gross loss</t>
        </is>
      </c>
      <c r="I38" s="9" t="inlineStr">
        <is>
          <t>India Fintech substack: Moneyview's DRHP decoded</t>
        </is>
      </c>
      <c r="J38" s="9" t="inlineStr">
        <is>
          <t>https://indiafintech.substack.com/p/moneyviews-drhp-decoded-the-economics</t>
        </is>
      </c>
      <c r="K38" s="9" t="inlineStr">
        <is>
          <t>2026</t>
        </is>
      </c>
      <c r="L38" s="9" t="inlineStr">
        <is>
          <t>2026-09-30</t>
        </is>
      </c>
      <c r="M38" s="9" t="inlineStr">
        <is>
          <t>confirmed</t>
        </is>
      </c>
      <c r="N38" s="10" t="inlineStr">
        <is>
          <t>Industry loss rate rose 7.80% (FY24) -&gt; 9.35% (FY25). Gross stage-3 rose 0.94% -&gt; 2.53% over 18 months. Fees &amp; commission share of revenue fell from 87.9% (FY23) to 55.5% (9M FY26) as on-book lending grew - the LSP model migrates toward balance sheet. FY26 revenue 3,351 cr; managed AUM 21,380 cr.</t>
        </is>
      </c>
    </row>
    <row r="39">
      <c r="A39" s="9" t="inlineStr">
        <is>
          <t>LEND-06</t>
        </is>
      </c>
      <c r="B39" s="9" t="inlineStr">
        <is>
          <t>KreditBee</t>
        </is>
      </c>
      <c r="C39" s="10" t="inlineStr">
        <is>
          <t>FY25 revenue and profit</t>
        </is>
      </c>
      <c r="D39" s="9" t="inlineStr">
        <is>
          <t>589.7 rev ops (standalone); PAT 237 (standalone) vs 473 (sources, likely consolidated)</t>
        </is>
      </c>
      <c r="E39" s="9" t="inlineStr">
        <is>
          <t>INR crore</t>
        </is>
      </c>
      <c r="F39" s="10" t="inlineStr">
        <is>
          <t>Finnovation Tech Solutions standalone vs KreditBee group</t>
        </is>
      </c>
      <c r="G39" s="9" t="inlineStr">
        <is>
          <t>FY25</t>
        </is>
      </c>
      <c r="H39" s="9" t="inlineStr">
        <is>
          <t>net</t>
        </is>
      </c>
      <c r="I39" s="9" t="inlineStr">
        <is>
          <t>Medianama: KreditBee FY25 profit rises 87% amid revenue decline</t>
        </is>
      </c>
      <c r="J39" s="9" t="inlineStr">
        <is>
          <t>https://www.medianama.com/2026/01/223-kreditbee-fy25-profit-rises-87-percent-amid-revenue-decline/</t>
        </is>
      </c>
      <c r="K39" s="9" t="inlineStr">
        <is>
          <t>2026-01-12</t>
        </is>
      </c>
      <c r="L39" s="9" t="inlineStr">
        <is>
          <t>2026-09-30</t>
        </is>
      </c>
      <c r="M39" s="9" t="inlineStr">
        <is>
          <t>contradicted</t>
        </is>
      </c>
      <c r="N39" s="10" t="inlineStr">
        <is>
          <t>Sources disagree on PAT: Medianama 237 cr (standalone); Moneycontrol's Chandra Srikanth (X, Jul 2025) 473 cr, 'per sources'. Advertising 211.7 cr FY25 (FY24 285 cr). Disbursals ~25,000 cr and AUM &gt;10,000 cr FY25 (per secondary). Unicorn at ~$1.5B in pre-IPO round (Outlook Business).</t>
        </is>
      </c>
    </row>
    <row r="40">
      <c r="A40" s="9" t="inlineStr">
        <is>
          <t>LEND-07</t>
        </is>
      </c>
      <c r="B40" s="9" t="inlineStr">
        <is>
          <t>Fibe</t>
        </is>
      </c>
      <c r="C40" s="10" t="inlineStr">
        <is>
          <t>FY25 revenue from operations and profit</t>
        </is>
      </c>
      <c r="D40" s="9" t="inlineStr">
        <is>
          <t>1,228 rev / 114 PAT</t>
        </is>
      </c>
      <c r="E40" s="9" t="inlineStr">
        <is>
          <t>INR crore</t>
        </is>
      </c>
      <c r="F40" s="10" t="inlineStr">
        <is>
          <t>Fibe (EarlySalary) FY25</t>
        </is>
      </c>
      <c r="G40" s="9" t="inlineStr">
        <is>
          <t>FY25</t>
        </is>
      </c>
      <c r="H40" s="9" t="inlineStr">
        <is>
          <t>net</t>
        </is>
      </c>
      <c r="I40" s="9" t="inlineStr">
        <is>
          <t>Entrackr: Fibe crosses Rs 1,200 Cr revenue in FY25; profit spikes 13%</t>
        </is>
      </c>
      <c r="J40" s="9" t="inlineStr">
        <is>
          <t>https://entrackr.com/fintrackr/fibe-crosses-rs-1200-cr-revenue-in-fy25-profit-spikes-13-11121260</t>
        </is>
      </c>
      <c r="K40" s="9" t="inlineStr">
        <is>
          <t>2026</t>
        </is>
      </c>
      <c r="L40" s="9" t="inlineStr">
        <is>
          <t>2026-09-30</t>
        </is>
      </c>
      <c r="M40" s="9" t="inlineStr">
        <is>
          <t>confirmed</t>
        </is>
      </c>
      <c r="N40" s="10" t="inlineStr">
        <is>
          <t>FY24 revenue 824 cr. Claims 9M+ loans and 40,000 cr+ cumulative disbursal. Salaried-first, less relevant to gig.</t>
        </is>
      </c>
    </row>
    <row r="41">
      <c r="A41" s="9" t="inlineStr">
        <is>
          <t>LEND-08</t>
        </is>
      </c>
      <c r="B41" s="9" t="inlineStr">
        <is>
          <t>Navi Finserv</t>
        </is>
      </c>
      <c r="C41" s="10" t="inlineStr">
        <is>
          <t>FY25 revenue from operations and PAT</t>
        </is>
      </c>
      <c r="D41" s="9" t="inlineStr">
        <is>
          <t>2,271 rev / 222 PAT</t>
        </is>
      </c>
      <c r="E41" s="9" t="inlineStr">
        <is>
          <t>INR crore</t>
        </is>
      </c>
      <c r="F41" s="10" t="inlineStr">
        <is>
          <t>Navi Finserv Ltd (NBFC) FY25</t>
        </is>
      </c>
      <c r="G41" s="9" t="inlineStr">
        <is>
          <t>FY25</t>
        </is>
      </c>
      <c r="H41" s="9" t="inlineStr">
        <is>
          <t>net</t>
        </is>
      </c>
      <c r="I41" s="9" t="inlineStr">
        <is>
          <t>Inc42: IPO-bound Navi Finserv's FY25 profit tanks 67% to INR 222 Cr; YourStory Jun 2025</t>
        </is>
      </c>
      <c r="J41" s="9" t="inlineStr">
        <is>
          <t>https://inc42.com/buzz/ipo-bound-navi-finservs-fy25-profits-plunge-67-to-inr-222-cr/</t>
        </is>
      </c>
      <c r="K41" s="9" t="inlineStr">
        <is>
          <t>2025-06</t>
        </is>
      </c>
      <c r="L41" s="9" t="inlineStr">
        <is>
          <t>2026-09-30</t>
        </is>
      </c>
      <c r="M41" s="9" t="inlineStr">
        <is>
          <t>confirmed</t>
        </is>
      </c>
      <c r="N41" s="10" t="inlineStr">
        <is>
          <t>RBI lending embargo Oct 2024 (lifted Dec 2024). Personal loans disbursed FY25 Rs 11,695 cr (annual report per search snippet, unverified directly).</t>
        </is>
      </c>
    </row>
    <row r="42">
      <c r="A42" s="9" t="inlineStr">
        <is>
          <t>LEND-09</t>
        </is>
      </c>
      <c r="B42" s="9" t="inlineStr">
        <is>
          <t>Refyne</t>
        </is>
      </c>
      <c r="C42" s="10" t="inlineStr">
        <is>
          <t>FY25 revenue (earned wage access)</t>
        </is>
      </c>
      <c r="D42" s="9" t="inlineStr">
        <is>
          <t>88.9</t>
        </is>
      </c>
      <c r="E42" s="9" t="inlineStr">
        <is>
          <t>INR crore</t>
        </is>
      </c>
      <c r="F42" s="10" t="inlineStr">
        <is>
          <t>Refyne India FY25</t>
        </is>
      </c>
      <c r="G42" s="9" t="inlineStr">
        <is>
          <t>FY25</t>
        </is>
      </c>
      <c r="H42" s="9" t="inlineStr">
        <is>
          <t>net</t>
        </is>
      </c>
      <c r="I42" s="9" t="inlineStr">
        <is>
          <t>Inc42 company page: Refyne</t>
        </is>
      </c>
      <c r="J42" s="9" t="inlineStr">
        <is>
          <t>https://inc42.com/company/refyne/</t>
        </is>
      </c>
      <c r="K42" s="9" t="inlineStr"/>
      <c r="L42" s="9" t="inlineStr">
        <is>
          <t>2026-09-30</t>
        </is>
      </c>
      <c r="M42" s="9" t="inlineStr">
        <is>
          <t>unverified</t>
        </is>
      </c>
      <c r="N42" s="10" t="inlineStr">
        <is>
          <t>Only from an aggregator snippet (FY24 59.9 cr). Employer-integrated EWA; salaried workforce, not platform gig workers.</t>
        </is>
      </c>
    </row>
    <row r="43">
      <c r="A43" s="9" t="inlineStr">
        <is>
          <t>LEND-10</t>
        </is>
      </c>
      <c r="B43" s="9" t="inlineStr">
        <is>
          <t>TrueBalance / Pocketly</t>
        </is>
      </c>
      <c r="C43" s="10" t="inlineStr">
        <is>
          <t>Small-ticket lender financials</t>
        </is>
      </c>
      <c r="D43" s="9" t="inlineStr">
        <is>
          <t>TrueBalance FY23 revenue 430 cr; Pocketly FY25 loan book 121 cr, PAT 36 cr</t>
        </is>
      </c>
      <c r="E43" s="9" t="inlineStr">
        <is>
          <t>INR crore</t>
        </is>
      </c>
      <c r="F43" s="10" t="inlineStr">
        <is>
          <t>Balance Hero India; Pocketly Infotech</t>
        </is>
      </c>
      <c r="G43" s="9" t="inlineStr">
        <is>
          <t>FY23 / FY25</t>
        </is>
      </c>
      <c r="H43" s="9" t="inlineStr">
        <is>
          <t>net</t>
        </is>
      </c>
      <c r="I43" s="9" t="inlineStr">
        <is>
          <t>Search snippets (TheKredible; Pocketly deck)</t>
        </is>
      </c>
      <c r="J43" s="9" t="inlineStr">
        <is>
          <t>https://thekredible.com/company/true-balance/financials</t>
        </is>
      </c>
      <c r="K43" s="9" t="inlineStr"/>
      <c r="L43" s="9" t="inlineStr">
        <is>
          <t>2026-09-30</t>
        </is>
      </c>
      <c r="M43" s="9" t="inlineStr">
        <is>
          <t>unverified</t>
        </is>
      </c>
      <c r="N43" s="10" t="inlineStr">
        <is>
          <t>Not confirmed from a primary article. TrueBalance claims ~70M users. Pocketly figures from a deck on Scribd - low reliability.</t>
        </is>
      </c>
    </row>
    <row r="44">
      <c r="A44" s="9" t="inlineStr">
        <is>
          <t>LEND-11</t>
        </is>
      </c>
      <c r="B44" s="9" t="inlineStr">
        <is>
          <t>Platform-embedded credit</t>
        </is>
      </c>
      <c r="C44" s="10" t="inlineStr">
        <is>
          <t>Swiggy/Zomato partner lending</t>
        </is>
      </c>
      <c r="D44" s="9" t="inlineStr"/>
      <c r="E44" s="9" t="inlineStr"/>
      <c r="F44" s="10" t="inlineStr">
        <is>
          <t>restaurant partners (merchant loans); delivery partners</t>
        </is>
      </c>
      <c r="G44" s="9" t="inlineStr"/>
      <c r="H44" s="9" t="inlineStr"/>
      <c r="I44" s="9" t="inlineStr">
        <is>
          <t>ThinkWithNiche / Paisa Journal: Zomato revives lending ambitions</t>
        </is>
      </c>
      <c r="J44" s="9" t="inlineStr">
        <is>
          <t>https://paisajournal.com/news/zomato-revives/</t>
        </is>
      </c>
      <c r="K44" s="9" t="inlineStr"/>
      <c r="L44" s="9" t="inlineStr">
        <is>
          <t>2026-09-30</t>
        </is>
      </c>
      <c r="M44" s="9" t="inlineStr">
        <is>
          <t>unverified</t>
        </is>
      </c>
      <c r="N44" s="10" t="inlineStr">
        <is>
          <t>Swiggy 'Capital Assist' (2017) and Zomato's NBFC partnerships are MERCHANT (restaurant) loans. No reputable source found with volumes of platform-arranged loans to delivery partners. NBFCs underwrite riders on 3-6 months of platform credits into the bank account.</t>
        </is>
      </c>
    </row>
    <row r="45">
      <c r="A45" s="9" t="inlineStr">
        <is>
          <t>FI-01</t>
        </is>
      </c>
      <c r="B45" s="9" t="inlineStr">
        <is>
          <t>Fi Money</t>
        </is>
      </c>
      <c r="C45" s="10" t="inlineStr">
        <is>
          <t>Fi discontinued banking services on its platform; Federal Bank accounts move to FedMobile</t>
        </is>
      </c>
      <c r="D45" s="9" t="inlineStr">
        <is>
          <t>3.5</t>
        </is>
      </c>
      <c r="E45" s="9" t="inlineStr">
        <is>
          <t>million customers affected</t>
        </is>
      </c>
      <c r="F45" s="10" t="inlineStr">
        <is>
          <t>customers who opened Federal Bank accounts through the Fi app</t>
        </is>
      </c>
      <c r="G45" s="9" t="inlineStr">
        <is>
          <t>2026-03-12</t>
        </is>
      </c>
      <c r="H45" s="9" t="inlineStr"/>
      <c r="I45" s="9" t="inlineStr">
        <is>
          <t>TechCrunch via Yahoo Finance: India neobank Fi winds down banking services on its platform</t>
        </is>
      </c>
      <c r="J45" s="9" t="inlineStr">
        <is>
          <t>https://finance.yahoo.com/news/india-neobank-fi-winds-down-221744130.html</t>
        </is>
      </c>
      <c r="K45" s="9" t="inlineStr">
        <is>
          <t>2026-03-12</t>
        </is>
      </c>
      <c r="L45" s="9" t="inlineStr">
        <is>
          <t>2026-09-30</t>
        </is>
      </c>
      <c r="M45" s="9" t="inlineStr">
        <is>
          <t>confirmed</t>
        </is>
      </c>
      <c r="N45" s="10" t="inlineStr">
        <is>
          <t>Transition to FedMobile expected before 31 Mar 2026 (The Paypers/NewsBytes). Federal Bank cited 'business re-alignment'. Pivot to AI-led B2B announced Feb 2026 (Inc42 2026-02-10; Medianama). NewsBytes headline says '35 million+' - appears to be an error for 3.5M.</t>
        </is>
      </c>
    </row>
    <row r="46">
      <c r="A46" s="9" t="inlineStr">
        <is>
          <t>FI-02</t>
        </is>
      </c>
      <c r="B46" s="9" t="inlineStr">
        <is>
          <t>Fi Money</t>
        </is>
      </c>
      <c r="C46" s="10" t="inlineStr">
        <is>
          <t>Total funding raised</t>
        </is>
      </c>
      <c r="D46" s="9" t="inlineStr">
        <is>
          <t>137 (Inc42) / ~169 (TechCrunch)</t>
        </is>
      </c>
      <c r="E46" s="9" t="inlineStr">
        <is>
          <t>USD million</t>
        </is>
      </c>
      <c r="F46" s="10" t="inlineStr">
        <is>
          <t>epiFi Technologies total equity raised</t>
        </is>
      </c>
      <c r="G46" s="9" t="inlineStr">
        <is>
          <t>2026-03</t>
        </is>
      </c>
      <c r="H46" s="9" t="inlineStr"/>
      <c r="I46" s="9" t="inlineStr">
        <is>
          <t>Inc42: Cash-strapped Fi Money pivots to AI-led B2B play; TechCrunch 2026-03-12</t>
        </is>
      </c>
      <c r="J46" s="9" t="inlineStr">
        <is>
          <t>https://inc42.com/buzz/cash-strapped-fi-money-pivots-to-ai-led-b2b-play/</t>
        </is>
      </c>
      <c r="K46" s="9" t="inlineStr">
        <is>
          <t>2026-02-10</t>
        </is>
      </c>
      <c r="L46" s="9" t="inlineStr">
        <is>
          <t>2026-09-30</t>
        </is>
      </c>
      <c r="M46" s="9" t="inlineStr">
        <is>
          <t>contradicted</t>
        </is>
      </c>
      <c r="N46" s="10" t="inlineStr">
        <is>
          <t>Sources disagree: Inc42 ~$137M; TechCrunch ~$169M over five rounds; Tracxn/others $168.8M. Investors: Peak XV, Ribbit, B Capital, Alpha Wave, Temasek. Valued ~$520M in Jul 2022.</t>
        </is>
      </c>
    </row>
    <row r="47">
      <c r="A47" s="9" t="inlineStr">
        <is>
          <t>FI-03</t>
        </is>
      </c>
      <c r="B47" s="9" t="inlineStr">
        <is>
          <t>Fi Money</t>
        </is>
      </c>
      <c r="C47" s="10" t="inlineStr">
        <is>
          <t>Why: lending (main revenue) scaled back; non-lending products did not monetise; no fresh capital</t>
        </is>
      </c>
      <c r="D47" s="9" t="inlineStr">
        <is>
          <t>FY23 op revenue 38 / net loss 300</t>
        </is>
      </c>
      <c r="E47" s="9" t="inlineStr">
        <is>
          <t>INR crore</t>
        </is>
      </c>
      <c r="F47" s="10" t="inlineStr">
        <is>
          <t>epiFi FY23 (FY24, FY25 not filed at Feb 2026)</t>
        </is>
      </c>
      <c r="G47" s="9" t="inlineStr">
        <is>
          <t>FY23</t>
        </is>
      </c>
      <c r="H47" s="9" t="inlineStr">
        <is>
          <t>net</t>
        </is>
      </c>
      <c r="I47" s="9" t="inlineStr">
        <is>
          <t>Inc42: Cash-strapped Fi Money pivots to AI-led B2B play</t>
        </is>
      </c>
      <c r="J47" s="9" t="inlineStr">
        <is>
          <t>https://inc42.com/buzz/cash-strapped-fi-money-pivots-to-ai-led-b2b-play/</t>
        </is>
      </c>
      <c r="K47" s="9" t="inlineStr">
        <is>
          <t>2026-02-10</t>
        </is>
      </c>
      <c r="L47" s="9" t="inlineStr">
        <is>
          <t>2026-09-30</t>
        </is>
      </c>
      <c r="M47" s="9" t="inlineStr">
        <is>
          <t>confirmed</t>
        </is>
      </c>
      <c r="N47" s="10" t="inlineStr">
        <is>
          <t>Fi was a loan DISTRIBUTOR (no NBFC licence); lending 'scaled back sharply' amid tighter RBI digital-lending rules. MFs, US stocks, rewards failed to earn. Runway fell 18 months (Dec 2024) -&gt; ~10 months (Mar 2025); headcount &gt;380 peak -&gt; &lt;100 by Jul 2025. LESSON: a savings/banking front-end that depends on distributed lending for revenue is fragile when the lending partner or rules change.</t>
        </is>
      </c>
    </row>
    <row r="48">
      <c r="A48" s="9" t="inlineStr">
        <is>
          <t>JUP-01</t>
        </is>
      </c>
      <c r="B48" s="9" t="inlineStr">
        <is>
          <t>Jupiter</t>
        </is>
      </c>
      <c r="C48" s="10" t="inlineStr">
        <is>
          <t>Financials FY24/FY25</t>
        </is>
      </c>
      <c r="D48" s="9" t="inlineStr">
        <is>
          <t>FY25 revenue 90.9 / net loss 213.7; FY24 revenue 80.5 (Inc42 page) or 51.2 op (Entrackr consolidated) or 35.85 (standalone); FY24 loss 275.9</t>
        </is>
      </c>
      <c r="E48" s="9" t="inlineStr">
        <is>
          <t>INR crore</t>
        </is>
      </c>
      <c r="F48" s="10" t="inlineStr">
        <is>
          <t>Amica Financial Technologies (Jupiter), consolidated unless stated</t>
        </is>
      </c>
      <c r="G48" s="9" t="inlineStr">
        <is>
          <t>FY25</t>
        </is>
      </c>
      <c r="H48" s="9" t="inlineStr">
        <is>
          <t>net</t>
        </is>
      </c>
      <c r="I48" s="9" t="inlineStr">
        <is>
          <t>Inc42 company financials page; Entrackr FY24; The Head and Tale 2025-03-12</t>
        </is>
      </c>
      <c r="J48" s="9" t="inlineStr">
        <is>
          <t>https://inc42.com/company/jupiter/financials/</t>
        </is>
      </c>
      <c r="K48" s="9" t="inlineStr"/>
      <c r="L48" s="9" t="inlineStr">
        <is>
          <t>2026-09-30</t>
        </is>
      </c>
      <c r="M48" s="9" t="inlineStr">
        <is>
          <t>contradicted</t>
        </is>
      </c>
      <c r="N48" s="10" t="inlineStr">
        <is>
          <t>FY24 revenue differs by definition (total vs operating vs standalone). FY25 numbers only from an Inc42 company-profile page, not an article - treat as provisional. FY23: spent Rs 54 to earn Rs 1 (Inc42). Raised &gt;$160M; last priced $710M (Dec 2021, $86M Series C).</t>
        </is>
      </c>
    </row>
    <row r="49">
      <c r="A49" s="9" t="inlineStr">
        <is>
          <t>JUP-02</t>
        </is>
      </c>
      <c r="B49" s="9" t="inlineStr">
        <is>
          <t>Jupiter</t>
        </is>
      </c>
      <c r="C49" s="10" t="inlineStr">
        <is>
          <t>Cost-cutting and senior exits; layoffs</t>
        </is>
      </c>
      <c r="D49" s="9" t="inlineStr"/>
      <c r="E49" s="9" t="inlineStr"/>
      <c r="F49" s="10" t="inlineStr">
        <is>
          <t>Jupiter staff</t>
        </is>
      </c>
      <c r="G49" s="9" t="inlineStr">
        <is>
          <t>2025-03-12</t>
        </is>
      </c>
      <c r="H49" s="9" t="inlineStr"/>
      <c r="I49" s="9" t="inlineStr">
        <is>
          <t>The Head and Tale: Neobanking platform Jupiter sees senior-level exits amid cost-cutting drive</t>
        </is>
      </c>
      <c r="J49" s="9" t="inlineStr">
        <is>
          <t>https://theheadandtale.com/news/neobanking-platform-jupiter-sees-senior-level-exits-amid-cost-cutting-drive/</t>
        </is>
      </c>
      <c r="K49" s="9" t="inlineStr">
        <is>
          <t>2025-03-12</t>
        </is>
      </c>
      <c r="L49" s="9" t="inlineStr">
        <is>
          <t>2026-09-30</t>
        </is>
      </c>
      <c r="M49" s="9" t="inlineStr">
        <is>
          <t>confirmed</t>
        </is>
      </c>
      <c r="N49" s="10" t="inlineStr">
        <is>
          <t>Restructuring 'to reduce customer acquisition costs and head count in certain divisions'; investments business head and product director left. Layoff headcount not disclosed by a reputable outlet (only Grapevine posts). A reported Oct 2025 ~$15M flat round is unverified. LESSON: a neobank front-end with high CAC and thin interchange/fee revenue burns cash; Jupiter took its own NBFC licence to capture lending economics.</t>
        </is>
      </c>
    </row>
    <row r="50">
      <c r="A50" s="9" t="inlineStr">
        <is>
          <t>CMP-01</t>
        </is>
      </c>
      <c r="B50" s="9" t="inlineStr">
        <is>
          <t>Chime</t>
        </is>
      </c>
      <c r="C50" s="10" t="inlineStr">
        <is>
          <t>IPO priced June 2025</t>
        </is>
      </c>
      <c r="D50" s="9" t="inlineStr">
        <is>
          <t>27</t>
        </is>
      </c>
      <c r="E50" s="9" t="inlineStr">
        <is>
          <t>USD per share; ~$11.6B fully diluted valuation</t>
        </is>
      </c>
      <c r="F50" s="10" t="inlineStr">
        <is>
          <t>Chime Financial Inc (Nasdaq: CHYM)</t>
        </is>
      </c>
      <c r="G50" s="9" t="inlineStr">
        <is>
          <t>2025-06-11</t>
        </is>
      </c>
      <c r="H50" s="9" t="inlineStr"/>
      <c r="I50" s="9" t="inlineStr">
        <is>
          <t>Chime S-1 analyses (mostlymetrics; ringingthebell) / CNBC 2025-05-13 filing report</t>
        </is>
      </c>
      <c r="J50" s="9" t="inlineStr">
        <is>
          <t>https://www.cnbc.com/2025/05/13/fintech-company-chime-files-for-nasdaq-ipo.html</t>
        </is>
      </c>
      <c r="K50" s="9" t="inlineStr">
        <is>
          <t>2025-06-11</t>
        </is>
      </c>
      <c r="L50" s="9" t="inlineStr">
        <is>
          <t>2026-09-30</t>
        </is>
      </c>
      <c r="M50" s="9" t="inlineStr">
        <is>
          <t>confirmed</t>
        </is>
      </c>
      <c r="N50" s="10" t="inlineStr">
        <is>
          <t>32M shares (25.9M primary), ~$864M raised (secondary summaries).</t>
        </is>
      </c>
    </row>
    <row r="51">
      <c r="A51" s="9" t="inlineStr">
        <is>
          <t>CMP-02</t>
        </is>
      </c>
      <c r="B51" s="9" t="inlineStr">
        <is>
          <t>Chime</t>
        </is>
      </c>
      <c r="C51" s="10" t="inlineStr">
        <is>
          <t>FY2025 revenue; payments (interchange-led) vs platform revenue; active members</t>
        </is>
      </c>
      <c r="D51" s="9" t="inlineStr">
        <is>
          <t>$2.2B revenue (+31%); payments $1.5B; platform-related $686M (+73%); 9.5M active members</t>
        </is>
      </c>
      <c r="E51" s="9" t="inlineStr">
        <is>
          <t>USD</t>
        </is>
      </c>
      <c r="F51" s="10" t="inlineStr">
        <is>
          <t>Chime, FY2025; active members at 31 Dec 2025</t>
        </is>
      </c>
      <c r="G51" s="9" t="inlineStr">
        <is>
          <t>2025-12-31</t>
        </is>
      </c>
      <c r="H51" s="9" t="inlineStr">
        <is>
          <t>net revenue</t>
        </is>
      </c>
      <c r="I51" s="9" t="inlineStr">
        <is>
          <t>Chime Reports Fourth Quarter and Full Year 2025 Financial Results (via Yahoo Finance)</t>
        </is>
      </c>
      <c r="J51" s="9" t="inlineStr">
        <is>
          <t>https://finance.yahoo.com/news/chime-reports-fourth-quarter-full-210500794.html</t>
        </is>
      </c>
      <c r="K51" s="9" t="inlineStr">
        <is>
          <t>2026-02-25</t>
        </is>
      </c>
      <c r="L51" s="9" t="inlineStr">
        <is>
          <t>2026-09-30</t>
        </is>
      </c>
      <c r="M51" s="9" t="inlineStr">
        <is>
          <t>confirmed</t>
        </is>
      </c>
      <c r="N51" s="10" t="inlineStr">
        <is>
          <t>Payments revenue ~68% of FY2025 revenue (derived). For 2024 (S-1), secondary analyses cite interchange at ~76% of $1.67B; primary S-1 text not fetched. ARPAM $257 (Q4 2025). FY2025 GAAP net loss ~$1B driven by $928M IPO-related SBC; adj. EBITDA $127M.</t>
        </is>
      </c>
    </row>
    <row r="52">
      <c r="A52" s="9" t="inlineStr">
        <is>
          <t>CMP-03</t>
        </is>
      </c>
      <c r="B52" s="9" t="inlineStr">
        <is>
          <t>Chime</t>
        </is>
      </c>
      <c r="C52" s="10" t="inlineStr">
        <is>
          <t>MyPay (earned-wage-style small-dollar advance) scale and margin; SpotMe usage</t>
        </is>
      </c>
      <c r="D52" s="9" t="inlineStr">
        <is>
          <t>MyPay &gt;$400M annualized revenue in Q4 2025, ~60% transaction margin; Q1 2025 MyPay revenue $64.3M vs credit losses $57.3M</t>
        </is>
      </c>
      <c r="E52" s="9" t="inlineStr">
        <is>
          <t>USD</t>
        </is>
      </c>
      <c r="F52" s="10" t="inlineStr">
        <is>
          <t>Chime members using MyPay / SpotMe</t>
        </is>
      </c>
      <c r="G52" s="9" t="inlineStr">
        <is>
          <t>2025-12-31</t>
        </is>
      </c>
      <c r="H52" s="9" t="inlineStr">
        <is>
          <t>gross revenue vs losses</t>
        </is>
      </c>
      <c r="I52" s="9" t="inlineStr">
        <is>
          <t>Chime Q4/FY2025 release; mostlymetrics S-1 breakdown</t>
        </is>
      </c>
      <c r="J52" s="9" t="inlineStr">
        <is>
          <t>https://www.mostlymetrics.com/p/chime-ipo-s1-breakdown</t>
        </is>
      </c>
      <c r="K52" s="9" t="inlineStr">
        <is>
          <t>2026-02-25</t>
        </is>
      </c>
      <c r="L52" s="9" t="inlineStr">
        <is>
          <t>2026-09-30</t>
        </is>
      </c>
      <c r="M52" s="9" t="inlineStr">
        <is>
          <t>confirmed</t>
        </is>
      </c>
      <c r="N52" s="10" t="inlineStr">
        <is>
          <t>MyPay launched fully Jul 2024. Q1-2025 losses were ~89% of MyPay revenue (secondary summary of S-1) before margin improved. 49% of active members used SpotMe in March 2025 (S-1 per secondary). LESSON: small-dollar liquidity for low-income earners is monetisable but loss-heavy early; Chime earned the right via payroll direct deposit, i.e. it SEES the income.</t>
        </is>
      </c>
    </row>
    <row r="53">
      <c r="A53" s="9" t="inlineStr">
        <is>
          <t>CMP-04</t>
        </is>
      </c>
      <c r="B53" s="9" t="inlineStr">
        <is>
          <t>M-Shwari</t>
        </is>
      </c>
      <c r="C53" s="10" t="inlineStr">
        <is>
          <t>Scale and loss rate (CGAP, 2015)</t>
        </is>
      </c>
      <c r="D53" s="9" t="inlineStr">
        <is>
          <t>20.6M loans; $277M; 2.8M unique borrowers; avg $15; NPL&gt;90d 2%; 7.5% fee per 30 days</t>
        </is>
      </c>
      <c r="E53" s="9" t="inlineStr">
        <is>
          <t>mixed</t>
        </is>
      </c>
      <c r="F53" s="10" t="inlineStr">
        <is>
          <t>M-Shwari (CBA/NCBA + Safaricom), since Nov 2012 launch</t>
        </is>
      </c>
      <c r="G53" s="9" t="inlineStr">
        <is>
          <t>2015-04-02</t>
        </is>
      </c>
      <c r="H53" s="9" t="inlineStr"/>
      <c r="I53" s="9" t="inlineStr">
        <is>
          <t>CGAP: Top 10 Things to Know About M-Shwari</t>
        </is>
      </c>
      <c r="J53" s="9" t="inlineStr">
        <is>
          <t>https://www.cgap.org/blog/top-10-things-to-know-about-m-shwari</t>
        </is>
      </c>
      <c r="K53" s="9" t="inlineStr">
        <is>
          <t>2015-04-02</t>
        </is>
      </c>
      <c r="L53" s="9" t="inlineStr">
        <is>
          <t>2026-09-30</t>
        </is>
      </c>
      <c r="M53" s="9" t="inlineStr">
        <is>
          <t>confirmed</t>
        </is>
      </c>
      <c r="N53" s="10" t="inlineStr">
        <is>
          <t>10M+ accounts, 4.5M active. Credit score built from Safaricom phone + M-PESA usage; M-Shwari savings and repayment data later fed the score (CGAP), but NO quantified evidence published that savings predict repayment. Savings are auto-applied to overdue loans (Safaricom/NCBA terms). Data are old (2015).</t>
        </is>
      </c>
    </row>
    <row r="54">
      <c r="A54" s="9" t="inlineStr">
        <is>
          <t>CMP-05</t>
        </is>
      </c>
      <c r="B54" s="9" t="inlineStr">
        <is>
          <t>M-Shwari</t>
        </is>
      </c>
      <c r="C54" s="10" t="inlineStr">
        <is>
          <t>Causal impact: 34% of eligible take a loan; households 6.3 pp less likely to forgo expenses after shocks</t>
        </is>
      </c>
      <c r="D54" s="9" t="inlineStr">
        <is>
          <t>34% take-up; -6.3 pp</t>
        </is>
      </c>
      <c r="E54" s="9" t="inlineStr">
        <is>
          <t>% / percentage points</t>
        </is>
      </c>
      <c r="F54" s="10" t="inlineStr">
        <is>
          <t>Kenyan M-Shwari users near the eligibility threshold (admin + survey data)</t>
        </is>
      </c>
      <c r="G54" s="9" t="inlineStr">
        <is>
          <t>2021</t>
        </is>
      </c>
      <c r="H54" s="9" t="inlineStr"/>
      <c r="I54" s="9" t="inlineStr">
        <is>
          <t>Bharadwaj, Jack &amp; Suri, 'Fintech and household resilience to shocks: evidence from digital loans in Kenya', NBER w25604 (2019); J. Dev. Econ. 153 (2021)</t>
        </is>
      </c>
      <c r="J54" s="9" t="inlineStr">
        <is>
          <t>https://www.nber.org/papers/w25604</t>
        </is>
      </c>
      <c r="K54" s="9" t="inlineStr">
        <is>
          <t>2019-02</t>
        </is>
      </c>
      <c r="L54" s="9" t="inlineStr">
        <is>
          <t>2026-09-30</t>
        </is>
      </c>
      <c r="M54" s="9" t="inlineStr">
        <is>
          <t>confirmed</t>
        </is>
      </c>
      <c r="N54" s="10" t="inlineStr">
        <is>
          <t>Loans do not substitute other credit. 30-day loans at 7.5%/month. The paper is about RESILIENCE, not about savings predicting repayment.</t>
        </is>
      </c>
    </row>
    <row r="55">
      <c r="A55" s="9" t="inlineStr">
        <is>
          <t>CMP-06</t>
        </is>
      </c>
      <c r="B55" s="9" t="inlineStr">
        <is>
          <t>TymeBank / Tyme Group</t>
        </is>
      </c>
      <c r="C55" s="10" t="inlineStr">
        <is>
          <t>Customers, profitability, funding</t>
        </is>
      </c>
      <c r="D55" s="9" t="inlineStr">
        <is>
          <t>TymeBank 10.7M customers (end-2024), first monthly profit Dec 2023; Tyme Group 17.5M (Jun 2025); GoTyme 5M+ (end-2024); $250M Series D at $1.5B led by Nubank ($150M)</t>
        </is>
      </c>
      <c r="E55" s="9" t="inlineStr">
        <is>
          <t>customers / USD</t>
        </is>
      </c>
      <c r="F55" s="10" t="inlineStr">
        <is>
          <t>TymeBank South Africa; GoTyme Philippines; Tyme Group</t>
        </is>
      </c>
      <c r="G55" s="9" t="inlineStr">
        <is>
          <t>2025-06</t>
        </is>
      </c>
      <c r="H55" s="9" t="inlineStr"/>
      <c r="I55" s="9" t="inlineStr">
        <is>
          <t>TechCrunch 2024-12-16; Tech In Africa 2025-12-28</t>
        </is>
      </c>
      <c r="J55" s="9" t="inlineStr">
        <is>
          <t>https://techcrunch.com/2024/12/16/nubank-leads-250m-round-in-african-digital-bank-tyme-at-1-5b-valuation/</t>
        </is>
      </c>
      <c r="K55" s="9" t="inlineStr">
        <is>
          <t>2024-12-16</t>
        </is>
      </c>
      <c r="L55" s="9" t="inlineStr">
        <is>
          <t>2026-09-30</t>
        </is>
      </c>
      <c r="M55" s="9" t="inlineStr">
        <is>
          <t>confirmed</t>
        </is>
      </c>
      <c r="N55" s="10" t="inlineStr">
        <is>
          <t>Deposits R7bn (~$385M) end-2024. Lending: merchant cash advance (50,000+ SMEs by end-2023), MoreTyme BNPL, grant advance for social-grant recipients. Share of revenue from lending: unverified. Onboards in-store at retail kiosks (Pick n Pay/Boxer) - distribution via a partner the customer already visits.</t>
        </is>
      </c>
    </row>
    <row r="56">
      <c r="A56" s="9" t="inlineStr">
        <is>
          <t>CMP-07</t>
        </is>
      </c>
      <c r="B56" s="9" t="inlineStr">
        <is>
          <t>GCash</t>
        </is>
      </c>
      <c r="C56" s="10" t="inlineStr">
        <is>
          <t>Users, savers, borrowers, loan volume</t>
        </is>
      </c>
      <c r="D56" s="9" t="inlineStr">
        <is>
          <t>94M 'have used'; GSave 9M+; 10.5M+ unique borrowers; PHP 362bn disbursed in 2025 (+65%)</t>
        </is>
      </c>
      <c r="E56" s="9" t="inlineStr">
        <is>
          <t>users / PHP</t>
        </is>
      </c>
      <c r="F56" s="10" t="inlineStr">
        <is>
          <t>GCash (Mynt/Fuse Lending), 2025</t>
        </is>
      </c>
      <c r="G56" s="9" t="inlineStr">
        <is>
          <t>2025-12-31</t>
        </is>
      </c>
      <c r="H56" s="9" t="inlineStr">
        <is>
          <t>gross disbursal</t>
        </is>
      </c>
      <c r="I56" s="9" t="inlineStr">
        <is>
          <t>GMA News: GCash lending arm disbursed P362B loans in 2025; GCash About Us</t>
        </is>
      </c>
      <c r="J56" s="9" t="inlineStr">
        <is>
          <t>https://www.gmanetwork.com/news/money/companies/976050/gcash-lending-arm-disbursed-362b-loans-in-2025/story/</t>
        </is>
      </c>
      <c r="K56" s="9" t="inlineStr">
        <is>
          <t>2026-02-10</t>
        </is>
      </c>
      <c r="L56" s="9" t="inlineStr">
        <is>
          <t>2026-09-30</t>
        </is>
      </c>
      <c r="M56" s="9" t="inlineStr">
        <is>
          <t>confirmed</t>
        </is>
      </c>
      <c r="N56" s="10" t="inlineStr">
        <is>
          <t>Borrowers / lifetime users ~11% (derived; base is lifetime, so the active-user share is higher). GCash About page still says '3M+ borrowers' (stale). Mynt equity earnings to Globe PHP 6.1bn in 2025 (+64%). Proprietary GScore uses wallet behaviour. Default rates: unverified.</t>
        </is>
      </c>
    </row>
    <row r="57">
      <c r="A57" s="9" t="inlineStr">
        <is>
          <t>CMP-08</t>
        </is>
      </c>
      <c r="B57" s="9" t="inlineStr">
        <is>
          <t>Nubank</t>
        </is>
      </c>
      <c r="C57" s="10" t="inlineStr">
        <is>
          <t>Customers, activity, ARPAC, profitability</t>
        </is>
      </c>
      <c r="D57" s="9" t="inlineStr">
        <is>
          <t>139M customers; 83.5% monthly active; monthly ARPAC ~$17; Q2-26 net income $1.1B; ROE 33%</t>
        </is>
      </c>
      <c r="E57" s="9" t="inlineStr">
        <is>
          <t>mixed</t>
        </is>
      </c>
      <c r="F57" s="10" t="inlineStr">
        <is>
          <t>Nu Holdings, all markets, Q2 2026</t>
        </is>
      </c>
      <c r="G57" s="9" t="inlineStr">
        <is>
          <t>2026-06-30</t>
        </is>
      </c>
      <c r="H57" s="9" t="inlineStr">
        <is>
          <t>net income</t>
        </is>
      </c>
      <c r="I57" s="9" t="inlineStr">
        <is>
          <t>Nu Holdings Ltd. Reports Second Quarter 2026 Financial Results</t>
        </is>
      </c>
      <c r="J57" s="9" t="inlineStr">
        <is>
          <t>https://nu.com/en/newsroom/company/nu-holdings-ltd-reports-second-quarter-2026-financial-results</t>
        </is>
      </c>
      <c r="K57" s="9" t="inlineStr">
        <is>
          <t>2026-08-13</t>
        </is>
      </c>
      <c r="L57" s="9" t="inlineStr">
        <is>
          <t>2026-09-30</t>
        </is>
      </c>
      <c r="M57" s="9" t="inlineStr">
        <is>
          <t>confirmed</t>
        </is>
      </c>
      <c r="N57" s="10" t="inlineStr">
        <is>
          <t>Brazil ~118M, Mexico 15.8M (ARPAC $12.3), Colombia 5M+. Credit cards $26B of a $39.4B credit book; 15-90 NPL 4.8%, 90+ NPL 6.9%. Deposits $45.3B.</t>
        </is>
      </c>
    </row>
    <row r="58">
      <c r="A58" s="9" t="inlineStr">
        <is>
          <t>CMP-09</t>
        </is>
      </c>
      <c r="B58" s="9" t="inlineStr">
        <is>
          <t>Nubank - Brazil context</t>
        </is>
      </c>
      <c r="C58" s="10" t="inlineStr">
        <is>
          <t>Why card-first worked: revolving card rate and bank concentration</t>
        </is>
      </c>
      <c r="D58" s="9" t="inlineStr">
        <is>
          <t>Revolving card rate 451.5%/yr (Aug 2025); top-5 banks ~80% of assets</t>
        </is>
      </c>
      <c r="E58" s="9" t="inlineStr">
        <is>
          <t>% per year / % of assets</t>
        </is>
      </c>
      <c r="F58" s="10" t="inlineStr">
        <is>
          <t>Brazil credit-card revolving credit (BCB data); Brazilian banking system</t>
        </is>
      </c>
      <c r="G58" s="9" t="inlineStr">
        <is>
          <t>2025-09</t>
        </is>
      </c>
      <c r="H58" s="9" t="inlineStr"/>
      <c r="I58" s="9" t="inlineStr">
        <is>
          <t>Agência Brasil: Interest on revolving credit cards reaches 451.5% per year</t>
        </is>
      </c>
      <c r="J58" s="9" t="inlineStr">
        <is>
          <t>https://agenciabrasil.ebc.com.br/en/economia/noticia/2025-09/interest-revolving-credit-cards-reach-4515-year-brazil</t>
        </is>
      </c>
      <c r="K58" s="9" t="inlineStr">
        <is>
          <t>2025-09</t>
        </is>
      </c>
      <c r="L58" s="9" t="inlineStr">
        <is>
          <t>2026-09-30</t>
        </is>
      </c>
      <c r="M58" s="9" t="inlineStr">
        <is>
          <t>confirmed</t>
        </is>
      </c>
      <c r="N58" s="10" t="inlineStr">
        <is>
          <t>Bloomberg (2023-05-30) had 450% in 2023. Top-5 concentration ~80% only from an industry blog (rankingslatam) - treat as indicative. Nubank launched a no-fee card in 2014 into this market. Card-first does NOT transfer to India's gig segment: India has ~119-123M credit cards (RBI, 2026) concentrated in 4 banks with ~70% share, cards need bureau history/income proof, and RBI rules bar most fintechs from issuing their own card; secured (FD-backed) cards are the realistic entry.</t>
        </is>
      </c>
    </row>
    <row r="59">
      <c r="A59" s="9" t="inlineStr">
        <is>
          <t>CMP-10</t>
        </is>
      </c>
      <c r="B59" s="9" t="inlineStr">
        <is>
          <t>India credit cards</t>
        </is>
      </c>
      <c r="C59" s="10" t="inlineStr">
        <is>
          <t>Credit cards outstanding</t>
        </is>
      </c>
      <c r="D59" s="9" t="inlineStr">
        <is>
          <t>122.86</t>
        </is>
      </c>
      <c r="E59" s="9" t="inlineStr">
        <is>
          <t>million cards</t>
        </is>
      </c>
      <c r="F59" s="10" t="inlineStr">
        <is>
          <t>all credit cards outstanding, India (RBI), Jul 2026</t>
        </is>
      </c>
      <c r="G59" s="9" t="inlineStr">
        <is>
          <t>2026-07</t>
        </is>
      </c>
      <c r="H59" s="9" t="inlineStr"/>
      <c r="I59" s="9" t="inlineStr">
        <is>
          <t>Business Standard: ~2 trillion credit card spending a month becomes the new normal: RBI data</t>
        </is>
      </c>
      <c r="J59" s="9" t="inlineStr">
        <is>
          <t>https://www.business-standard.com/finance/news/credit-card-monthly-spends-above-2-trillion-for-third-straight-month-126082501295_1.html</t>
        </is>
      </c>
      <c r="K59" s="9" t="inlineStr">
        <is>
          <t>2026-08-25</t>
        </is>
      </c>
      <c r="L59" s="9" t="inlineStr">
        <is>
          <t>2026-09-30</t>
        </is>
      </c>
      <c r="M59" s="9" t="inlineStr">
        <is>
          <t>confirmed</t>
        </is>
      </c>
      <c r="N59" s="10" t="inlineStr">
        <is>
          <t>118.63M at Mar 2026 (Mint); 111.62M Jul 2025. HDFC, SBI, ICICI, Axis ~70% share. Cards, not unique cardholders.</t>
        </is>
      </c>
    </row>
    <row r="60">
      <c r="A60" s="9" t="inlineStr">
        <is>
          <t>EVD-01</t>
        </is>
      </c>
      <c r="B60" s="9" t="inlineStr">
        <is>
          <t>Savings -&gt; repayment evidence</t>
        </is>
      </c>
      <c r="C60" s="10" t="inlineStr">
        <is>
          <t>US credit-builder loan RCT (savings-secured instalment loan): no average effect on scores; +60 pts (TOT) for those without existing debt; 39% of CBL borrowers made &gt;=1 late payment</t>
        </is>
      </c>
      <c r="D60" s="9" t="inlineStr">
        <is>
          <t>null avg; +60 pts; 39% late</t>
        </is>
      </c>
      <c r="E60" s="9" t="inlineStr">
        <is>
          <t>score points / %</t>
        </is>
      </c>
      <c r="F60" s="10" t="inlineStr">
        <is>
          <t>St Louis Community Credit Union members, mostly &lt;$30k household income (62%)</t>
        </is>
      </c>
      <c r="G60" s="9" t="inlineStr">
        <is>
          <t>2020-07</t>
        </is>
      </c>
      <c r="H60" s="9" t="inlineStr"/>
      <c r="I60" s="9" t="inlineStr">
        <is>
          <t>CFPB: Targeting credit builder loans (Burke, Jamison, Karlan, Mihaly, Zinman); RFS 36(4) 2023</t>
        </is>
      </c>
      <c r="J60" s="9" t="inlineStr">
        <is>
          <t>https://files.consumerfinance.gov/f/documents/cfpb_targeting-credit-builder-loans_report_2020-07.pdf</t>
        </is>
      </c>
      <c r="K60" s="9" t="inlineStr">
        <is>
          <t>2020-07</t>
        </is>
      </c>
      <c r="L60" s="9" t="inlineStr">
        <is>
          <t>2026-09-30</t>
        </is>
      </c>
      <c r="M60" s="9" t="inlineStr">
        <is>
          <t>confirmed</t>
        </is>
      </c>
      <c r="N60" s="10" t="inlineStr">
        <is>
          <t>Late CBL payment: 36% (with existing debt) and 45% (without). CBLs induced delinquency on pre-existing loans for those already indebted. Take-up reveals positive selection (takers' scores improve vs non-takers). LESSON: a forced-savings/credit-builder product helps thin-file users but is not a clean repayment predictor, and it harms those already carrying debt.</t>
        </is>
      </c>
    </row>
    <row r="61">
      <c r="A61" s="9" t="inlineStr">
        <is>
          <t>EVD-02</t>
        </is>
      </c>
      <c r="B61" s="9" t="inlineStr">
        <is>
          <t>Savings -&gt; repayment evidence</t>
        </is>
      </c>
      <c r="C61" s="10" t="inlineStr">
        <is>
          <t>Delivery-app transaction data predict creditworthiness for no-bureau-history borrowers</t>
        </is>
      </c>
      <c r="D61" s="9" t="inlineStr"/>
      <c r="E61" s="9" t="inlineStr"/>
      <c r="F61" s="10" t="inlineStr">
        <is>
          <t>RappiCard Mexico applicants</t>
        </is>
      </c>
      <c r="G61" s="9" t="inlineStr">
        <is>
          <t>2024-11 (rev. 2026-04)</t>
        </is>
      </c>
      <c r="H61" s="9" t="inlineStr"/>
      <c r="I61" s="9" t="inlineStr">
        <is>
          <t>Chioda, Gertler, Higgins &amp; Medina, 'FinTech Lending to Borrowers with No Credit History', NBER w33208</t>
        </is>
      </c>
      <c r="J61" s="9" t="inlineStr">
        <is>
          <t>https://www.nber.org/papers/w33208</t>
        </is>
      </c>
      <c r="K61" s="9" t="inlineStr">
        <is>
          <t>2024-11</t>
        </is>
      </c>
      <c r="L61" s="9" t="inlineStr">
        <is>
          <t>2026-09-30</t>
        </is>
      </c>
      <c r="M61" s="9" t="inlineStr">
        <is>
          <t>confirmed</t>
        </is>
      </c>
      <c r="N61" s="10" t="inlineStr">
        <is>
          <t>Strongest academic support for using platform/app behaviour (not specifically savings) to underwrite thin-file users. Direct evidence that SAVINGS behaviour predicts repayment in India's gig segment: none found - unverified.</t>
        </is>
      </c>
    </row>
    <row r="62">
      <c r="A62" s="9" t="inlineStr">
        <is>
          <t>EVD-03</t>
        </is>
      </c>
      <c r="B62" s="9" t="inlineStr">
        <is>
          <t>Savings -&gt; repayment evidence (India)</t>
        </is>
      </c>
      <c r="C62" s="10" t="inlineStr">
        <is>
          <t>Savings-linked SHG bank loans NPA vs microfinance (JLG) NPA</t>
        </is>
      </c>
      <c r="D62" s="9" t="inlineStr">
        <is>
          <t>SHG-BLP 2.05% vs microfinance sector 8.72%</t>
        </is>
      </c>
      <c r="E62" s="9" t="inlineStr">
        <is>
          <t>% of loans outstanding</t>
        </is>
      </c>
      <c r="F62" s="10" t="inlineStr">
        <is>
          <t>Bank loans to SHGs (77.4 lakh credit-linked SHGs, Rs 2.60 lakh cr o/s) vs all microfinance lenders (CRIF MicroLend)</t>
        </is>
      </c>
      <c r="G62" s="9" t="inlineStr">
        <is>
          <t>2024-03-31</t>
        </is>
      </c>
      <c r="H62" s="9" t="inlineStr">
        <is>
          <t>gross NPA</t>
        </is>
      </c>
      <c r="I62" s="9" t="inlineStr">
        <is>
          <t>NABARD, Status of Microfinance in India 2023-24 (Tables 1.5, 1.7, 2.5)</t>
        </is>
      </c>
      <c r="J62" s="9" t="inlineStr">
        <is>
          <t>https://www.nabard.org/auth/writereaddata/tender/0808244223NABARD-SOMFI%20%20%20%20%20%20%20%2020232024%20%20%20%20%20%2030072024.pdf</t>
        </is>
      </c>
      <c r="K62" s="9" t="inlineStr">
        <is>
          <t>2024-07-30</t>
        </is>
      </c>
      <c r="L62" s="9" t="inlineStr">
        <is>
          <t>2026-09-30</t>
        </is>
      </c>
      <c r="M62" s="9" t="inlineStr">
        <is>
          <t>confirmed</t>
        </is>
      </c>
      <c r="N62" s="10" t="inlineStr">
        <is>
          <t>SHG NPA was 2.79% at Mar 2023. SHGs save for months before bank credit (144.2 lakh savings-linked, Rs 65,089 cr savings). CORRELATIONAL ONLY: SHGs differ in region, group liability, subsidy and lender mix; not proof that savings cause repayment. MFI NPA by lender Mar 2024: NBFC-MFI 6.31%, banks 11.76%, SFB 16.72%.</t>
        </is>
      </c>
    </row>
    <row r="63">
      <c r="A63" s="9" t="inlineStr">
        <is>
          <t>SEG-01</t>
        </is>
      </c>
      <c r="B63" s="9" t="inlineStr">
        <is>
          <t>Segment size</t>
        </is>
      </c>
      <c r="C63" s="10" t="inlineStr">
        <is>
          <t>Gig workers 7.7M in 2020-21, projected 23.5M by 2029-30</t>
        </is>
      </c>
      <c r="D63" s="9" t="inlineStr">
        <is>
          <t>7.7 -&gt; 23.5</t>
        </is>
      </c>
      <c r="E63" s="9" t="inlineStr">
        <is>
          <t>million workers</t>
        </is>
      </c>
      <c r="F63" s="10" t="inlineStr">
        <is>
          <t>gig workers (platform + non-platform), India; NITI estimate</t>
        </is>
      </c>
      <c r="G63" s="9" t="inlineStr">
        <is>
          <t>2020-21 / 2029-30 projection</t>
        </is>
      </c>
      <c r="H63" s="9" t="inlineStr"/>
      <c r="I63" s="9" t="inlineStr">
        <is>
          <t>NITI Aayog, India's Booming Gig and Platform Economy</t>
        </is>
      </c>
      <c r="J63" s="9" t="inlineStr">
        <is>
          <t>https://www.niti.gov.in/sites/default/files/2022-06/25th_June_Final_Report_27062022.pdf</t>
        </is>
      </c>
      <c r="K63" s="9" t="inlineStr">
        <is>
          <t>2022-06-27</t>
        </is>
      </c>
      <c r="L63" s="9" t="inlineStr">
        <is>
          <t>2026-09-30</t>
        </is>
      </c>
      <c r="M63" s="9" t="inlineStr">
        <is>
          <t>confirmed</t>
        </is>
      </c>
      <c r="N63" s="10" t="inlineStr">
        <is>
          <t>7.7M = 2.6% of non-agricultural workforce (report). 23.5M = 4.1% of total livelihood (report). Includes non-platform gig work, so delivery/ride-hailing is a subset. Government later cites NITI as 'over 1 crore in 2024-25'.</t>
        </is>
      </c>
    </row>
    <row r="64">
      <c r="A64" s="9" t="inlineStr">
        <is>
          <t>SEG-02</t>
        </is>
      </c>
      <c r="B64" s="9" t="inlineStr">
        <is>
          <t>e-Shram</t>
        </is>
      </c>
      <c r="C64" s="10" t="inlineStr">
        <is>
          <t>Total e-Shram registrations</t>
        </is>
      </c>
      <c r="D64" s="9" t="inlineStr">
        <is>
          <t>31.89</t>
        </is>
      </c>
      <c r="E64" s="9" t="inlineStr">
        <is>
          <t>crore registrations</t>
        </is>
      </c>
      <c r="F64" s="10" t="inlineStr">
        <is>
          <t>unorganised workers registered on e-Shram, cumulative, as of 18 Aug 2026</t>
        </is>
      </c>
      <c r="G64" s="9" t="inlineStr">
        <is>
          <t>2026-08-18</t>
        </is>
      </c>
      <c r="H64" s="9" t="inlineStr">
        <is>
          <t>gross (cumulative registrations)</t>
        </is>
      </c>
      <c r="I64" s="9" t="inlineStr">
        <is>
          <t>Organiser: E-Shram portal turns 5: 31.89 crore unorganised workers registered</t>
        </is>
      </c>
      <c r="J64" s="9" t="inlineStr">
        <is>
          <t>https://organiser.org/2026/08/29/377578/bharat/five-years-of-e-shram-31-89-crore-unorganised-workers-join-indias-digital-social-security-net/</t>
        </is>
      </c>
      <c r="K64" s="9" t="inlineStr">
        <is>
          <t>2026-08-29</t>
        </is>
      </c>
      <c r="L64" s="9" t="inlineStr">
        <is>
          <t>2026-09-30</t>
        </is>
      </c>
      <c r="M64" s="9" t="inlineStr">
        <is>
          <t>confirmed</t>
        </is>
      </c>
      <c r="N64" s="10" t="inlineStr">
        <is>
          <t>Women 54.28%; age 18-40 55.2%. 31 crore+ at 1 Dec 2025 (News On AIR). Organiser is a partisan outlet quoting ministry data; figure consistent with News On AIR.</t>
        </is>
      </c>
    </row>
    <row r="65">
      <c r="A65" s="9" t="inlineStr">
        <is>
          <t>SEG-03</t>
        </is>
      </c>
      <c r="B65" s="9" t="inlineStr">
        <is>
          <t>e-Shram</t>
        </is>
      </c>
      <c r="C65" s="10" t="inlineStr">
        <is>
          <t>Gig and platform workers registered on e-Shram</t>
        </is>
      </c>
      <c r="D65" s="9" t="inlineStr">
        <is>
          <t>5.09 lakh (1 Dec 2025); 10.5 lakh (23 Jan 2026); 10-12 lakh (29 Jun 2026); ~11.5 lakh (Aug 2026)</t>
        </is>
      </c>
      <c r="E65" s="9" t="inlineStr">
        <is>
          <t>workers</t>
        </is>
      </c>
      <c r="F65" s="10" t="inlineStr">
        <is>
          <t>gig/platform workers registered on e-Shram, cumulative</t>
        </is>
      </c>
      <c r="G65" s="9" t="inlineStr">
        <is>
          <t>2026-08</t>
        </is>
      </c>
      <c r="H65" s="9" t="inlineStr">
        <is>
          <t>gross (cumulative)</t>
        </is>
      </c>
      <c r="I65" s="9" t="inlineStr">
        <is>
          <t>News On AIR 2025-12-01; Medianama 2026-01-30 (Rajya Sabha reply); The Tribune 2026-06-29</t>
        </is>
      </c>
      <c r="J65" s="9" t="inlineStr">
        <is>
          <t>https://www.medianama.com/2026/01/223-maharashtra-e-shram-platform-workers-small-states-lag/</t>
        </is>
      </c>
      <c r="K65" s="9" t="inlineStr">
        <is>
          <t>2026-01-30</t>
        </is>
      </c>
      <c r="L65" s="9" t="inlineStr">
        <is>
          <t>2026-09-30</t>
        </is>
      </c>
      <c r="M65" s="9" t="inlineStr">
        <is>
          <t>contradicted</t>
        </is>
      </c>
      <c r="N65" s="10" t="inlineStr">
        <is>
          <t>Series is not monotonic across sources: Business Standard (2025-04-22) quoted Mandaviya saying 'one million gig workers registered' in Apr 2025, yet News On AIR says 5.09 lakh on 1 Dec 2025. Use ~10-12 lakh (mid-2026) as the current figure. Registration drives: Apr, May, Aug-Sep 2025. Social Security (Central) Rules 2026 notified 8 May 2026; aggregators had 45 days to upload worker data. 20 aggregators onboarded (Zomato, Blinkit, Swiggy, Zepto, Uber, Ola, Rapido, Amazon, Porter, Urban Company...).</t>
        </is>
      </c>
    </row>
    <row r="66">
      <c r="A66" s="9" t="inlineStr">
        <is>
          <t>SEG-04</t>
        </is>
      </c>
      <c r="B66" s="9" t="inlineStr">
        <is>
          <t>e-Shram (Delhi)</t>
        </is>
      </c>
      <c r="C66" s="10" t="inlineStr">
        <is>
          <t>Platform workers registered on e-Shram in Delhi</t>
        </is>
      </c>
      <c r="D66" s="9" t="inlineStr">
        <is>
          <t>49,479</t>
        </is>
      </c>
      <c r="E66" s="9" t="inlineStr">
        <is>
          <t>workers</t>
        </is>
      </c>
      <c r="F66" s="10" t="inlineStr">
        <is>
          <t>platform workers registered on e-Shram, Delhi (NCT only, excludes Gurugram/Noida)</t>
        </is>
      </c>
      <c r="G66" s="9" t="inlineStr">
        <is>
          <t>2026-01-23</t>
        </is>
      </c>
      <c r="H66" s="9" t="inlineStr">
        <is>
          <t>gross (cumulative)</t>
        </is>
      </c>
      <c r="I66" s="9" t="inlineStr">
        <is>
          <t>Medianama: Maharashtra tops platform workers' registrations on e-Shram (Rajya Sabha reply)</t>
        </is>
      </c>
      <c r="J66" s="9" t="inlineStr">
        <is>
          <t>https://www.medianama.com/2026/01/223-maharashtra-e-shram-platform-workers-small-states-lag/</t>
        </is>
      </c>
      <c r="K66" s="9" t="inlineStr">
        <is>
          <t>2026-01-30</t>
        </is>
      </c>
      <c r="L66" s="9" t="inlineStr">
        <is>
          <t>2026-09-30</t>
        </is>
      </c>
      <c r="M66" s="9" t="inlineStr">
        <is>
          <t>confirmed</t>
        </is>
      </c>
      <c r="N66" s="10" t="inlineStr">
        <is>
          <t>Haryana 20,375; UP 130,505 (state-wide; NCR share not split); Maharashtra 134,705; Bihar 109,207; Karnataka 37,871. National total ~10.5 lakh. Registration heavily under-counts active workers.</t>
        </is>
      </c>
    </row>
    <row r="67">
      <c r="A67" s="9" t="inlineStr">
        <is>
          <t>SEG-05</t>
        </is>
      </c>
      <c r="B67" s="9" t="inlineStr">
        <is>
          <t>Platform workforce</t>
        </is>
      </c>
      <c r="C67" s="10" t="inlineStr">
        <is>
          <t>Swiggy average monthly transacting delivery partners</t>
        </is>
      </c>
      <c r="D67" s="9" t="inlineStr">
        <is>
          <t>648,000 (Q1 FY27); 606k/691k/687k/612k in Q1-Q4 FY26</t>
        </is>
      </c>
      <c r="E67" s="9" t="inlineStr">
        <is>
          <t>delivery partners</t>
        </is>
      </c>
      <c r="F67" s="10" t="inlineStr">
        <is>
          <t>unique delivery partners delivering &gt;=1 order in a month, averaged over the quarter (Swiggy definition)</t>
        </is>
      </c>
      <c r="G67" s="9" t="inlineStr">
        <is>
          <t>2026-06-30</t>
        </is>
      </c>
      <c r="H67" s="9" t="inlineStr"/>
      <c r="I67" s="9" t="inlineStr">
        <is>
          <t>Swiggy Q1 FY2027 Shareholder Letter</t>
        </is>
      </c>
      <c r="J67" s="9" t="inlineStr">
        <is>
          <t>https://www.swiggy.com/corporate/wp-content/uploads/2026/07/Q1-FY2027-Shareholder-letter.pdf</t>
        </is>
      </c>
      <c r="K67" s="9" t="inlineStr">
        <is>
          <t>2026-07-30</t>
        </is>
      </c>
      <c r="L67" s="9" t="inlineStr">
        <is>
          <t>2026-09-30</t>
        </is>
      </c>
      <c r="M67" s="9" t="inlineStr">
        <is>
          <t>confirmed</t>
        </is>
      </c>
      <c r="N67" s="10" t="inlineStr">
        <is>
          <t>Primary source. Covers food delivery + Instamart. City split (Delhi NCR) not disclosed.</t>
        </is>
      </c>
    </row>
    <row r="68">
      <c r="A68" s="9" t="inlineStr">
        <is>
          <t>SEG-06</t>
        </is>
      </c>
      <c r="B68" s="9" t="inlineStr">
        <is>
          <t>Platform workforce</t>
        </is>
      </c>
      <c r="C68" s="10" t="inlineStr">
        <is>
          <t>Zomato food-delivery average monthly active delivery partners</t>
        </is>
      </c>
      <c r="D68" s="9" t="inlineStr">
        <is>
          <t>4.73 lakh (FY25) vs 4.0 lakh (FY24)</t>
        </is>
      </c>
      <c r="E68" s="9" t="inlineStr">
        <is>
          <t>delivery partners</t>
        </is>
      </c>
      <c r="F68" s="10" t="inlineStr">
        <is>
          <t>average monthly active delivery partners, Zomato food delivery</t>
        </is>
      </c>
      <c r="G68" s="9" t="inlineStr">
        <is>
          <t>FY25</t>
        </is>
      </c>
      <c r="H68" s="9" t="inlineStr"/>
      <c r="I68" s="9" t="inlineStr">
        <is>
          <t>Medianama: Eternal FY25 annual report highlights</t>
        </is>
      </c>
      <c r="J68" s="9" t="inlineStr">
        <is>
          <t>https://www.medianama.com/2025/07/223-eternal-fy25-annual-report-highlights-zomato-blinkit/</t>
        </is>
      </c>
      <c r="K68" s="9" t="inlineStr">
        <is>
          <t>2025-07</t>
        </is>
      </c>
      <c r="L68" s="9" t="inlineStr">
        <is>
          <t>2026-09-30</t>
        </is>
      </c>
      <c r="M68" s="9" t="inlineStr">
        <is>
          <t>confirmed</t>
        </is>
      </c>
      <c r="N68" s="10" t="inlineStr">
        <is>
          <t>Per Eternal FY25 annual report (via Medianama/search snippet). Eternal Q4FY26 letter: 'livelihoods for over 1 million delivery partners' (unique, all businesses); 'close to 25% of our monthly active delivery partners' in Delhi NCR ride EVs; active EV partners 100,000+ (Mar 2026). Delhi NCR headcount not disclosed.</t>
        </is>
      </c>
    </row>
    <row r="69">
      <c r="A69" s="9" t="inlineStr">
        <is>
          <t>SEG-07</t>
        </is>
      </c>
      <c r="B69" s="9" t="inlineStr">
        <is>
          <t>Platform workforce</t>
        </is>
      </c>
      <c r="C69" s="10" t="inlineStr">
        <is>
          <t>Blinkit average monthly active delivery partners</t>
        </is>
      </c>
      <c r="D69" s="9" t="inlineStr">
        <is>
          <t>409,000</t>
        </is>
      </c>
      <c r="E69" s="9" t="inlineStr">
        <is>
          <t>delivery partners</t>
        </is>
      </c>
      <c r="F69" s="10" t="inlineStr">
        <is>
          <t>average monthly active delivery partners, Eternal quick commerce, Q4 FY26</t>
        </is>
      </c>
      <c r="G69" s="9" t="inlineStr">
        <is>
          <t>2026-03-31</t>
        </is>
      </c>
      <c r="H69" s="9" t="inlineStr"/>
      <c r="I69" s="9" t="inlineStr">
        <is>
          <t>Indian Startup News: A full picture of Eternal's Q4 FY26 results</t>
        </is>
      </c>
      <c r="J69" s="9" t="inlineStr">
        <is>
          <t>https://indianstartupnews.com/news/a-full-picture-of-eternals-q4-fy26-results-from-blinkit-to-zomato-and-beyond-11775239</t>
        </is>
      </c>
      <c r="K69" s="9" t="inlineStr">
        <is>
          <t>2026-04-28</t>
        </is>
      </c>
      <c r="L69" s="9" t="inlineStr">
        <is>
          <t>2026-09-30</t>
        </is>
      </c>
      <c r="M69" s="9" t="inlineStr">
        <is>
          <t>confirmed</t>
        </is>
      </c>
      <c r="N69" s="10" t="inlineStr">
        <is>
          <t>Not in the Q4FY26 shareholder letter text itself (likely the KPI sheet). Riders multi-app, so platform counts cannot be summed into unique workers.</t>
        </is>
      </c>
    </row>
    <row r="70">
      <c r="A70" s="9" t="inlineStr">
        <is>
          <t>SEG-08</t>
        </is>
      </c>
      <c r="B70" s="9" t="inlineStr">
        <is>
          <t>Platform workforce</t>
        </is>
      </c>
      <c r="C70" s="10" t="inlineStr">
        <is>
          <t>Zepto average active delivery partners (DRHP)</t>
        </is>
      </c>
      <c r="D70" s="9" t="inlineStr">
        <is>
          <t>286,670</t>
        </is>
      </c>
      <c r="E70" s="9" t="inlineStr">
        <is>
          <t>delivery partners</t>
        </is>
      </c>
      <c r="F70" s="10" t="inlineStr">
        <is>
          <t>average active delivery partners, period per DRHP (not confirmed)</t>
        </is>
      </c>
      <c r="G70" s="9" t="inlineStr">
        <is>
          <t>2026 (DRHP)</t>
        </is>
      </c>
      <c r="H70" s="9" t="inlineStr"/>
      <c r="I70" s="9" t="inlineStr">
        <is>
          <t>IPO Platform: Zepto Limited files DRHP</t>
        </is>
      </c>
      <c r="J70" s="9" t="inlineStr">
        <is>
          <t>https://www.ipoplatform.com/Funding-news/zepto-limited</t>
        </is>
      </c>
      <c r="K70" s="9" t="inlineStr"/>
      <c r="L70" s="9" t="inlineStr">
        <is>
          <t>2026-09-30</t>
        </is>
      </c>
      <c r="M70" s="9" t="inlineStr">
        <is>
          <t>unverified</t>
        </is>
      </c>
      <c r="N70" s="10" t="inlineStr">
        <is>
          <t>Secondary aggregator only; ~2.33M orders/day. Period and definition not confirmed from the DRHP.</t>
        </is>
      </c>
    </row>
    <row r="71">
      <c r="A71" s="9" t="inlineStr">
        <is>
          <t>SEG-09</t>
        </is>
      </c>
      <c r="B71" s="9" t="inlineStr">
        <is>
          <t>Platform workforce</t>
        </is>
      </c>
      <c r="C71" s="10" t="inlineStr">
        <is>
          <t>Ride-hailing driver counts (Uber, Ola, Rapido)</t>
        </is>
      </c>
      <c r="D71" s="9" t="inlineStr">
        <is>
          <t>Uber: '1.5M+ driver partners' in 2025 (claim); Rapido: '5M registered captains' (blog); Ola: not found</t>
        </is>
      </c>
      <c r="E71" s="9" t="inlineStr">
        <is>
          <t>drivers</t>
        </is>
      </c>
      <c r="F71" s="10" t="inlineStr">
        <is>
          <t>registered or ever-active drivers, not monthly active</t>
        </is>
      </c>
      <c r="G71" s="9" t="inlineStr">
        <is>
          <t>2025-2026</t>
        </is>
      </c>
      <c r="H71" s="9" t="inlineStr">
        <is>
          <t>gross</t>
        </is>
      </c>
      <c r="I71" s="9" t="inlineStr">
        <is>
          <t>Search snippets (Uber India newsroom; founderpin blog)</t>
        </is>
      </c>
      <c r="J71" s="9" t="inlineStr">
        <is>
          <t>https://www.uber.com/en-IN/newsroom/news</t>
        </is>
      </c>
      <c r="K71" s="9" t="inlineStr"/>
      <c r="L71" s="9" t="inlineStr">
        <is>
          <t>2026-09-30</t>
        </is>
      </c>
      <c r="M71" s="9" t="inlineStr">
        <is>
          <t>unverified</t>
        </is>
      </c>
      <c r="N71" s="10" t="inlineStr">
        <is>
          <t>No reputable source gives monthly-active driver counts for Uber, Ola or Rapido in India, or any Delhi NCR split. Do not use in the model without a primary source.</t>
        </is>
      </c>
    </row>
    <row r="72">
      <c r="A72" s="9" t="inlineStr">
        <is>
          <t>INC-01</t>
        </is>
      </c>
      <c r="B72" s="9" t="inlineStr">
        <is>
          <t>Income</t>
        </is>
      </c>
      <c r="C72" s="10" t="inlineStr">
        <is>
          <t>Delivery driver earnings, full-time equivalent: gross Rs 27,814/month, net Rs 18,761/month after 32% operating cost; 62 hrs/week; net Rs 75/hr</t>
        </is>
      </c>
      <c r="D72" s="9" t="inlineStr">
        <is>
          <t>27,814 gross / 18,761 net</t>
        </is>
      </c>
      <c r="E72" s="9" t="inlineStr">
        <is>
          <t>INR per month</t>
        </is>
      </c>
      <c r="F72" s="10" t="inlineStr">
        <is>
          <t>2,547 active two-wheeler delivery drivers of one Indian platform (phone survey, 2024); FTE workers</t>
        </is>
      </c>
      <c r="G72" s="9" t="inlineStr">
        <is>
          <t>2024</t>
        </is>
      </c>
      <c r="H72" s="9" t="inlineStr">
        <is>
          <t>both</t>
        </is>
      </c>
      <c r="I72" s="9" t="inlineStr">
        <is>
          <t>IDinsight: The changing landscape of work - insights into India's delivery platform gig workforce</t>
        </is>
      </c>
      <c r="J72" s="9" t="inlineStr">
        <is>
          <t>https://www.idinsight.org/article/the-changing-landscape-of-work-insights-into-indias-delivery-platform-gig-workforce/</t>
        </is>
      </c>
      <c r="K72" s="9" t="inlineStr">
        <is>
          <t>2025-03-24</t>
        </is>
      </c>
      <c r="L72" s="9" t="inlineStr">
        <is>
          <t>2026-09-30</t>
        </is>
      </c>
      <c r="M72" s="9" t="inlineStr">
        <is>
          <t>confirmed</t>
        </is>
      </c>
      <c r="N72" s="10" t="inlineStr">
        <is>
          <t>77% work &lt;=8 hrs/day (part-time); 23% students; 50-51% migrants; avg age 28; &lt;1% women; avg 1.69 income sources; avg tenure ~13 months; 57% joined out of economic necessity. Full sample: gross Rs 170/hr, net Rs 115/hr (vs casual urban labour Rs 62.3/hr). EV users earn ~20% more. TENURE ~13 MONTHS is a key churn input for a savings product.</t>
        </is>
      </c>
    </row>
    <row r="73">
      <c r="A73" s="9" t="inlineStr">
        <is>
          <t>INC-02</t>
        </is>
      </c>
      <c r="B73" s="9" t="inlineStr">
        <is>
          <t>Borrowing behaviour</t>
        </is>
      </c>
      <c r="C73" s="10" t="inlineStr">
        <is>
          <t>Half of drivers who owned assets before joining had borrowed to buy them; close to a third of borrowers missed at least one repayment</t>
        </is>
      </c>
      <c r="D73" s="9" t="inlineStr">
        <is>
          <t>50% borrowed; ~33% missed &gt;=1 repayment</t>
        </is>
      </c>
      <c r="E73" s="9" t="inlineStr">
        <is>
          <t>% of respondents</t>
        </is>
      </c>
      <c r="F73" s="10" t="inlineStr">
        <is>
          <t>IDinsight 2024 sample of 2,547 active delivery drivers (asset owners pre-platform)</t>
        </is>
      </c>
      <c r="G73" s="9" t="inlineStr">
        <is>
          <t>2024</t>
        </is>
      </c>
      <c r="H73" s="9" t="inlineStr"/>
      <c r="I73" s="9" t="inlineStr">
        <is>
          <t>IDR: What the data reveals about India's gig workers (IDinsight study)</t>
        </is>
      </c>
      <c r="J73" s="9" t="inlineStr">
        <is>
          <t>https://idronline.org/article/livelihoods/what-the-data-reveals-about-indias-gig-workers/</t>
        </is>
      </c>
      <c r="K73" s="9" t="inlineStr">
        <is>
          <t>2025</t>
        </is>
      </c>
      <c r="L73" s="9" t="inlineStr">
        <is>
          <t>2026-09-30</t>
        </is>
      </c>
      <c r="M73" s="9" t="inlineStr">
        <is>
          <t>confirmed</t>
        </is>
      </c>
      <c r="N73" s="10" t="inlineStr">
        <is>
          <t>99% had a bank account and 95% a smartphone before joining; 73% owned a vehicle. Direct input for underwriting expectations: repayment stress is common before any new loan.</t>
        </is>
      </c>
    </row>
    <row r="74">
      <c r="A74" s="9" t="inlineStr">
        <is>
          <t>INC-03</t>
        </is>
      </c>
      <c r="B74" s="9" t="inlineStr">
        <is>
          <t>Income</t>
        </is>
      </c>
      <c r="C74" s="10" t="inlineStr">
        <is>
          <t>About 40% of gig workers earn below Rs 15,000 a month</t>
        </is>
      </c>
      <c r="D74" s="9" t="inlineStr">
        <is>
          <t>40</t>
        </is>
      </c>
      <c r="E74" s="9" t="inlineStr">
        <is>
          <t>% of gig workers</t>
        </is>
      </c>
      <c r="F74" s="10" t="inlineStr">
        <is>
          <t>gig workers, India (Economic Survey 2025-26; underlying survey not named in coverage)</t>
        </is>
      </c>
      <c r="G74" s="9" t="inlineStr">
        <is>
          <t>2026-01-29</t>
        </is>
      </c>
      <c r="H74" s="9" t="inlineStr">
        <is>
          <t>unclear (likely net)</t>
        </is>
      </c>
      <c r="I74" s="9" t="inlineStr">
        <is>
          <t>Upstox / Daily Pioneer: 40% of gig workers earn under Rs 15,000 a month - Economic Survey</t>
        </is>
      </c>
      <c r="J74" s="9" t="inlineStr">
        <is>
          <t>https://upstox.com/news/business-news/latest-updates/40-of-gig-workers-earn-under-15-000-a-month-economic-survey-pitches-pay-floors-algorithm-checks/article-188520/</t>
        </is>
      </c>
      <c r="K74" s="9" t="inlineStr">
        <is>
          <t>2026-01-29</t>
        </is>
      </c>
      <c r="L74" s="9" t="inlineStr">
        <is>
          <t>2026-09-30</t>
        </is>
      </c>
      <c r="M74" s="9" t="inlineStr">
        <is>
          <t>confirmed</t>
        </is>
      </c>
      <c r="N74" s="10" t="inlineStr">
        <is>
          <t>Survey also flags income instability and thin-file credit. Coverage cites gig workforce ~12M in FY25 (from 7.7M in FY21).</t>
        </is>
      </c>
    </row>
    <row r="75">
      <c r="A75" s="9" t="inlineStr">
        <is>
          <t>INC-04</t>
        </is>
      </c>
      <c r="B75" s="9" t="inlineStr">
        <is>
          <t>Income</t>
        </is>
      </c>
      <c r="C75" s="10" t="inlineStr">
        <is>
          <t>PAIGAM/IFAT study: 34% of app-based delivery persons earn &lt; Rs 10,000/month; 43% of respondents earn ~Rs 500/day or less; 78% of delivery persons work &gt;10 hrs/day</t>
        </is>
      </c>
      <c r="D75" s="9" t="inlineStr">
        <is>
          <t>34% / 43% / 78%</t>
        </is>
      </c>
      <c r="E75" s="9" t="inlineStr">
        <is>
          <t>% of respondents</t>
        </is>
      </c>
      <c r="F75" s="10" t="inlineStr">
        <is>
          <t>~10,000 app-based cab drivers and delivery persons, 8 cities (PAIGAM + IFAT, tech support UPenn, FES)</t>
        </is>
      </c>
      <c r="G75" s="9" t="inlineStr">
        <is>
          <t>2024-03</t>
        </is>
      </c>
      <c r="H75" s="9" t="inlineStr">
        <is>
          <t>net (after costs, per coverage)</t>
        </is>
      </c>
      <c r="I75" s="9" t="inlineStr">
        <is>
          <t>TGPWU: PAIGAM and UPenn launch study 'Prisoners on Wheels'</t>
        </is>
      </c>
      <c r="J75" s="9" t="inlineStr">
        <is>
          <t>https://tgpwu.org/2024/03/13/prisoners-on-wheels-report/</t>
        </is>
      </c>
      <c r="K75" s="9" t="inlineStr">
        <is>
          <t>2024-03-13</t>
        </is>
      </c>
      <c r="L75" s="9" t="inlineStr">
        <is>
          <t>2026-09-30</t>
        </is>
      </c>
      <c r="M75" s="9" t="inlineStr">
        <is>
          <t>confirmed</t>
        </is>
      </c>
      <c r="N75" s="10" t="inlineStr">
        <is>
          <t>Advocacy-affiliated study (union partners); figures quoted via union site and NewsClick (NewsClick page not fetchable). 76% of delivery persons struggle to make ends meet; &gt;80% of cab drivers dissatisfied with fares. Brief called this 'Janwani/People's Association in Grassroots Action and Movements' - the study is PAIGAM with IFAT; Janpahal link unverified.</t>
        </is>
      </c>
    </row>
    <row r="76">
      <c r="A76" s="9" t="inlineStr">
        <is>
          <t>INC-05</t>
        </is>
      </c>
      <c r="B76" s="9" t="inlineStr">
        <is>
          <t>Income</t>
        </is>
      </c>
      <c r="C76" s="10" t="inlineStr">
        <is>
          <t>NCAER: real earnings of food-delivery workers fell 11% to Rs 11,963/month in 2022 vs 2019</t>
        </is>
      </c>
      <c r="D76" s="9" t="inlineStr">
        <is>
          <t>11,963</t>
        </is>
      </c>
      <c r="E76" s="9" t="inlineStr">
        <is>
          <t>INR per month (real)</t>
        </is>
      </c>
      <c r="F76" s="10" t="inlineStr">
        <is>
          <t>924 food-delivery workers surveyed by NCAER</t>
        </is>
      </c>
      <c r="G76" s="9" t="inlineStr">
        <is>
          <t>2022</t>
        </is>
      </c>
      <c r="H76" s="9" t="inlineStr">
        <is>
          <t>net (real)</t>
        </is>
      </c>
      <c r="I76" s="9" t="inlineStr">
        <is>
          <t>Outlook Business: Pay, education, demographics - India's 1 crore gig workers</t>
        </is>
      </c>
      <c r="J76" s="9" t="inlineStr">
        <is>
          <t>https://www.outlookbusiness.com/news/pay-education-demographics-what-the-numbers-say-about-indias-1-crore-gig-workers</t>
        </is>
      </c>
      <c r="K76" s="9" t="inlineStr">
        <is>
          <t>2026-01-03</t>
        </is>
      </c>
      <c r="L76" s="9" t="inlineStr">
        <is>
          <t>2026-09-30</t>
        </is>
      </c>
      <c r="M76" s="9" t="inlineStr">
        <is>
          <t>confirmed</t>
        </is>
      </c>
      <c r="N76" s="10" t="inlineStr">
        <is>
          <t>Secondary report of NCAER; primary NCAER report not fetched. NCAER-Prosus report: food-delivery direct employment 1.37M in FY24 (1.08M FY22). Zomato says avg hourly earnings Rs 102 (2025) vs Rs 92 (2024) - company claim.</t>
        </is>
      </c>
    </row>
    <row r="77">
      <c r="A77" s="9" t="inlineStr">
        <is>
          <t>INC-06</t>
        </is>
      </c>
      <c r="B77" s="9" t="inlineStr">
        <is>
          <t>Income volatility</t>
        </is>
      </c>
      <c r="C77" s="10" t="inlineStr">
        <is>
          <t>Platform-worker income collapsed in a shock: 50% earned Rs 23,270-30,180 in Mar 2020; 66% earned &lt; Rs 8,300 in Aug 2020</t>
        </is>
      </c>
      <c r="D77" s="9" t="inlineStr"/>
      <c r="E77" s="9" t="inlineStr">
        <is>
          <t>% of respondents by income band</t>
        </is>
      </c>
      <c r="F77" s="10" t="inlineStr">
        <is>
          <t>Flourish Ventures India Spotlight survey of platform workers, Mar vs Aug 2020 (via Dvara Research)</t>
        </is>
      </c>
      <c r="G77" s="9" t="inlineStr">
        <is>
          <t>2020</t>
        </is>
      </c>
      <c r="H77" s="9" t="inlineStr">
        <is>
          <t>household monthly income</t>
        </is>
      </c>
      <c r="I77" s="9" t="inlineStr">
        <is>
          <t>Dvara Research: Literature Review - Finances of Platform Workers in India</t>
        </is>
      </c>
      <c r="J77" s="9" t="inlineStr">
        <is>
          <t>https://dvararesearch.com/wp-content/uploads/2024/01/Literature-Review-Finances-of-Platform-Workers-in-India.pdf</t>
        </is>
      </c>
      <c r="K77" s="9" t="inlineStr">
        <is>
          <t>2024-01</t>
        </is>
      </c>
      <c r="L77" s="9" t="inlineStr">
        <is>
          <t>2026-09-30</t>
        </is>
      </c>
      <c r="M77" s="9" t="inlineStr">
        <is>
          <t>confirmed</t>
        </is>
      </c>
      <c r="N77" s="10" t="inlineStr">
        <is>
          <t>COVID shock, not normal volatility. Dvara notes the literature lacks good measures of month-to-month volatility for Indian platform workers. BCG (2020): 78% of platform workers earned &lt; Rs 20,000/month, average Rs 16,000.</t>
        </is>
      </c>
    </row>
    <row r="78">
      <c r="A78" s="9" t="inlineStr">
        <is>
          <t>INC-07</t>
        </is>
      </c>
      <c r="B78" s="9" t="inlineStr">
        <is>
          <t>Borrowing behaviour</t>
        </is>
      </c>
      <c r="C78" s="10" t="inlineStr">
        <is>
          <t>Of 600 platform workers: 20% rely on friends/family and 8% on moneylenders for credit; 40% had a credit score of 300-400</t>
        </is>
      </c>
      <c r="D78" s="9" t="inlineStr">
        <is>
          <t>20% / 8% / 40%</t>
        </is>
      </c>
      <c r="E78" s="9" t="inlineStr">
        <is>
          <t>% of respondents</t>
        </is>
      </c>
      <c r="F78" s="10" t="inlineStr">
        <is>
          <t>survey of 600 platform workers in India (Shah, 2020, cited by Dvara)</t>
        </is>
      </c>
      <c r="G78" s="9" t="inlineStr">
        <is>
          <t>2020</t>
        </is>
      </c>
      <c r="H78" s="9" t="inlineStr"/>
      <c r="I78" s="9" t="inlineStr">
        <is>
          <t>Dvara Research: Literature Review - Finances of Platform Workers in India</t>
        </is>
      </c>
      <c r="J78" s="9" t="inlineStr">
        <is>
          <t>https://dvararesearch.com/wp-content/uploads/2024/01/Literature-Review-Finances-of-Platform-Workers-in-India.pdf</t>
        </is>
      </c>
      <c r="K78" s="9" t="inlineStr">
        <is>
          <t>2024-01</t>
        </is>
      </c>
      <c r="L78" s="9" t="inlineStr">
        <is>
          <t>2026-09-30</t>
        </is>
      </c>
      <c r="M78" s="9" t="inlineStr">
        <is>
          <t>confirmed</t>
        </is>
      </c>
      <c r="N78" s="10" t="inlineStr">
        <is>
          <t>Old (2020) and small. Other studies in the review: 97% Jan Dhan ownership but 80% zero-balance, chit funds and informal moneylenders used instead (diary study). LEAD at Krea: 62% lacked emergency funds (via secondary, unverified). No robust India-wide data on chit/BNPL/platform-advance usage by riders found.</t>
        </is>
      </c>
    </row>
    <row r="79">
      <c r="A79" s="9" t="inlineStr">
        <is>
          <t>INC-08</t>
        </is>
      </c>
      <c r="B79" s="9" t="inlineStr">
        <is>
          <t>Working conditions</t>
        </is>
      </c>
      <c r="C79" s="10" t="inlineStr">
        <is>
          <t>Fairwork India 2024: only BigBasket and Urban Company evidenced a local-minimum-wage floor after costs; no platform scored above 6/10</t>
        </is>
      </c>
      <c r="D79" s="9" t="inlineStr">
        <is>
          <t>2 of 11</t>
        </is>
      </c>
      <c r="E79" s="9" t="inlineStr">
        <is>
          <t>platforms</t>
        </is>
      </c>
      <c r="F79" s="10" t="inlineStr">
        <is>
          <t>11 Indian platforms rated by Fairwork India</t>
        </is>
      </c>
      <c r="G79" s="9" t="inlineStr">
        <is>
          <t>2024</t>
        </is>
      </c>
      <c r="H79" s="9" t="inlineStr"/>
      <c r="I79" s="9" t="inlineStr">
        <is>
          <t>Fairwork India Ratings 2024</t>
        </is>
      </c>
      <c r="J79" s="9" t="inlineStr">
        <is>
          <t>https://fair.work/en/fw/publications/fairwork-india-ratings-2024-labour-standards-in-the-platform-economy/</t>
        </is>
      </c>
      <c r="K79" s="9" t="inlineStr">
        <is>
          <t>2024-10</t>
        </is>
      </c>
      <c r="L79" s="9" t="inlineStr">
        <is>
          <t>2026-09-30</t>
        </is>
      </c>
      <c r="M79" s="9" t="inlineStr">
        <is>
          <t>confirmed</t>
        </is>
      </c>
      <c r="N79" s="10" t="inlineStr">
        <is>
          <t>Swiggy, Zomato, BigBasket, Urban Company 6/10; Zepto 4; Ola, Porter, Uber 0. A 2025 India edition was not found.</t>
        </is>
      </c>
    </row>
    <row r="80">
      <c r="A80" s="9" t="inlineStr">
        <is>
          <t>BM-01</t>
        </is>
      </c>
      <c r="B80" s="9" t="inlineStr">
        <is>
          <t>MF distributor trail</t>
        </is>
      </c>
      <c r="C80" s="10" t="inlineStr">
        <is>
          <t>Liquid fund regular vs direct TER gap (proxy for distributor trail)</t>
        </is>
      </c>
      <c r="D80" s="9" t="inlineStr">
        <is>
          <t>8 bps (ICICI Pru Liquid: 0.25% vs 0.17%); ~12 bps (SBI Liquid: 0.29% vs 0.17%)</t>
        </is>
      </c>
      <c r="E80" s="9" t="inlineStr">
        <is>
          <t>bps per year on AUM</t>
        </is>
      </c>
      <c r="F80" s="10" t="inlineStr">
        <is>
          <t>ICICI Prudential Liquid Fund base TER, 31 Aug 2026; SBI Liquid Fund (Value Research, 2026)</t>
        </is>
      </c>
      <c r="G80" s="9" t="inlineStr">
        <is>
          <t>2026-08-31</t>
        </is>
      </c>
      <c r="H80" s="9" t="inlineStr">
        <is>
          <t>gross (before GST/TDS on commission)</t>
        </is>
      </c>
      <c r="I80" s="9" t="inlineStr">
        <is>
          <t>ICICI Prudential Liquid Fund factsheet (Aug 2026)</t>
        </is>
      </c>
      <c r="J80" s="9" t="inlineStr">
        <is>
          <t>https://www.icicipruamc.com/blob/knowledgecentre/factsheet-schemes/Schemes/4.%20Debt%20Schemes/ICICI%20Prudential%20Liquid%20Fund.pdf</t>
        </is>
      </c>
      <c r="K80" s="9" t="inlineStr">
        <is>
          <t>2026-08-31</t>
        </is>
      </c>
      <c r="L80" s="9" t="inlineStr">
        <is>
          <t>2026-09-30</t>
        </is>
      </c>
      <c r="M80" s="9" t="inlineStr">
        <is>
          <t>confirmed</t>
        </is>
      </c>
      <c r="N80" s="10" t="inlineStr">
        <is>
          <t>TER gap is an upper bound on trail paid; AMCs do not publish scheme-level trail. SBI figures from Value Research snippet (not fetched). MODEL: base 8 bps, low 5, high 12. On Rs 5,000 avg balance -&gt; Rs 4/user/yr. Generic '0.5-1% gap' claims apply to equity funds, not liquid.</t>
        </is>
      </c>
    </row>
    <row r="81">
      <c r="A81" s="9" t="inlineStr">
        <is>
          <t>BM-02</t>
        </is>
      </c>
      <c r="B81" s="9" t="inlineStr">
        <is>
          <t>MF distributor trail</t>
        </is>
      </c>
      <c r="C81" s="10" t="inlineStr">
        <is>
          <t>Overnight fund regular vs direct TER gap</t>
        </is>
      </c>
      <c r="D81" s="9" t="inlineStr">
        <is>
          <t>6 bps (0.13% vs 0.07%)</t>
        </is>
      </c>
      <c r="E81" s="9" t="inlineStr">
        <is>
          <t>bps per year on AUM</t>
        </is>
      </c>
      <c r="F81" s="10" t="inlineStr">
        <is>
          <t>ICICI Prudential Overnight Fund base TER, 31 Aug 2026</t>
        </is>
      </c>
      <c r="G81" s="9" t="inlineStr">
        <is>
          <t>2026-08-31</t>
        </is>
      </c>
      <c r="H81" s="9" t="inlineStr">
        <is>
          <t>gross</t>
        </is>
      </c>
      <c r="I81" s="9" t="inlineStr">
        <is>
          <t>ICICI Prudential Overnight Fund factsheet (Aug 2026)</t>
        </is>
      </c>
      <c r="J81" s="9" t="inlineStr">
        <is>
          <t>https://www.icicipruamc.com/blob/knowledgecentre/factsheet-schemes/Schemes/4.%20Debt%20Schemes/ICICI%20Prudential%20Overnight%20Fund.pdf</t>
        </is>
      </c>
      <c r="K81" s="9" t="inlineStr">
        <is>
          <t>2026-08-31</t>
        </is>
      </c>
      <c r="L81" s="9" t="inlineStr">
        <is>
          <t>2026-09-30</t>
        </is>
      </c>
      <c r="M81" s="9" t="inlineStr">
        <is>
          <t>confirmed</t>
        </is>
      </c>
      <c r="N81" s="10" t="inlineStr">
        <is>
          <t>MODEL: base 5 bps, low 3, high 8.</t>
        </is>
      </c>
    </row>
    <row r="82">
      <c r="A82" s="9" t="inlineStr">
        <is>
          <t>BM-03</t>
        </is>
      </c>
      <c r="B82" s="9" t="inlineStr">
        <is>
          <t>FD distribution</t>
        </is>
      </c>
      <c r="C82" s="10" t="inlineStr">
        <is>
          <t>FD platform margin ~1% (Stable Money, per anonymous source); Altcase: Rs 300 revenue on a Rs 75,000 FD per year (0.4%)</t>
        </is>
      </c>
      <c r="D82" s="9" t="inlineStr">
        <is>
          <t>~1% / 0.4%</t>
        </is>
      </c>
      <c r="E82" s="9" t="inlineStr">
        <is>
          <t>% of FD amount</t>
        </is>
      </c>
      <c r="F82" s="10" t="inlineStr">
        <is>
          <t>digital FD distribution platforms (Stable Money; Altcase)</t>
        </is>
      </c>
      <c r="G82" s="9" t="inlineStr">
        <is>
          <t>2025-02</t>
        </is>
      </c>
      <c r="H82" s="9" t="inlineStr">
        <is>
          <t>gross revenue to platform</t>
        </is>
      </c>
      <c r="I82" s="9" t="inlineStr">
        <is>
          <t>The CapTable: Inside the digital FD universe (Sohini Mitter)</t>
        </is>
      </c>
      <c r="J82" s="9" t="inlineStr">
        <is>
          <t>https://suryoday.bank.in/cms/uploads/the_captable_com_inside_the_digital_fd_universe_how_fintechs_are_breathing_new_life_into_an_age_old_banking_product_f2569a3940.pdf</t>
        </is>
      </c>
      <c r="K82" s="9" t="inlineStr">
        <is>
          <t>2025-02</t>
        </is>
      </c>
      <c r="L82" s="9" t="inlineStr">
        <is>
          <t>2026-09-30</t>
        </is>
      </c>
      <c r="M82" s="9" t="inlineStr">
        <is>
          <t>unverified</t>
        </is>
      </c>
      <c r="N82" s="10" t="inlineStr">
        <is>
          <t>No bank or platform publishes FD commission rates; ~1% is from 'a person aware of the matter'; whether upfront or annual is not stated. Stable Money's own FY25 operating revenue (4.3 cr) looks inconsistent with 1% on large volumes. MODEL: base 0.5% of FD amount, one-time, low 0.25%, high 1.0%. Stable Money avg FD ticket ~Rs 2.5 lakh (company, Feb 2025).</t>
        </is>
      </c>
    </row>
    <row r="83">
      <c r="A83" s="9" t="inlineStr">
        <is>
          <t>BM-04</t>
        </is>
      </c>
      <c r="B83" s="9" t="inlineStr">
        <is>
          <t>CAC - savings/FD</t>
        </is>
      </c>
      <c r="C83" s="10" t="inlineStr">
        <is>
          <t>CAC per transacting user for a digital FD platform</t>
        </is>
      </c>
      <c r="D83" s="9" t="inlineStr">
        <is>
          <t>5,000</t>
        </is>
      </c>
      <c r="E83" s="9" t="inlineStr">
        <is>
          <t>INR per transacting user</t>
        </is>
      </c>
      <c r="F83" s="10" t="inlineStr">
        <is>
          <t>Altcase (FD platform, pivoted away), per founder</t>
        </is>
      </c>
      <c r="G83" s="9" t="inlineStr">
        <is>
          <t>2025-02</t>
        </is>
      </c>
      <c r="H83" s="9" t="inlineStr"/>
      <c r="I83" s="9" t="inlineStr">
        <is>
          <t>The CapTable: Inside the digital FD universe</t>
        </is>
      </c>
      <c r="J83" s="9" t="inlineStr">
        <is>
          <t>https://suryoday.bank.in/cms/uploads/the_captable_com_inside_the_digital_fd_universe_how_fintechs_are_breathing_new_life_into_an_age_old_banking_product_f2569a3940.pdf</t>
        </is>
      </c>
      <c r="K83" s="9" t="inlineStr">
        <is>
          <t>2025-02</t>
        </is>
      </c>
      <c r="L83" s="9" t="inlineStr">
        <is>
          <t>2026-09-30</t>
        </is>
      </c>
      <c r="M83" s="9" t="inlineStr">
        <is>
          <t>confirmed</t>
        </is>
      </c>
      <c r="N83" s="10" t="inlineStr">
        <is>
          <t>Single-company quote, affluent-investor FD product, paid acquisition. Altcase pivoted within five months because CAC &gt;&gt; revenue. Not directly comparable to a Rs 10/day gig saver.</t>
        </is>
      </c>
    </row>
    <row r="84">
      <c r="A84" s="9" t="inlineStr">
        <is>
          <t>BM-05</t>
        </is>
      </c>
      <c r="B84" s="9" t="inlineStr">
        <is>
          <t>CAC - savings apps</t>
        </is>
      </c>
      <c r="C84" s="10" t="inlineStr">
        <is>
          <t>Micro-savings wealthtech CAC 'Rs 50-300 per acquired user'</t>
        </is>
      </c>
      <c r="D84" s="9" t="inlineStr">
        <is>
          <t>50-300</t>
        </is>
      </c>
      <c r="E84" s="9" t="inlineStr">
        <is>
          <t>INR per acquired user (definition unclear)</t>
        </is>
      </c>
      <c r="F84" s="10" t="inlineStr">
        <is>
          <t>Indian micro-savings/wealthtech apps (secondary blog)</t>
        </is>
      </c>
      <c r="G84" s="9" t="inlineStr">
        <is>
          <t>2025</t>
        </is>
      </c>
      <c r="H84" s="9" t="inlineStr"/>
      <c r="I84" s="9" t="inlineStr">
        <is>
          <t>India Fintech substack Ep. 82 (search snippet)</t>
        </is>
      </c>
      <c r="J84" s="9" t="inlineStr">
        <is>
          <t>https://indiafintech.substack.com/p/indias-capital-markets-the-financialization</t>
        </is>
      </c>
      <c r="K84" s="9" t="inlineStr"/>
      <c r="L84" s="9" t="inlineStr">
        <is>
          <t>2026-09-30</t>
        </is>
      </c>
      <c r="M84" s="9" t="inlineStr">
        <is>
          <t>unverified</t>
        </is>
      </c>
      <c r="N84" s="10" t="inlineStr">
        <is>
          <t>Unsourced blog claim; 'acquired user' likely means install/registration, not a transacting saver. Jar FY25: advertising 48.5 cr (RoC) - with no disclosed new-user count, per-user CAC cannot be derived. Stable Money FY25: ad spend 25.3 cr. No Indian savings app discloses CAC per install/KYC/transacting user.</t>
        </is>
      </c>
    </row>
    <row r="85">
      <c r="A85" s="9" t="inlineStr">
        <is>
          <t>BM-06</t>
        </is>
      </c>
      <c r="B85" s="9" t="inlineStr">
        <is>
          <t>CAC - digital lending</t>
        </is>
      </c>
      <c r="C85" s="10" t="inlineStr">
        <is>
          <t>Marketing + direct sourcing cost as % of disbursal at a scaled digital lender</t>
        </is>
      </c>
      <c r="D85" s="9" t="inlineStr">
        <is>
          <t>1.90% (FY26); 2.42% (FY25); 2.92% (FY24)</t>
        </is>
      </c>
      <c r="E85" s="9" t="inlineStr">
        <is>
          <t>% of disbursal</t>
        </is>
      </c>
      <c r="F85" s="10" t="inlineStr">
        <is>
          <t>Moneyview, all personal-loan disbursals</t>
        </is>
      </c>
      <c r="G85" s="9" t="inlineStr">
        <is>
          <t>FY26</t>
        </is>
      </c>
      <c r="H85" s="9" t="inlineStr"/>
      <c r="I85" s="9" t="inlineStr">
        <is>
          <t>Moneyview RHP (via Multibagg)</t>
        </is>
      </c>
      <c r="J85" s="9" t="inlineStr">
        <is>
          <t>https://www.multibagg.ai/market-pulse/articles/ipo/moneyview-partner-fees-lending-risk-rhp-cmucbq09u000nj0p5emb2mcnj</t>
        </is>
      </c>
      <c r="K85" s="9" t="inlineStr">
        <is>
          <t>2026-09</t>
        </is>
      </c>
      <c r="L85" s="9" t="inlineStr">
        <is>
          <t>2026-09-30</t>
        </is>
      </c>
      <c r="M85" s="9" t="inlineStr">
        <is>
          <t>confirmed</t>
        </is>
      </c>
      <c r="N85" s="10" t="inlineStr">
        <is>
          <t>Same as LEND-03, restated as a model benchmark. Kissht FY25 marketing 95.7 cr vs 1.9M active borrowers. KreditBee FY25 advertising 211.7 cr. Per-applicant rupee CAC: not disclosed by any lender found; 'up to Rs 3,500 per NBFC customer' appears only on a vendor blog (unverified).</t>
        </is>
      </c>
    </row>
    <row r="86">
      <c r="A86" s="9" t="inlineStr">
        <is>
          <t>BM-07</t>
        </is>
      </c>
      <c r="B86" s="9" t="inlineStr">
        <is>
          <t>LSP / DSA payouts</t>
        </is>
      </c>
      <c r="C86" s="10" t="inlineStr">
        <is>
          <t>Personal-loan DSA/LSP commission</t>
        </is>
      </c>
      <c r="D86" s="9" t="inlineStr">
        <is>
          <t>1.0-2.5% typical; up to 3-4% on some campaigns</t>
        </is>
      </c>
      <c r="E86" s="9" t="inlineStr">
        <is>
          <t>% of disbursed amount</t>
        </is>
      </c>
      <c r="F86" s="10" t="inlineStr">
        <is>
          <t>DSA/agent platform payouts for personal loans, India</t>
        </is>
      </c>
      <c r="G86" s="9" t="inlineStr">
        <is>
          <t>2026-08-24</t>
        </is>
      </c>
      <c r="H86" s="9" t="inlineStr">
        <is>
          <t>gross (before TDS/GST)</t>
        </is>
      </c>
      <c r="I86" s="9" t="inlineStr">
        <is>
          <t>GroMo: DSA Loan Agent Commission rates and payout structure 2026; Ruloans blogs</t>
        </is>
      </c>
      <c r="J86" s="9" t="inlineStr">
        <is>
          <t>https://gromo.in/blog/dsa-loan-agent-commission/</t>
        </is>
      </c>
      <c r="K86" s="9" t="inlineStr">
        <is>
          <t>2026-08-24</t>
        </is>
      </c>
      <c r="L86" s="9" t="inlineStr">
        <is>
          <t>2026-09-30</t>
        </is>
      </c>
      <c r="M86" s="9" t="inlineStr">
        <is>
          <t>unverified</t>
        </is>
      </c>
      <c r="N86" s="10" t="inlineStr">
        <is>
          <t>Industry-platform blogs, not lender disclosures. GroMo: PL 0.5%-4%, most partners 1.5-3.5%. Bajaj Finance 'up to 3%' (Ruloans). Small-ticket (&lt;Rs 50k) specific rates not found. RBI 2022 Digital Lending Directions: LSP fees are paid by the lender, never charged to the borrower. MODEL: base 2.0% of disbursal, low 1.0%, high 3.0%.</t>
        </is>
      </c>
    </row>
    <row r="87">
      <c r="A87" s="9" t="inlineStr">
        <is>
          <t>BM-08</t>
        </is>
      </c>
      <c r="B87" s="9" t="inlineStr">
        <is>
          <t>Credit-card sourcing</t>
        </is>
      </c>
      <c r="C87" s="10" t="inlineStr">
        <is>
          <t>Referral/sourcing payout per approved credit card</t>
        </is>
      </c>
      <c r="D87" s="9" t="inlineStr">
        <is>
          <t>500-2,000 typical; up to 3,500-4,000 for some bank campaigns</t>
        </is>
      </c>
      <c r="E87" s="9" t="inlineStr">
        <is>
          <t>INR per approved/activated card</t>
        </is>
      </c>
      <c r="F87" s="10" t="inlineStr">
        <is>
          <t>affiliate/agent payouts for bank credit cards, India</t>
        </is>
      </c>
      <c r="G87" s="9" t="inlineStr">
        <is>
          <t>2024-2026</t>
        </is>
      </c>
      <c r="H87" s="9" t="inlineStr">
        <is>
          <t>gross</t>
        </is>
      </c>
      <c r="I87" s="9" t="inlineStr">
        <is>
          <t>GroMo / Cuelinks credit-card affiliate program guides</t>
        </is>
      </c>
      <c r="J87" s="9" t="inlineStr">
        <is>
          <t>https://www.cuelinks.com/blog/best-credit-card-affiliate-programs/</t>
        </is>
      </c>
      <c r="K87" s="9" t="inlineStr"/>
      <c r="L87" s="9" t="inlineStr">
        <is>
          <t>2026-09-30</t>
        </is>
      </c>
      <c r="M87" s="9" t="inlineStr">
        <is>
          <t>unverified</t>
        </is>
      </c>
      <c r="N87" s="10" t="inlineStr">
        <is>
          <t>Affiliate marketing blogs only. FD-SECURED card payouts (OneCard, Kiwi, SBM, IDFC FIRST WOW, Suryoday) NOT found anywhere - unverified; likely lower than unsecured cards because issuer risk and revenue per card are lower. MODEL: base Rs 500 per activated FD-secured card, low 200, high 1,000 - an ASSUMPTION to be validated with issuers.</t>
        </is>
      </c>
    </row>
    <row r="88">
      <c r="A88" s="9" t="inlineStr">
        <is>
          <t>BM-09</t>
        </is>
      </c>
      <c r="B88" s="9" t="inlineStr">
        <is>
          <t>Insurance commissions (actual)</t>
        </is>
      </c>
      <c r="C88" s="10" t="inlineStr">
        <is>
          <t>Standalone health insurers' commission as % of net premium, FY25</t>
        </is>
      </c>
      <c r="D88" s="9" t="inlineStr">
        <is>
          <t>14-20% by insurer (Care, Niva Bupa 20%; Star 14%; ABHI 10%)</t>
        </is>
      </c>
      <c r="E88" s="9" t="inlineStr">
        <is>
          <t>% of net premium</t>
        </is>
      </c>
      <c r="F88" s="10" t="inlineStr">
        <is>
          <t>standalone health insurers, FY25 (General Insurance Council data)</t>
        </is>
      </c>
      <c r="G88" s="9" t="inlineStr">
        <is>
          <t>FY25</t>
        </is>
      </c>
      <c r="H88" s="9" t="inlineStr">
        <is>
          <t>net premium</t>
        </is>
      </c>
      <c r="I88" s="9" t="inlineStr">
        <is>
          <t>Cafemutual: Which standalone health insurer paid the highest commission in FY25</t>
        </is>
      </c>
      <c r="J88" s="9" t="inlineStr">
        <is>
          <t>https://cafemutual.com/news/insurance/36491-which-standalone-health-insurer-paid-the-highest-commission-to-agentsbrokers-in-fy25</t>
        </is>
      </c>
      <c r="K88" s="9" t="inlineStr">
        <is>
          <t>2025-12-14</t>
        </is>
      </c>
      <c r="L88" s="9" t="inlineStr">
        <is>
          <t>2026-09-30</t>
        </is>
      </c>
      <c r="M88" s="9" t="inlineStr">
        <is>
          <t>confirmed</t>
        </is>
      </c>
      <c r="N88" s="10" t="inlineStr">
        <is>
          <t>Industry total reported as 20% (FY24 15%) in the article body; a search summary said 16% - use the article. Covers all channels incl. agents.</t>
        </is>
      </c>
    </row>
    <row r="89">
      <c r="A89" s="9" t="inlineStr">
        <is>
          <t>BM-10</t>
        </is>
      </c>
      <c r="B89" s="9" t="inlineStr">
        <is>
          <t>Insurance commissions (proposed caps)</t>
        </is>
      </c>
      <c r="C89" s="10" t="inlineStr">
        <is>
          <t>IRDAI consultation 'Recalibrating Economics of Insurance Distribution' proposes product caps</t>
        </is>
      </c>
      <c r="D89" s="9" t="inlineStr">
        <is>
          <t>Individual health first sale 15% (IDEs) / renewal 5%; retail misc incl. PA 15%; pure term multi-year 25% yr-1 / 7.5% renewal; insurance packaged with credit: health 5%, PA 5%</t>
        </is>
      </c>
      <c r="E89" s="9" t="inlineStr">
        <is>
          <t>% of premium</t>
        </is>
      </c>
      <c r="F89" s="10" t="inlineStr">
        <is>
          <t>all insurance distributors, India (proposal)</t>
        </is>
      </c>
      <c r="G89" s="9" t="inlineStr">
        <is>
          <t>2026-09-23</t>
        </is>
      </c>
      <c r="H89" s="9" t="inlineStr">
        <is>
          <t>gross</t>
        </is>
      </c>
      <c r="I89" s="9" t="inlineStr">
        <is>
          <t>Khaitan &amp; Co ERGO: IRDAI distribution reforms (29 Sep 2026); Business Standard 2026-09-24</t>
        </is>
      </c>
      <c r="J89" s="9" t="inlineStr">
        <is>
          <t>https://www.khaitanco.com/sites/default/files/2026-09/Insurance_IRDA_Distribution%20Reforms_29%20September%202026_ergo.pdf</t>
        </is>
      </c>
      <c r="K89" s="9" t="inlineStr">
        <is>
          <t>2026-09-29</t>
        </is>
      </c>
      <c r="L89" s="9" t="inlineStr">
        <is>
          <t>2026-09-30</t>
        </is>
      </c>
      <c r="M89" s="9" t="inlineStr">
        <is>
          <t>confirmed</t>
        </is>
      </c>
      <c r="N89" s="10" t="inlineStr">
        <is>
          <t>PROPOSAL ONLY; comments due 25 Oct 2026. Caps apply to 'IDEs' (open-architecture distributors) vs higher caps for insurer-tied agents. EoM glide path from FY2027-28: life 15% -&gt; 12.5%, general 25% -&gt; 20%. Commission since Apr 2023 was uncapped within EoM; IRDAI data: group health commission up to 93%. Credit-linked insurance attracts the lowest caps - directly relevant to selling PA/health with loans. MODEL: health/PA base 12% of premium, low 5% (credit-linked), high 15%.</t>
        </is>
      </c>
    </row>
    <row r="90">
      <c r="A90" s="9" t="inlineStr">
        <is>
          <t>BM-11</t>
        </is>
      </c>
      <c r="B90" s="9" t="inlineStr">
        <is>
          <t>Insurance commissions (micro)</t>
        </is>
      </c>
      <c r="C90" s="10" t="inlineStr">
        <is>
          <t>Micro-insurance agent remuneration cap</t>
        </is>
      </c>
      <c r="D90" s="9" t="inlineStr">
        <is>
          <t>20% (life, regular premium); 15% (general)</t>
        </is>
      </c>
      <c r="E90" s="9" t="inlineStr">
        <is>
          <t>% of premium</t>
        </is>
      </c>
      <c r="F90" s="10" t="inlineStr">
        <is>
          <t>micro-insurance agents under IRDAI micro-insurance rules (pre-2023 framework)</t>
        </is>
      </c>
      <c r="G90" s="9" t="inlineStr">
        <is>
          <t>historical</t>
        </is>
      </c>
      <c r="H90" s="9" t="inlineStr">
        <is>
          <t>gross</t>
        </is>
      </c>
      <c r="I90" s="9" t="inlineStr">
        <is>
          <t>IRDAI micro-insurance rules (search snippet); IRDAI About Microinsurance</t>
        </is>
      </c>
      <c r="J90" s="9" t="inlineStr">
        <is>
          <t>https://irdai.gov.in/about-microinsurance</t>
        </is>
      </c>
      <c r="K90" s="9" t="inlineStr"/>
      <c r="L90" s="9" t="inlineStr">
        <is>
          <t>2026-09-30</t>
        </is>
      </c>
      <c r="M90" s="9" t="inlineStr">
        <is>
          <t>unverified</t>
        </is>
      </c>
      <c r="N90" s="10" t="inlineStr">
        <is>
          <t>Legacy caps; status after the 2023-24 EoM regulations and the 2026 draft is unclear. Draft says under-served-area sales may earn above caps.</t>
        </is>
      </c>
    </row>
    <row r="91">
      <c r="A91" s="9" t="inlineStr">
        <is>
          <t>MAC-01</t>
        </is>
      </c>
      <c r="B91" s="9" t="inlineStr">
        <is>
          <t>Household savings</t>
        </is>
      </c>
      <c r="C91" s="10" t="inlineStr">
        <is>
          <t>Household net financial savings, 2022-23 low</t>
        </is>
      </c>
      <c r="D91" s="9" t="inlineStr">
        <is>
          <t>5.1% of GDP (RBI first estimate, Sep 2023); ~5.3% of GDP (NAS first revised estimate, Feb 2024); 4.9% of GNDI (RBI AR 2024-25)</t>
        </is>
      </c>
      <c r="E91" s="9" t="inlineStr">
        <is>
          <t>% of GDP / GNDI</t>
        </is>
      </c>
      <c r="F91" s="10" t="inlineStr">
        <is>
          <t>Indian household sector, FY23</t>
        </is>
      </c>
      <c r="G91" s="9" t="inlineStr">
        <is>
          <t>FY23</t>
        </is>
      </c>
      <c r="H91" s="9" t="inlineStr">
        <is>
          <t>net (financial assets minus liabilities)</t>
        </is>
      </c>
      <c r="I91" s="9" t="inlineStr">
        <is>
          <t>Business Standard 2023-09-20 'Household savings fall to decades low'; ORF 2024-05-20; RBI Annual Report 2024-25 (via Upstox)</t>
        </is>
      </c>
      <c r="J91" s="9" t="inlineStr">
        <is>
          <t>https://www.business-standard.com/finance/news/household-savings-fall-to-decades-low-borrowing-rises-rbi-data-123092000356_1.html</t>
        </is>
      </c>
      <c r="K91" s="9" t="inlineStr">
        <is>
          <t>2023-09-20</t>
        </is>
      </c>
      <c r="L91" s="9" t="inlineStr">
        <is>
          <t>2026-09-30</t>
        </is>
      </c>
      <c r="M91" s="9" t="inlineStr">
        <is>
          <t>confirmed</t>
        </is>
      </c>
      <c r="N91" s="10" t="inlineStr">
        <is>
          <t>The ~5.3% figure is the revised NAS estimate (search snippet of a BS column; primary NAS table not fetched); ORF gives 5.25% on revised GDP. 'Lowest in ~47 years'. FY22 was 7.2% of GDP. Denominators differ (GDP vs GNDI) - do not mix.</t>
        </is>
      </c>
    </row>
    <row r="92">
      <c r="A92" s="9" t="inlineStr">
        <is>
          <t>MAC-02</t>
        </is>
      </c>
      <c r="B92" s="9" t="inlineStr">
        <is>
          <t>Household savings</t>
        </is>
      </c>
      <c r="C92" s="10" t="inlineStr">
        <is>
          <t>Household net financial savings recovered to 7.0% of GNDI in FY25 from 5.8% in FY24</t>
        </is>
      </c>
      <c r="D92" s="9" t="inlineStr">
        <is>
          <t>7.0 (FY25) / 5.8 (FY24)</t>
        </is>
      </c>
      <c r="E92" s="9" t="inlineStr">
        <is>
          <t>% of GNDI</t>
        </is>
      </c>
      <c r="F92" s="10" t="inlineStr">
        <is>
          <t>Indian household sector</t>
        </is>
      </c>
      <c r="G92" s="9" t="inlineStr">
        <is>
          <t>FY25</t>
        </is>
      </c>
      <c r="H92" s="9" t="inlineStr">
        <is>
          <t>net</t>
        </is>
      </c>
      <c r="I92" s="9" t="inlineStr">
        <is>
          <t>Business Standard: Net household financial savings rise to 7% of GNDI in FY25: RBI report</t>
        </is>
      </c>
      <c r="J92" s="9" t="inlineStr">
        <is>
          <t>https://www.business-standard.com/economy/news/net-household-financial-savings-rise-to-7-of-gndi-in-fy25-rbi-report-126052901658_1.html</t>
        </is>
      </c>
      <c r="K92" s="9" t="inlineStr">
        <is>
          <t>2026-05-29</t>
        </is>
      </c>
      <c r="L92" s="9" t="inlineStr">
        <is>
          <t>2026-09-30</t>
        </is>
      </c>
      <c r="M92" s="9" t="inlineStr">
        <is>
          <t>confirmed</t>
        </is>
      </c>
      <c r="N92" s="10" t="inlineStr">
        <is>
          <t>From RBI Annual Report released May 2026 (article not fetchable; figures from search snippet). Gross financial savings 11.8% (FY24 12.1%); liabilities fell to 4.8% of GNDI (FY24 6.4%). NOTE the FY24 figure was revised up from 5.1% (RBI AR 2024-25) to 5.8%.</t>
        </is>
      </c>
    </row>
    <row r="93">
      <c r="A93" s="9" t="inlineStr">
        <is>
          <t>MAC-03</t>
        </is>
      </c>
      <c r="B93" s="9" t="inlineStr">
        <is>
          <t>Small-ticket PL stress</t>
        </is>
      </c>
      <c r="C93" s="10" t="inlineStr">
        <is>
          <t>Vintage LAR 90+ peaks by ticket size (all lenders): &lt;Rs 10K 8.9% at 10 MOB; Rs 10K-50K 6.0% at 10 MOB; &gt;Rs 50K 3.6% at 34 MOB</t>
        </is>
      </c>
      <c r="D93" s="9" t="inlineStr">
        <is>
          <t>8.9% / 6.0% / 3.6%</t>
        </is>
      </c>
      <c r="E93" s="9" t="inlineStr">
        <is>
          <t>% of loans 90+ DPD (count-based vintage)</t>
        </is>
      </c>
      <c r="F93" s="10" t="inlineStr">
        <is>
          <t>Indian personal loans by ticket size, CRIF bureau data, H1 FY25</t>
        </is>
      </c>
      <c r="G93" s="9" t="inlineStr">
        <is>
          <t>2024-09-30</t>
        </is>
      </c>
      <c r="H93" s="9" t="inlineStr"/>
      <c r="I93" s="9" t="inlineStr">
        <is>
          <t>CRIF High Mark - DLAI FinTech Barometer Vol II (Jan 2025)</t>
        </is>
      </c>
      <c r="J93" s="9" t="inlineStr">
        <is>
          <t>https://www.crifhighmark.com/media/4067/crif-dlai-report_jan-17th-2025.pdf</t>
        </is>
      </c>
      <c r="K93" s="9" t="inlineStr">
        <is>
          <t>2025-01-17</t>
        </is>
      </c>
      <c r="L93" s="9" t="inlineStr">
        <is>
          <t>2026-09-30</t>
        </is>
      </c>
      <c r="M93" s="9" t="inlineStr">
        <is>
          <t>confirmed</t>
        </is>
      </c>
      <c r="N93" s="10" t="inlineStr">
        <is>
          <t>NBFCs: &lt;10K peak 9.5%, 10K-50K 7.2%. Private banks: &lt;10K 4.7%, 10K-50K 2.2%. Vol I (Jan 2024): as of Sep 2023, 8.5% of &lt;10K and 5.6% of 10K-50K loans were 30+ DPD within 3 months of sourcing. Cohort Dec 2023-Jun 2024 saw a 44% rise in delinquencies (CRIF press note). MODEL: lifetime 90+ loss on a Rs 10-50K loan to thin-file borrowers ~6-8% before recoveries.</t>
        </is>
      </c>
    </row>
    <row r="94">
      <c r="A94" s="9" t="inlineStr">
        <is>
          <t>MAC-04</t>
        </is>
      </c>
      <c r="B94" s="9" t="inlineStr">
        <is>
          <t>Small-ticket PL stress</t>
        </is>
      </c>
      <c r="C94" s="10" t="inlineStr">
        <is>
          <t>NBFC personal-loan PAR 91-180 rose to 4.37%; PL origination value fell 2.9% to Rs 8.8 lakh cr in FY25 while volumes rose 8.3%</t>
        </is>
      </c>
      <c r="D94" s="9" t="inlineStr">
        <is>
          <t>4.37%</t>
        </is>
      </c>
      <c r="E94" s="9" t="inlineStr">
        <is>
          <t>% of portfolio</t>
        </is>
      </c>
      <c r="F94" s="10" t="inlineStr">
        <is>
          <t>NBFC personal loans (CRIF), FY25</t>
        </is>
      </c>
      <c r="G94" s="9" t="inlineStr">
        <is>
          <t>2025-03-31</t>
        </is>
      </c>
      <c r="H94" s="9" t="inlineStr"/>
      <c r="I94" s="9" t="inlineStr">
        <is>
          <t>Moneylife: High-value loans rise as delinquencies surge in small-ticket lending (CRIF report)</t>
        </is>
      </c>
      <c r="J94" s="9" t="inlineStr">
        <is>
          <t>https://www.moneylife.in/article/highvalue-loans-rise-in-india-as-delinquencies-surge-in-smallticket-lending-crif-high-mark-report/77671.html</t>
        </is>
      </c>
      <c r="K94" s="9" t="inlineStr">
        <is>
          <t>2025</t>
        </is>
      </c>
      <c r="L94" s="9" t="inlineStr">
        <is>
          <t>2026-09-30</t>
        </is>
      </c>
      <c r="M94" s="9" t="inlineStr">
        <is>
          <t>confirmed</t>
        </is>
      </c>
      <c r="N94" s="10" t="inlineStr">
        <is>
          <t>NBFCs hold 91.2% of PL origination volume, 36.4% of value. Stress concentrated in sub-Rs 1 lakh, especially sub-Rs 10K loans.</t>
        </is>
      </c>
    </row>
    <row r="95">
      <c r="A95" s="9" t="inlineStr">
        <is>
          <t>MAC-05</t>
        </is>
      </c>
      <c r="B95" s="9" t="inlineStr">
        <is>
          <t>Microfinance stress</t>
        </is>
      </c>
      <c r="C95" s="10" t="inlineStr">
        <is>
          <t>Microfinance PAR 31-180 rose to 6.2% (Mar 2025) from 4.3% (Sep 2024); borrower indebtedness indicator 11.7%</t>
        </is>
      </c>
      <c r="D95" s="9" t="inlineStr">
        <is>
          <t>6.2%</t>
        </is>
      </c>
      <c r="E95" s="9" t="inlineStr">
        <is>
          <t>% of portfolio</t>
        </is>
      </c>
      <c r="F95" s="10" t="inlineStr">
        <is>
          <t>Indian microfinance portfolio (RBI Financial Stability Report)</t>
        </is>
      </c>
      <c r="G95" s="9" t="inlineStr">
        <is>
          <t>2025-03-31</t>
        </is>
      </c>
      <c r="H95" s="9" t="inlineStr"/>
      <c r="I95" s="9" t="inlineStr">
        <is>
          <t>Business Standard: Borrower indebtedness in microfinance declines to 11.7%: RBI report</t>
        </is>
      </c>
      <c r="J95" s="9" t="inlineStr">
        <is>
          <t>https://www.business-standard.com/amp/finance/news/microfinance-borrower-indebtedness-declines-despite-rise-in-stressed-assets-125063001128_1.html</t>
        </is>
      </c>
      <c r="K95" s="9" t="inlineStr">
        <is>
          <t>2025-06-30</t>
        </is>
      </c>
      <c r="L95" s="9" t="inlineStr">
        <is>
          <t>2026-09-30</t>
        </is>
      </c>
      <c r="M95" s="9" t="inlineStr">
        <is>
          <t>confirmed</t>
        </is>
      </c>
      <c r="N95" s="10" t="inlineStr">
        <is>
          <t>Figures via search snippet (page not fetched). Microfinance delinquencies reportedly up 163% to ~Rs 43,000 cr in FY25 (secondary). NABARD: MFI NPA 8.72% at Mar 2024.</t>
        </is>
      </c>
    </row>
    <row r="96">
      <c r="A96" s="9" t="inlineStr">
        <is>
          <t>MAC-06</t>
        </is>
      </c>
      <c r="B96" s="9" t="inlineStr">
        <is>
          <t>Microfinance stress</t>
        </is>
      </c>
      <c r="C96" s="10" t="inlineStr">
        <is>
          <t>Microfinance recovery: GLP Rs 3.21 lakh cr (Feb 2026), PAR 31-180 2.6%, PAR 180+ incl. write-offs 17.1% on loans disbursed in last 36 months</t>
        </is>
      </c>
      <c r="D96" s="9" t="inlineStr">
        <is>
          <t>2.6% / 17.1%</t>
        </is>
      </c>
      <c r="E96" s="9" t="inlineStr">
        <is>
          <t>% of portfolio</t>
        </is>
      </c>
      <c r="F96" s="10" t="inlineStr">
        <is>
          <t>Indian microfinance loans (CRIF MicroLend), Feb 2026</t>
        </is>
      </c>
      <c r="G96" s="9" t="inlineStr">
        <is>
          <t>2026-02-28</t>
        </is>
      </c>
      <c r="H96" s="9" t="inlineStr"/>
      <c r="I96" s="9" t="inlineStr">
        <is>
          <t>CRIF High Mark MicroLend Lite, April 2026 (data as of Feb 2026)</t>
        </is>
      </c>
      <c r="J96" s="9" t="inlineStr">
        <is>
          <t>https://www.crifhighmark.com/media/6584/microlend-report-april-2026.pdf</t>
        </is>
      </c>
      <c r="K96" s="9" t="inlineStr">
        <is>
          <t>2026-04</t>
        </is>
      </c>
      <c r="L96" s="9" t="inlineStr">
        <is>
          <t>2026-09-30</t>
        </is>
      </c>
      <c r="M96" s="9" t="inlineStr">
        <is>
          <t>confirmed</t>
        </is>
      </c>
      <c r="N96" s="10" t="inlineStr">
        <is>
          <t>PAR 1-30 0.7%, 31-90 1.0%, 91-180 1.6%. Active loans 10.8 crore. Lender share: NBFC-MFIs 43.2%, banks 26.7%, SFBs 15.9%, NBFCs 13.1%. GLP grew 3.2% QoQ to ~Rs 3.31 lakh cr in Q4 FY26 - first growth after ~8 quarters of decline (Business Standard 2026-05-07).</t>
        </is>
      </c>
    </row>
    <row r="97">
      <c r="A97" s="9" t="inlineStr">
        <is>
          <t>MAC-07</t>
        </is>
      </c>
      <c r="B97" s="9" t="inlineStr">
        <is>
          <t>MFIN guardrails</t>
        </is>
      </c>
      <c r="C97" s="10" t="inlineStr">
        <is>
          <t>MFIN Guardrails 2.0: max 3 lenders per borrower (from 1 Apr 2025); Rs 2 lakh total indebtedness cap incl. unsecured retail loans; no fresh loan to borrowers &gt;60 DPD</t>
        </is>
      </c>
      <c r="D97" s="9" t="inlineStr">
        <is>
          <t>3 lenders; Rs 2 lakh</t>
        </is>
      </c>
      <c r="E97" s="9" t="inlineStr"/>
      <c r="F97" s="10" t="inlineStr">
        <is>
          <t>MFIN member lenders (RBI-recognised SRO); microfinance borrowers</t>
        </is>
      </c>
      <c r="G97" s="9" t="inlineStr">
        <is>
          <t>2025-04-01</t>
        </is>
      </c>
      <c r="H97" s="9" t="inlineStr"/>
      <c r="I97" s="9" t="inlineStr">
        <is>
          <t>Business Standard: MFIN to further tighten norms for micro-loans from January 2025 (2024-11-25); Moneylife 2024-07-09</t>
        </is>
      </c>
      <c r="J97" s="9" t="inlineStr">
        <is>
          <t>https://www.business-standard.com/finance/news/mfin-to-further-tighten-norms-for-micro-loans-from-january-2025-124112501142_1.html</t>
        </is>
      </c>
      <c r="K97" s="9" t="inlineStr">
        <is>
          <t>2024-11-25</t>
        </is>
      </c>
      <c r="L97" s="9" t="inlineStr">
        <is>
          <t>2026-09-30</t>
        </is>
      </c>
      <c r="M97" s="9" t="inlineStr">
        <is>
          <t>confirmed</t>
        </is>
      </c>
      <c r="N97" s="10" t="inlineStr">
        <is>
          <t>Six of seven covenants effective 1 Jan 2025; lender cap postponed to 1 Apr 2025. Guardrails 1.0 (Jul 2024): Rs 2 lakh cap, max 4 lenders. The cap counts unsecured retail loans, so a gig worker already carrying 3 MFI loans may be ineligible for new small loans from MFIN members; fintech/NBFC micro-loans outside MFIN drew regulatory attention (BS 2025-10-23).</t>
        </is>
      </c>
    </row>
    <row r="98">
      <c r="A98" s="9" t="inlineStr">
        <is>
          <t>CMP-11</t>
        </is>
      </c>
      <c r="B98" s="9" t="inlineStr">
        <is>
          <t>M-Shwari vs Fuliza</t>
        </is>
      </c>
      <c r="C98" s="10" t="inlineStr">
        <is>
          <t>Savings-linked M-Shwari lending is flat/declining while M-Pesa overdraft Fuliza grows: M-Shwari KES 96bn (2025, -3.0%) vs Fuliza KES 1.24tn (2025, +37.8%)</t>
        </is>
      </c>
      <c r="D98" s="9" t="inlineStr">
        <is>
          <t>96bn vs 1,240bn</t>
        </is>
      </c>
      <c r="E98" s="9" t="inlineStr">
        <is>
          <t>KES disbursed per year</t>
        </is>
      </c>
      <c r="F98" s="10" t="inlineStr">
        <is>
          <t>NCBA digital lending in Kenya, 2025</t>
        </is>
      </c>
      <c r="G98" s="9" t="inlineStr">
        <is>
          <t>2025-12-31</t>
        </is>
      </c>
      <c r="H98" s="9" t="inlineStr">
        <is>
          <t>gross disbursal</t>
        </is>
      </c>
      <c r="I98" s="9" t="inlineStr">
        <is>
          <t>TechTrends KE: Digital loans drive NCBA's 2025 results</t>
        </is>
      </c>
      <c r="J98" s="9" t="inlineStr">
        <is>
          <t>https://techtrendske.co.ke/2026/03/30/ncba-digital-loans-profit-growth-2025-results/</t>
        </is>
      </c>
      <c r="K98" s="9" t="inlineStr">
        <is>
          <t>2026-03-30</t>
        </is>
      </c>
      <c r="L98" s="9" t="inlineStr">
        <is>
          <t>2026-09-30</t>
        </is>
      </c>
      <c r="M98" s="9" t="inlineStr">
        <is>
          <t>confirmed</t>
        </is>
      </c>
      <c r="N98" s="10" t="inlineStr">
        <is>
          <t>2024: M-Shwari KES 98bn (-3.5%), Fuliza KES 906bn (TechCabal 2025-05-27, via snippet). NCBA digital cost of risk 0.4% (company). NCBA waived ~KES 5.5bn of defaulted Fuliza/M-Shwari loans under a CBK credit-repair programme. LESSON: in Kenya, credit embedded in the PAYMENT flow (overdraft at the point of spend) outgrew savings-linked credit ~13:1.</t>
        </is>
      </c>
    </row>
    <row r="99">
      <c r="A99" s="9" t="inlineStr">
        <is>
          <t>REG-001</t>
        </is>
      </c>
      <c r="B99" s="9" t="inlineStr">
        <is>
          <t>Digital lending</t>
        </is>
      </c>
      <c r="C99" s="10" t="inlineStr">
        <is>
          <t>RBI consolidated the Sept 2022 Digital Lending Guidelines and the June 2023 DLG guidelines into the RBI (Digital Lending) Directions, 2025</t>
        </is>
      </c>
      <c r="D99" s="9" t="inlineStr">
        <is>
          <t>2025-05-08</t>
        </is>
      </c>
      <c r="E99" s="9" t="inlineStr">
        <is>
          <t>date issued</t>
        </is>
      </c>
      <c r="F99" s="10" t="inlineStr">
        <is>
          <t>All commercial banks, co-op banks, NBFCs incl. HFCs doing digital lending</t>
        </is>
      </c>
      <c r="G99" s="9" t="inlineStr">
        <is>
          <t>2025-05-08</t>
        </is>
      </c>
      <c r="H99" s="9" t="inlineStr">
        <is>
          <t>n/a</t>
        </is>
      </c>
      <c r="I99" s="9" t="inlineStr">
        <is>
          <t>Reserve Bank of India (Digital Lending) Directions, 2025 (RBI/2025-26/36, DOR.STR.REC.19/21.07.001/2025-26)</t>
        </is>
      </c>
      <c r="J99" s="9" t="inlineStr">
        <is>
          <t>https://www.rbi.org.in/scripts/NotificationUser.aspx?Id=12848&amp;Mode=0</t>
        </is>
      </c>
      <c r="K99" s="9" t="inlineStr">
        <is>
          <t>2025-05-08</t>
        </is>
      </c>
      <c r="L99" s="9" t="inlineStr">
        <is>
          <t>2026-09-30</t>
        </is>
      </c>
      <c r="M99" s="9" t="inlineStr">
        <is>
          <t>confirmed</t>
        </is>
      </c>
      <c r="N99" s="10" t="inlineStr">
        <is>
          <t>Annex III repeals: 24-Jun-2020 FPC/outsourcing circular; 02-Sep-2022 Guidelines on Digital Lending; 08-Jun-2023 DLG guidelines. In force immediately except para 6 (multi-lender, from 1-Nov-2025) and para 17 (DLA reporting to CIMS, from 15-Jun-2025).</t>
        </is>
      </c>
    </row>
    <row r="100">
      <c r="A100" s="9" t="inlineStr">
        <is>
          <t>REG-002</t>
        </is>
      </c>
      <c r="B100" s="9" t="inlineStr">
        <is>
          <t>Digital lending</t>
        </is>
      </c>
      <c r="C100" s="10" t="inlineStr">
        <is>
          <t>For NBFCs, digital lending/DLG instructions were re-housed on 28-Nov-2025 in the RBI (Non-Banking Financial Companies - Credit Facilities) Directions, 2025 (DLG in a chapter on loss sharing)</t>
        </is>
      </c>
      <c r="D100" s="9" t="inlineStr">
        <is>
          <t>2025-11-28</t>
        </is>
      </c>
      <c r="E100" s="9" t="inlineStr">
        <is>
          <t>date issued</t>
        </is>
      </c>
      <c r="F100" s="10" t="inlineStr">
        <is>
          <t>NBFCs</t>
        </is>
      </c>
      <c r="G100" s="9" t="inlineStr">
        <is>
          <t>2025-11-28</t>
        </is>
      </c>
      <c r="H100" s="9" t="inlineStr">
        <is>
          <t>n/a</t>
        </is>
      </c>
      <c r="I100" s="9" t="inlineStr">
        <is>
          <t>Vinod Kothari Consultants, 'The Great Consolidation'; nbfccompliance.com note on NBFC Credit Facilities Directions 2025</t>
        </is>
      </c>
      <c r="J100" s="9" t="inlineStr">
        <is>
          <t>https://vinodkothari.com/2025/10/the-great-consolidation/</t>
        </is>
      </c>
      <c r="K100" s="9" t="inlineStr">
        <is>
          <t>2025-10</t>
        </is>
      </c>
      <c r="L100" s="9" t="inlineStr">
        <is>
          <t>2026-09-30</t>
        </is>
      </c>
      <c r="M100" s="9" t="inlineStr">
        <is>
          <t>unverified</t>
        </is>
      </c>
      <c r="N100" s="10" t="inlineStr">
        <is>
          <t>Secondary sources only (law-firm/consultant); I could not open the RBI text of the consolidated NBFC direction. Substance of DL/DLG rules reported as carried over unchanged. Vinod Kothari notes NBFC version drops references to revolving lines of credit.</t>
        </is>
      </c>
    </row>
    <row r="101">
      <c r="A101" s="9" t="inlineStr">
        <is>
          <t>REG-003</t>
        </is>
      </c>
      <c r="B101" s="9" t="inlineStr">
        <is>
          <t>DLG</t>
        </is>
      </c>
      <c r="C101" s="10" t="inlineStr">
        <is>
          <t>DLG cover on a loan portfolio is capped at 5% of the amount disbursed out of that portfolio; for implicit guarantees the provider may not bear performance risk beyond the equivalent of 5%</t>
        </is>
      </c>
      <c r="D101" s="9" t="inlineStr">
        <is>
          <t>5</t>
        </is>
      </c>
      <c r="E101" s="9" t="inlineStr">
        <is>
          <t>% of portfolio disbursed</t>
        </is>
      </c>
      <c r="F101" s="10" t="inlineStr">
        <is>
          <t>DLG arrangements between an RE and an LSP/other RE in digital lending</t>
        </is>
      </c>
      <c r="G101" s="9" t="inlineStr">
        <is>
          <t>2025-05-08</t>
        </is>
      </c>
      <c r="H101" s="9" t="inlineStr">
        <is>
          <t>n/a</t>
        </is>
      </c>
      <c r="I101" s="9" t="inlineStr">
        <is>
          <t>RBI (Digital Lending) Directions, 2025, para 23 (was para 6 of the 08-Jun-2023 DLG guidelines)</t>
        </is>
      </c>
      <c r="J101" s="9" t="inlineStr">
        <is>
          <t>https://www.rbi.org.in/scripts/NotificationUser.aspx?Id=12848&amp;Mode=0</t>
        </is>
      </c>
      <c r="K101" s="9" t="inlineStr">
        <is>
          <t>2025-05-08</t>
        </is>
      </c>
      <c r="L101" s="9" t="inlineStr">
        <is>
          <t>2026-09-30</t>
        </is>
      </c>
      <c r="M101" s="9" t="inlineStr">
        <is>
          <t>confirmed</t>
        </is>
      </c>
      <c r="N101" s="10" t="inlineStr">
        <is>
          <t>2025 wording: 'shall not exceed five per cent of the total amount disbursed out of that loan portfolio at any given time'. The DLG set is a fixed, identifiable portfolio - not dynamic (para 23(ii)). No 2026 change to the cap found.</t>
        </is>
      </c>
    </row>
    <row r="102">
      <c r="A102" s="9" t="inlineStr">
        <is>
          <t>REG-004</t>
        </is>
      </c>
      <c r="B102" s="9" t="inlineStr">
        <is>
          <t>DLG</t>
        </is>
      </c>
      <c r="C102" s="10" t="inlineStr">
        <is>
          <t>Only an LSP (or another RE acting as LSP) with an outsourcing arrangement may provide DLG, and the LSP must be a company incorporated under the Companies Act 2013</t>
        </is>
      </c>
      <c r="D102" s="9" t="inlineStr">
        <is>
          <t>Companies Act 2013 company</t>
        </is>
      </c>
      <c r="E102" s="9" t="inlineStr">
        <is>
          <t>eligibility</t>
        </is>
      </c>
      <c r="F102" s="10" t="inlineStr">
        <is>
          <t>DLG providers</t>
        </is>
      </c>
      <c r="G102" s="9" t="inlineStr">
        <is>
          <t>2025-05-08</t>
        </is>
      </c>
      <c r="H102" s="9" t="inlineStr">
        <is>
          <t>n/a</t>
        </is>
      </c>
      <c r="I102" s="9" t="inlineStr">
        <is>
          <t>RBI (Digital Lending) Directions, 2025, para 18; DLG guidelines 08-Jun-2023 para 3</t>
        </is>
      </c>
      <c r="J102" s="9" t="inlineStr">
        <is>
          <t>https://www.rbi.org.in/scripts/NotificationUser.aspx?Id=12848&amp;Mode=0</t>
        </is>
      </c>
      <c r="K102" s="9" t="inlineStr">
        <is>
          <t>2025-05-08</t>
        </is>
      </c>
      <c r="L102" s="9" t="inlineStr">
        <is>
          <t>2026-09-30</t>
        </is>
      </c>
      <c r="M102" s="9" t="inlineStr">
        <is>
          <t>confirmed</t>
        </is>
      </c>
      <c r="N102" s="10" t="inlineStr">
        <is>
          <t>An LLP or partnership cannot give DLG. RE needs a board-approved DLG policy; provider must give an auditor-certified declaration of aggregate DLG outstanding and past default rates (para 19).</t>
        </is>
      </c>
    </row>
    <row r="103">
      <c r="A103" s="9" t="inlineStr">
        <is>
          <t>REG-005</t>
        </is>
      </c>
      <c r="B103" s="9" t="inlineStr">
        <is>
          <t>DLG</t>
        </is>
      </c>
      <c r="C103" s="10" t="inlineStr">
        <is>
          <t>DLG may be accepted only as (a) cash deposited with the RE, (b) FD with a scheduled commercial bank with lien marked to the RE, or (c) bank guarantee in favour of the RE</t>
        </is>
      </c>
      <c r="D103" s="9" t="inlineStr">
        <is>
          <t>cash / FD-lien / BG</t>
        </is>
      </c>
      <c r="E103" s="9" t="inlineStr">
        <is>
          <t>permitted forms</t>
        </is>
      </c>
      <c r="F103" s="10" t="inlineStr">
        <is>
          <t>DLG arrangements</t>
        </is>
      </c>
      <c r="G103" s="9" t="inlineStr">
        <is>
          <t>2025-05-08</t>
        </is>
      </c>
      <c r="H103" s="9" t="inlineStr">
        <is>
          <t>n/a</t>
        </is>
      </c>
      <c r="I103" s="9" t="inlineStr">
        <is>
          <t>RBI (Digital Lending) Directions, 2025, para 22; DLG guidelines 08-Jun-2023 para 5</t>
        </is>
      </c>
      <c r="J103" s="9" t="inlineStr">
        <is>
          <t>https://www.rbi.org.in/scripts/NotificationUser.aspx?Id=12848&amp;Mode=0</t>
        </is>
      </c>
      <c r="K103" s="9" t="inlineStr">
        <is>
          <t>2025-05-08</t>
        </is>
      </c>
      <c r="L103" s="9" t="inlineStr">
        <is>
          <t>2026-09-30</t>
        </is>
      </c>
      <c r="M103" s="9" t="inlineStr">
        <is>
          <t>confirmed</t>
        </is>
      </c>
      <c r="N103" s="10" t="inlineStr">
        <is>
          <t>Must be funded upfront - the LSP locks up 5% of disbursals as cash/FD/BG. A BG costs the LSP a bank commission and usually needs cash margin (not priced here).</t>
        </is>
      </c>
    </row>
    <row r="104">
      <c r="A104" s="9" t="inlineStr">
        <is>
          <t>REG-006</t>
        </is>
      </c>
      <c r="B104" s="9" t="inlineStr">
        <is>
          <t>DLG</t>
        </is>
      </c>
      <c r="C104" s="10" t="inlineStr">
        <is>
          <t>RE must invoke DLG within 120 days overdue; DLG tenor must be at least the longest loan tenor in the portfolio</t>
        </is>
      </c>
      <c r="D104" s="9" t="inlineStr">
        <is>
          <t>120</t>
        </is>
      </c>
      <c r="E104" s="9" t="inlineStr">
        <is>
          <t>days overdue (max)</t>
        </is>
      </c>
      <c r="F104" s="10" t="inlineStr">
        <is>
          <t>DLG arrangements</t>
        </is>
      </c>
      <c r="G104" s="9" t="inlineStr">
        <is>
          <t>2025-05-08</t>
        </is>
      </c>
      <c r="H104" s="9" t="inlineStr">
        <is>
          <t>n/a</t>
        </is>
      </c>
      <c r="I104" s="9" t="inlineStr">
        <is>
          <t>RBI (Digital Lending) Directions, 2025, para 26; DLG guidelines 08-Jun-2023 paras 9-10</t>
        </is>
      </c>
      <c r="J104" s="9" t="inlineStr">
        <is>
          <t>https://www.rbi.org.in/scripts/NotificationUser.aspx?Id=12848&amp;Mode=0</t>
        </is>
      </c>
      <c r="K104" s="9" t="inlineStr">
        <is>
          <t>2025-05-08</t>
        </is>
      </c>
      <c r="L104" s="9" t="inlineStr">
        <is>
          <t>2026-09-30</t>
        </is>
      </c>
      <c r="M104" s="9" t="inlineStr">
        <is>
          <t>confirmed</t>
        </is>
      </c>
      <c r="N104" s="10" t="inlineStr">
        <is>
          <t>NPA recognition and provisioning stay with the RE regardless of DLG (para 24); invoked DLG is not set off against individual loans.</t>
        </is>
      </c>
    </row>
    <row r="105">
      <c r="A105" s="9" t="inlineStr">
        <is>
          <t>REG-007</t>
        </is>
      </c>
      <c r="B105" s="9" t="inlineStr">
        <is>
          <t>DLG</t>
        </is>
      </c>
      <c r="C105" s="10" t="inlineStr">
        <is>
          <t>No DLG is allowed on revolving credit facilities offered digitally or on credit cards</t>
        </is>
      </c>
      <c r="D105" s="9" t="inlineStr">
        <is>
          <t>prohibited</t>
        </is>
      </c>
      <c r="E105" s="9" t="inlineStr">
        <is>
          <t>rule</t>
        </is>
      </c>
      <c r="F105" s="10" t="inlineStr">
        <is>
          <t>REs</t>
        </is>
      </c>
      <c r="G105" s="9" t="inlineStr">
        <is>
          <t>2025-05-08</t>
        </is>
      </c>
      <c r="H105" s="9" t="inlineStr">
        <is>
          <t>n/a</t>
        </is>
      </c>
      <c r="I105" s="9" t="inlineStr">
        <is>
          <t>RBI (Digital Lending) Directions, 2025, para 20</t>
        </is>
      </c>
      <c r="J105" s="9" t="inlineStr">
        <is>
          <t>https://www.rbi.org.in/scripts/NotificationUser.aspx?Id=12848&amp;Mode=0</t>
        </is>
      </c>
      <c r="K105" s="9" t="inlineStr">
        <is>
          <t>2025-05-08</t>
        </is>
      </c>
      <c r="L105" s="9" t="inlineStr">
        <is>
          <t>2026-09-30</t>
        </is>
      </c>
      <c r="M105" s="9" t="inlineStr">
        <is>
          <t>confirmed</t>
        </is>
      </c>
      <c r="N105" s="10" t="inlineStr">
        <is>
          <t>Relevant to the FD-secured card line: the app cannot give first-loss cover on card or credit-line books. Also barred: DLG on loans already under CGTMSE-type trust guarantees, and on NBFC-P2P loans.</t>
        </is>
      </c>
    </row>
    <row r="106">
      <c r="A106" s="9" t="inlineStr">
        <is>
          <t>REG-008</t>
        </is>
      </c>
      <c r="B106" s="9" t="inlineStr">
        <is>
          <t>DLG / Bueno model</t>
        </is>
      </c>
      <c r="C106" s="10" t="inlineStr">
        <is>
          <t>A Bueno-style arrangement (LSP pays lender a fixed 18% IRR and bears 100% of default losses) is NOT permitted today: any contract 'called by whatever name' or implicit guarantee linked to portfolio performance is a DLG and is capped at 5%</t>
        </is>
      </c>
      <c r="D106" s="9" t="inlineStr">
        <is>
          <t>5% max (vs 100% in Bueno model)</t>
        </is>
      </c>
      <c r="E106" s="9" t="inlineStr">
        <is>
          <t>cap on risk borne by LSP</t>
        </is>
      </c>
      <c r="F106" s="10" t="inlineStr">
        <is>
          <t>RE-LSP arrangements</t>
        </is>
      </c>
      <c r="G106" s="9" t="inlineStr">
        <is>
          <t>2025-05-08</t>
        </is>
      </c>
      <c r="H106" s="9" t="inlineStr">
        <is>
          <t>n/a</t>
        </is>
      </c>
      <c r="I106" s="9" t="inlineStr">
        <is>
          <t>DLG guidelines 08-Jun-2023 Annex para 2.1 (definition) and para 6 (cap); carried into RBI (Digital Lending) Directions, 2025 paras 4 and 23</t>
        </is>
      </c>
      <c r="J106" s="9" t="inlineStr">
        <is>
          <t>https://fidcindia.org.in/wp-content/uploads/2023/06/RBI-DLG-IN-DIGITAL-LENDING-08-06-23.pdf</t>
        </is>
      </c>
      <c r="K106" s="9" t="inlineStr">
        <is>
          <t>2023-06-08</t>
        </is>
      </c>
      <c r="L106" s="9" t="inlineStr">
        <is>
          <t>2026-09-30</t>
        </is>
      </c>
      <c r="M106" s="9" t="inlineStr">
        <is>
          <t>confirmed</t>
        </is>
      </c>
      <c r="N106" s="10" t="inlineStr">
        <is>
          <t>Definition: 'A contractual arrangement, called by whatever name... Any other implicit guarantee of similar nature linked to the performance of the loan portfolio of the RE and specified upfront, shall also be covered under the definition of DLG.' Cap para: 'In case of implicit guarantee arrangements, the DLG Provider shall not bear performance risk of more than the equivalent amount of five per cent of the underlying loan portfolio.' A fixed-return promise to the lender is itself performance-risk transfer.</t>
        </is>
      </c>
    </row>
    <row r="107">
      <c r="A107" s="9" t="inlineStr">
        <is>
          <t>REG-009</t>
        </is>
      </c>
      <c r="B107" s="9" t="inlineStr">
        <is>
          <t>DLG / Bueno model</t>
        </is>
      </c>
      <c r="C107" s="10" t="inlineStr">
        <is>
          <t>Only DLG conforming to the rules escapes treatment as 'synthetic securitisation' (and 'loan participation'); synthetic securitisation is not permitted under the 2021 Securitisation Directions, so a structure beyond the 5% cap is caught</t>
        </is>
      </c>
      <c r="D107" s="9" t="inlineStr">
        <is>
          <t>para 29(ii) DL Directions 2025; para 2 of 08-Jun-2023 circular</t>
        </is>
      </c>
      <c r="E107" s="9" t="inlineStr">
        <is>
          <t>paragraph</t>
        </is>
      </c>
      <c r="F107" s="10" t="inlineStr">
        <is>
          <t>RE-LSP arrangements</t>
        </is>
      </c>
      <c r="G107" s="9" t="inlineStr">
        <is>
          <t>2025-05-08</t>
        </is>
      </c>
      <c r="H107" s="9" t="inlineStr">
        <is>
          <t>n/a</t>
        </is>
      </c>
      <c r="I107" s="9" t="inlineStr">
        <is>
          <t>RBI (Digital Lending) Directions, 2025 para 29(ii); DLG circular RBI/2023-24/41 para 2; Securitisation of Standard Assets Directions 2021 para 6(c)</t>
        </is>
      </c>
      <c r="J107" s="9" t="inlineStr">
        <is>
          <t>https://www.rbi.org.in/scripts/NotificationUser.aspx?Id=12848&amp;Mode=0</t>
        </is>
      </c>
      <c r="K107" s="9" t="inlineStr">
        <is>
          <t>2025-05-08</t>
        </is>
      </c>
      <c r="L107" s="9" t="inlineStr">
        <is>
          <t>2026-09-30</t>
        </is>
      </c>
      <c r="M107" s="9" t="inlineStr">
        <is>
          <t>confirmed</t>
        </is>
      </c>
      <c r="N107" s="10" t="inlineStr">
        <is>
          <t>Para 29(ii): 'DLG arrangements ... conforming to the instructions laid down in Chapter VI ... shall not be treated as synthetic securitisation as defined under para 6(c) of Master Direction - RBI (Securitisation of Standard Assets) Directions, 2021 ... and shall also not attract the provisions of loan participation'. The inference that the securitisation MD prohibits synthetic securitisation is from secondary sources (Vinod Kothari, CBFL NLU Delhi); I did not open the MD text itself.</t>
        </is>
      </c>
    </row>
    <row r="108">
      <c r="A108" s="9" t="inlineStr">
        <is>
          <t>REG-010</t>
        </is>
      </c>
      <c r="B108" s="9" t="inlineStr">
        <is>
          <t>DLG</t>
        </is>
      </c>
      <c r="C108" s="10" t="inlineStr">
        <is>
          <t>Feb 2026: RBI let NBFCs take DLG into account when computing ECL provisions (IRACP Amendment Directions 2026); DLG must be integral to the loan contract and ECL recomputed after each invocation</t>
        </is>
      </c>
      <c r="D108" s="9" t="inlineStr">
        <is>
          <t>2026-02-13</t>
        </is>
      </c>
      <c r="E108" s="9" t="inlineStr">
        <is>
          <t>date reported</t>
        </is>
      </c>
      <c r="F108" s="10" t="inlineStr">
        <is>
          <t>NBFCs</t>
        </is>
      </c>
      <c r="G108" s="9" t="inlineStr">
        <is>
          <t>2026-02-13</t>
        </is>
      </c>
      <c r="H108" s="9" t="inlineStr">
        <is>
          <t>n/a</t>
        </is>
      </c>
      <c r="I108" s="9" t="inlineStr">
        <is>
          <t>Business Standard, 'RBI allows NBFCs to factor DLG in determining provisions under ECL'; KNM India note on IRACP Amendment Directions 2026</t>
        </is>
      </c>
      <c r="J108" s="9" t="inlineStr">
        <is>
          <t>https://www.business-standard.com/finance/news/rbi-allows-nbfcs-to-factor-dlg-in-determining-provisions-under-ecl-126021301807_1.html</t>
        </is>
      </c>
      <c r="K108" s="9" t="inlineStr">
        <is>
          <t>2026-02-13</t>
        </is>
      </c>
      <c r="L108" s="9" t="inlineStr">
        <is>
          <t>2026-09-30</t>
        </is>
      </c>
      <c r="M108" s="9" t="inlineStr">
        <is>
          <t>unverified</t>
        </is>
      </c>
      <c r="N108" s="10" t="inlineStr">
        <is>
          <t>Date inferred from the Business Standard URL (page returned 403). Provisioning relief only - no change to the 5% cap was reported. Makes 5% DLG slightly more valuable to NBFC partners.</t>
        </is>
      </c>
    </row>
    <row r="109">
      <c r="A109" s="9" t="inlineStr">
        <is>
          <t>REG-011</t>
        </is>
      </c>
      <c r="B109" s="9" t="inlineStr">
        <is>
          <t>LSP fees</t>
        </is>
      </c>
      <c r="C109" s="10" t="inlineStr">
        <is>
          <t>Any fees/charges payable to an LSP must be paid directly by the lender (RE); the LSP may not charge or collect them from the borrower</t>
        </is>
      </c>
      <c r="D109" s="9" t="inlineStr">
        <is>
          <t>RE pays LSP</t>
        </is>
      </c>
      <c r="E109" s="9" t="inlineStr">
        <is>
          <t>rule</t>
        </is>
      </c>
      <c r="F109" s="10" t="inlineStr">
        <is>
          <t>Digital loans via LSPs</t>
        </is>
      </c>
      <c r="G109" s="9" t="inlineStr">
        <is>
          <t>2025-05-08</t>
        </is>
      </c>
      <c r="H109" s="9" t="inlineStr">
        <is>
          <t>n/a</t>
        </is>
      </c>
      <c r="I109" s="9" t="inlineStr">
        <is>
          <t>RBI (Digital Lending) Directions, 2025, para 9(iv)</t>
        </is>
      </c>
      <c r="J109" s="9" t="inlineStr">
        <is>
          <t>https://www.rbi.org.in/scripts/NotificationUser.aspx?Id=12848&amp;Mode=0</t>
        </is>
      </c>
      <c r="K109" s="9" t="inlineStr">
        <is>
          <t>2025-05-08</t>
        </is>
      </c>
      <c r="L109" s="9" t="inlineStr">
        <is>
          <t>2026-09-30</t>
        </is>
      </c>
      <c r="M109" s="9" t="inlineStr">
        <is>
          <t>confirmed</t>
        </is>
      </c>
      <c r="N109" s="10" t="inlineStr">
        <is>
          <t>'RE shall ensure that any fees, charges, reimbursements, etc. payable to LSP are paid directly by the RE and are not charged to or collected from the borrowers separately by LSP.' So app revenue from loans = sourcing/servicing fee from the lender (plus DLG-linked economics), never a borrower fee. Repayments must go straight to the RE's account - no pass-through or LSP-controlled fund flow (para 9).</t>
        </is>
      </c>
    </row>
    <row r="110">
      <c r="A110" s="9" t="inlineStr">
        <is>
          <t>REG-012</t>
        </is>
      </c>
      <c r="B110" s="9" t="inlineStr">
        <is>
          <t>KFS / APR</t>
        </is>
      </c>
      <c r="C110" s="10" t="inlineStr">
        <is>
          <t>Every retail and MSME term loan sanctioned on/after 1-Oct-2024 needs a Key Facts Statement with an all-in APR computation; third-party charges recovered on actual basis (e.g., insurance, legal) are part of APR; charges not in the KFS cannot be levied without explicit consent</t>
        </is>
      </c>
      <c r="D110" s="9" t="inlineStr">
        <is>
          <t>2024-10-01</t>
        </is>
      </c>
      <c r="E110" s="9" t="inlineStr">
        <is>
          <t>effective date</t>
        </is>
      </c>
      <c r="F110" s="10" t="inlineStr">
        <is>
          <t>All REs, new retail &amp; MSME term loans</t>
        </is>
      </c>
      <c r="G110" s="9" t="inlineStr">
        <is>
          <t>2024-04-15</t>
        </is>
      </c>
      <c r="H110" s="9" t="inlineStr">
        <is>
          <t>n/a</t>
        </is>
      </c>
      <c r="I110" s="9" t="inlineStr">
        <is>
          <t>RBI circular 'Key Facts Statement (KFS) for Loans &amp; Advances' RBI/2024-25/18 DOR.STR.REC.13/13.03.00/2024-25</t>
        </is>
      </c>
      <c r="J110" s="9" t="inlineStr">
        <is>
          <t>https://www.rbi.org.in/Scripts/NotificationUser.aspx?Id=12663&amp;Mode=0</t>
        </is>
      </c>
      <c r="K110" s="9" t="inlineStr">
        <is>
          <t>2024-04-15</t>
        </is>
      </c>
      <c r="L110" s="9" t="inlineStr">
        <is>
          <t>2026-09-30</t>
        </is>
      </c>
      <c r="M110" s="9" t="inlineStr">
        <is>
          <t>confirmed</t>
        </is>
      </c>
      <c r="N110" s="10" t="inlineStr">
        <is>
          <t>DL Directions 2025 para 8(i) requires the KFS for digital loans and para 4(i) adopts this APR definition. Because the LSP fee is paid by the RE and recovered through pricing, it is inside the APR the borrower sees.</t>
        </is>
      </c>
    </row>
    <row r="111">
      <c r="A111" s="9" t="inlineStr">
        <is>
          <t>REG-013</t>
        </is>
      </c>
      <c r="B111" s="9" t="inlineStr">
        <is>
          <t>Cooling-off</t>
        </is>
      </c>
      <c r="C111" s="10" t="inlineStr">
        <is>
          <t>Digital borrowers get a cooling-off period (board-set, minimum 1 day) to exit by paying principal plus proportionate APR with no penalty</t>
        </is>
      </c>
      <c r="D111" s="9" t="inlineStr">
        <is>
          <t>1</t>
        </is>
      </c>
      <c r="E111" s="9" t="inlineStr">
        <is>
          <t>day minimum</t>
        </is>
      </c>
      <c r="F111" s="10" t="inlineStr">
        <is>
          <t>Digital loans</t>
        </is>
      </c>
      <c r="G111" s="9" t="inlineStr">
        <is>
          <t>2025-05-08</t>
        </is>
      </c>
      <c r="H111" s="9" t="inlineStr">
        <is>
          <t>n/a</t>
        </is>
      </c>
      <c r="I111" s="9" t="inlineStr">
        <is>
          <t>RBI (Digital Lending) Directions, 2025, para 10(i)</t>
        </is>
      </c>
      <c r="J111" s="9" t="inlineStr">
        <is>
          <t>https://www.rbi.org.in/scripts/NotificationUser.aspx?Id=12848&amp;Mode=0</t>
        </is>
      </c>
      <c r="K111" s="9" t="inlineStr">
        <is>
          <t>2025-05-08</t>
        </is>
      </c>
      <c r="L111" s="9" t="inlineStr">
        <is>
          <t>2026-09-30</t>
        </is>
      </c>
      <c r="M111" s="9" t="inlineStr">
        <is>
          <t>confirmed</t>
        </is>
      </c>
      <c r="N111" s="10" t="inlineStr">
        <is>
          <t>Any LSP fee the lender pays on a loan that is cancelled in cooling-off is at risk - model a clawback.</t>
        </is>
      </c>
    </row>
    <row r="112">
      <c r="A112" s="9" t="inlineStr">
        <is>
          <t>REG-014</t>
        </is>
      </c>
      <c r="B112" s="9" t="inlineStr">
        <is>
          <t>Multi-lender LSP</t>
        </is>
      </c>
      <c r="C112" s="10" t="inlineStr">
        <is>
          <t>From 1-Nov-2025 an LSP tied to several lenders must show a digital view of ALL matching offers (lender name, amount, tenor, APR, monthly repayment, penal charges, link to each KFS), name the unmatched lenders, use a consistent documented matching method, and not push any lender (no dark patterns); ranking allowed only on a publicly pre-disclosed metric</t>
        </is>
      </c>
      <c r="D112" s="9" t="inlineStr">
        <is>
          <t>2025-11-01</t>
        </is>
      </c>
      <c r="E112" s="9" t="inlineStr">
        <is>
          <t>effective date</t>
        </is>
      </c>
      <c r="F112" s="10" t="inlineStr">
        <is>
          <t>LSPs with multiple lender partners</t>
        </is>
      </c>
      <c r="G112" s="9" t="inlineStr">
        <is>
          <t>2025-05-08</t>
        </is>
      </c>
      <c r="H112" s="9" t="inlineStr">
        <is>
          <t>n/a</t>
        </is>
      </c>
      <c r="I112" s="9" t="inlineStr">
        <is>
          <t>RBI (Digital Lending) Directions, 2025, para 6</t>
        </is>
      </c>
      <c r="J112" s="9" t="inlineStr">
        <is>
          <t>https://www.rbi.org.in/scripts/NotificationUser.aspx?Id=12848&amp;Mode=0</t>
        </is>
      </c>
      <c r="K112" s="9" t="inlineStr">
        <is>
          <t>2025-05-08</t>
        </is>
      </c>
      <c r="L112" s="9" t="inlineStr">
        <is>
          <t>2026-09-30</t>
        </is>
      </c>
      <c r="M112" s="9" t="inlineStr">
        <is>
          <t>confirmed</t>
        </is>
      </c>
      <c r="N112" s="10" t="inlineStr">
        <is>
          <t>Limits the ability to steer workers to the lender paying the highest LSP fee.</t>
        </is>
      </c>
    </row>
    <row r="113">
      <c r="A113" s="9" t="inlineStr">
        <is>
          <t>REG-015</t>
        </is>
      </c>
      <c r="B113" s="9" t="inlineStr">
        <is>
          <t>LSP data</t>
        </is>
      </c>
      <c r="C113" s="10" t="inlineStr">
        <is>
          <t>LSPs may not store borrower personal data beyond basic minimal data (name, address, contact details) needed for their contracted role; all data on servers in India (if processed abroad, deleted and brought back within 24 hours); DLAs must not access files/media, contacts, call logs, telephony</t>
        </is>
      </c>
      <c r="D113" s="9" t="inlineStr">
        <is>
          <t>basic minimal data only; India servers; 24h</t>
        </is>
      </c>
      <c r="E113" s="9" t="inlineStr">
        <is>
          <t>rule</t>
        </is>
      </c>
      <c r="F113" s="10" t="inlineStr">
        <is>
          <t>LSPs and DLAs of REs</t>
        </is>
      </c>
      <c r="G113" s="9" t="inlineStr">
        <is>
          <t>2025-05-08</t>
        </is>
      </c>
      <c r="H113" s="9" t="inlineStr">
        <is>
          <t>n/a</t>
        </is>
      </c>
      <c r="I113" s="9" t="inlineStr">
        <is>
          <t>RBI (Digital Lending) Directions, 2025, paras 12(i), 13(i), 13(iv)</t>
        </is>
      </c>
      <c r="J113" s="9" t="inlineStr">
        <is>
          <t>https://www.rbi.org.in/scripts/NotificationUser.aspx?Id=12848&amp;Mode=0</t>
        </is>
      </c>
      <c r="K113" s="9" t="inlineStr">
        <is>
          <t>2025-05-08</t>
        </is>
      </c>
      <c r="L113" s="9" t="inlineStr">
        <is>
          <t>2026-09-30</t>
        </is>
      </c>
      <c r="M113" s="9" t="inlineStr">
        <is>
          <t>confirmed</t>
        </is>
      </c>
      <c r="N113" s="10" t="inlineStr">
        <is>
          <t>Tension with the savings-first thesis: savings history captured as a savings/MF distributor is a different data role, but using it for underwriting on behalf of a lender needs explicit need-based consent with audit trail. No biometric data may be stored by the RE/LSP unless allowed by law.</t>
        </is>
      </c>
    </row>
    <row r="114">
      <c r="A114" s="9" t="inlineStr">
        <is>
          <t>REG-016</t>
        </is>
      </c>
      <c r="B114" s="9" t="inlineStr">
        <is>
          <t>LSP obligations</t>
        </is>
      </c>
      <c r="C114" s="10" t="inlineStr">
        <is>
          <t>The RE and any LSP with a borrower interface must each appoint a nodal grievance redressal officer, displayed on website and app; RE must list its LSPs and their DLAs on its website and report DLAs to RBI (CIMS) from 15-Jun-2025</t>
        </is>
      </c>
      <c r="D114" s="9" t="inlineStr">
        <is>
          <t>2025-06-15</t>
        </is>
      </c>
      <c r="E114" s="9" t="inlineStr">
        <is>
          <t>DLA reporting start</t>
        </is>
      </c>
      <c r="F114" s="10" t="inlineStr">
        <is>
          <t>REs/LSPs</t>
        </is>
      </c>
      <c r="G114" s="9" t="inlineStr">
        <is>
          <t>2025-05-08</t>
        </is>
      </c>
      <c r="H114" s="9" t="inlineStr">
        <is>
          <t>n/a</t>
        </is>
      </c>
      <c r="I114" s="9" t="inlineStr">
        <is>
          <t>RBI (Digital Lending) Directions, 2025, paras 5, 11, 17</t>
        </is>
      </c>
      <c r="J114" s="9" t="inlineStr">
        <is>
          <t>https://www.rbi.org.in/scripts/NotificationUser.aspx?Id=12848&amp;Mode=0</t>
        </is>
      </c>
      <c r="K114" s="9" t="inlineStr">
        <is>
          <t>2025-05-08</t>
        </is>
      </c>
      <c r="L114" s="9" t="inlineStr">
        <is>
          <t>2026-09-30</t>
        </is>
      </c>
      <c r="M114" s="9" t="inlineStr">
        <is>
          <t>confirmed</t>
        </is>
      </c>
      <c r="N114" s="10" t="inlineStr">
        <is>
          <t>RBI publishes the reported DLA list, so an unlisted app is visibly unauthorised.</t>
        </is>
      </c>
    </row>
    <row r="115">
      <c r="A115" s="9" t="inlineStr">
        <is>
          <t>REG-017</t>
        </is>
      </c>
      <c r="B115" s="9" t="inlineStr">
        <is>
          <t>NBFC licence</t>
        </is>
      </c>
      <c r="C115" s="10" t="inlineStr">
        <is>
          <t>Minimum Net Owned Fund for NBFC-ICC rises to Rs 10 crore; glide path for existing NBFC-ICCs: Rs 2 cr (2021) -&gt; Rs 5 cr by 31-Mar-2025 -&gt; Rs 10 cr by 31-Mar-2027</t>
        </is>
      </c>
      <c r="D115" s="9" t="inlineStr">
        <is>
          <t>10</t>
        </is>
      </c>
      <c r="E115" s="9" t="inlineStr">
        <is>
          <t>Rs crore NOF</t>
        </is>
      </c>
      <c r="F115" s="10" t="inlineStr">
        <is>
          <t>NBFC-ICC (also NBFC-MFI and NBFC-Factors reach Rs 10 cr by 31-Mar-2027)</t>
        </is>
      </c>
      <c r="G115" s="9" t="inlineStr">
        <is>
          <t>2021-10-22</t>
        </is>
      </c>
      <c r="H115" s="9" t="inlineStr">
        <is>
          <t>n/a</t>
        </is>
      </c>
      <c r="I115" s="9" t="inlineStr">
        <is>
          <t>RBI circular 'Scale Based Regulation (SBR): A Revised Regulatory Framework for NBFCs' RBI/2021-22/112</t>
        </is>
      </c>
      <c r="J115" s="9" t="inlineStr">
        <is>
          <t>https://www.rbi.org.in/Scripts/NotificationUser.aspx?Id=12179&amp;Mode=0</t>
        </is>
      </c>
      <c r="K115" s="9" t="inlineStr">
        <is>
          <t>2021-10-22</t>
        </is>
      </c>
      <c r="L115" s="9" t="inlineStr">
        <is>
          <t>2026-09-30</t>
        </is>
      </c>
      <c r="M115" s="9" t="inlineStr">
        <is>
          <t>confirmed</t>
        </is>
      </c>
      <c r="N115" s="10" t="inlineStr">
        <is>
          <t>Glide path: NBFC-ICC 2 -&gt; 5 (Mar-2025) -&gt; 10 (Mar-2027); NBFC-MFI 5 (2 in NE) -&gt; 7 (5 in NE) -&gt; 10; NBFC-Factors 5 -&gt; 7 -&gt; 10. Vinod Kothari reports the Nov-2025 consolidated directions set NBFC-MFI at Rs 5 cr rather than 7 (unverified). A new applicant is generally advised to bring Rs 10 cr (advisory sites), i.e. this is equity the founder must raise before lending on own book.</t>
        </is>
      </c>
    </row>
    <row r="116">
      <c r="A116" s="9" t="inlineStr">
        <is>
          <t>REG-018</t>
        </is>
      </c>
      <c r="B116" s="9" t="inlineStr">
        <is>
          <t>NBFC licence</t>
        </is>
      </c>
      <c r="C116" s="10" t="inlineStr">
        <is>
          <t>RBI's Citizen's Charter timeline for an application for grant of NBFC Certificate of Registration (via PRAVAAH) is 90 days from a complete application</t>
        </is>
      </c>
      <c r="D116" s="9" t="inlineStr">
        <is>
          <t>90</t>
        </is>
      </c>
      <c r="E116" s="9" t="inlineStr">
        <is>
          <t>days (RBI charter, complete application)</t>
        </is>
      </c>
      <c r="F116" s="10" t="inlineStr">
        <is>
          <t>New NBFC applicants</t>
        </is>
      </c>
      <c r="G116" s="9" t="inlineStr">
        <is>
          <t>2026-09-30</t>
        </is>
      </c>
      <c r="H116" s="9" t="inlineStr">
        <is>
          <t>n/a</t>
        </is>
      </c>
      <c r="I116" s="9" t="inlineStr">
        <is>
          <t>RBI Citizen's Charter (row 'Application for grant of CoR as NBFC')</t>
        </is>
      </c>
      <c r="J116" s="9" t="inlineStr">
        <is>
          <t>https://www.rbi.org.in/Scripts/CitiChart.aspx</t>
        </is>
      </c>
      <c r="K116" s="9" t="inlineStr">
        <is>
          <t>2026-09-30</t>
        </is>
      </c>
      <c r="L116" s="9" t="inlineStr">
        <is>
          <t>2026-09-30</t>
        </is>
      </c>
      <c r="M116" s="9" t="inlineStr">
        <is>
          <t>confirmed</t>
        </is>
      </c>
      <c r="N116" s="10" t="inlineStr">
        <is>
          <t>Practitioners quote 90-180 days at RBI and 8-14 months end-to-end incl. incorporation and capital infusion (incorpx.io, treelife.in - advisory firms, lower reliability). Use 6-12 months base, 18+ months high.</t>
        </is>
      </c>
    </row>
    <row r="117">
      <c r="A117" s="9" t="inlineStr">
        <is>
          <t>REG-019</t>
        </is>
      </c>
      <c r="B117" s="9" t="inlineStr">
        <is>
          <t>NBFC licence</t>
        </is>
      </c>
      <c r="C117" s="10" t="inlineStr">
        <is>
          <t>RBI is still granting new NBFC CoRs, but the number of registrations (and cancellations) declined in 2023-24; RBI cancelled 143 CoRs that year</t>
        </is>
      </c>
      <c r="D117" s="9" t="inlineStr">
        <is>
          <t>143</t>
        </is>
      </c>
      <c r="E117" s="9" t="inlineStr">
        <is>
          <t>CoRs cancelled in 2023-24</t>
        </is>
      </c>
      <c r="F117" s="10" t="inlineStr">
        <is>
          <t>NBFCs</t>
        </is>
      </c>
      <c r="G117" s="9" t="inlineStr">
        <is>
          <t>2024-03-31</t>
        </is>
      </c>
      <c r="H117" s="9" t="inlineStr">
        <is>
          <t>n/a</t>
        </is>
      </c>
      <c r="I117" s="9" t="inlineStr">
        <is>
          <t>RBI Report on Trend and Progress of Banking in India 2023-24, ch. VI para VI.8 and Chart VI.3</t>
        </is>
      </c>
      <c r="J117" s="9" t="inlineStr">
        <is>
          <t>https://www.fidcindia.org.in/wp-content/uploads/2024/12/RBI-NBFCs-REPORT-ON-TRENDS-2023-24-26-12-24.pdf</t>
        </is>
      </c>
      <c r="K117" s="9" t="inlineStr">
        <is>
          <t>2024-12-26</t>
        </is>
      </c>
      <c r="L117" s="9" t="inlineStr">
        <is>
          <t>2026-09-30</t>
        </is>
      </c>
      <c r="M117" s="9" t="inlineStr">
        <is>
          <t>unverified</t>
        </is>
      </c>
      <c r="N117" s="10" t="inlineStr">
        <is>
          <t>The count of NEW CoRs granted is only in Chart VI.3 (not extractable as text); I could not find a published 2024-25 or 2025-26 count. Treat 'RBI is granting new licences' as true but slow and selective.</t>
        </is>
      </c>
    </row>
    <row r="118">
      <c r="A118" s="9" t="inlineStr">
        <is>
          <t>REG-020</t>
        </is>
      </c>
      <c r="B118" s="9" t="inlineStr">
        <is>
          <t>NBFC licence</t>
        </is>
      </c>
      <c r="C118" s="10" t="inlineStr">
        <is>
          <t>From 1-Apr-2026 NBFCs with no public funds AND no customer interface and assets &lt; Rs 1,000 cr ('Unregistered Type I NBFC') are exempt from registration; a customer-facing lender (Type II) must still register</t>
        </is>
      </c>
      <c r="D118" s="9" t="inlineStr">
        <is>
          <t>1000</t>
        </is>
      </c>
      <c r="E118" s="9" t="inlineStr">
        <is>
          <t>Rs crore asset threshold</t>
        </is>
      </c>
      <c r="F118" s="10" t="inlineStr">
        <is>
          <t>NBFCs</t>
        </is>
      </c>
      <c r="G118" s="9" t="inlineStr">
        <is>
          <t>2026-04-01</t>
        </is>
      </c>
      <c r="H118" s="9" t="inlineStr">
        <is>
          <t>n/a</t>
        </is>
      </c>
      <c r="I118" s="9" t="inlineStr">
        <is>
          <t>Legal 500 / Ahlawat &amp; Associates, 'RBI Amendments 2026: A New Category for NBFC Registration and Exemptions'; Khaitan &amp; Co ERGO 5-May-2026</t>
        </is>
      </c>
      <c r="J118" s="9" t="inlineStr">
        <is>
          <t>https://www.legal500.com/developments/thought-leadership/rbi-amendments-2026-a-new-category-for-nbfc-registration-and-exemptions/</t>
        </is>
      </c>
      <c r="K118" s="9" t="inlineStr">
        <is>
          <t>2026-05</t>
        </is>
      </c>
      <c r="L118" s="9" t="inlineStr">
        <is>
          <t>2026-09-30</t>
        </is>
      </c>
      <c r="M118" s="9" t="inlineStr">
        <is>
          <t>unverified</t>
        </is>
      </c>
      <c r="N118" s="10" t="inlineStr">
        <is>
          <t>Law-firm summary; RBI text not opened. Irrelevant to a worker-facing lender (it has a customer interface), so an own-NBFC route still needs full registration and Rs 10 cr NOF. One-time window to surrender CoR open till 30-Sep-2026.</t>
        </is>
      </c>
    </row>
    <row r="119">
      <c r="A119" s="9" t="inlineStr">
        <is>
          <t>REG-021</t>
        </is>
      </c>
      <c r="B119" s="9" t="inlineStr">
        <is>
          <t>Gold loans</t>
        </is>
      </c>
      <c r="C119" s="10" t="inlineStr">
        <is>
          <t>RBI (Lending Against Gold and Silver Collateral) Directions, 2025 issued 6-Jun-2025 (updated 29-Sep-2025); lenders must comply no later than 1-Apr-2026</t>
        </is>
      </c>
      <c r="D119" s="9" t="inlineStr">
        <is>
          <t>2026-04-01</t>
        </is>
      </c>
      <c r="E119" s="9" t="inlineStr">
        <is>
          <t>compliance deadline</t>
        </is>
      </c>
      <c r="F119" s="10" t="inlineStr">
        <is>
          <t>Commercial banks, co-op banks, all NBFCs</t>
        </is>
      </c>
      <c r="G119" s="9" t="inlineStr">
        <is>
          <t>2025-09-29</t>
        </is>
      </c>
      <c r="H119" s="9" t="inlineStr">
        <is>
          <t>n/a</t>
        </is>
      </c>
      <c r="I119" s="9" t="inlineStr">
        <is>
          <t>RBI (Lending Against Gold and Silver Collateral) Directions, 2025 - RBI/2025-26/47 DOR.CRE.REC.26/21.01.023/2025-26, para 4</t>
        </is>
      </c>
      <c r="J119" s="9" t="inlineStr">
        <is>
          <t>https://rbi.org.in/scripts/NotificationUser.aspx?Mode=0&amp;Id=12859</t>
        </is>
      </c>
      <c r="K119" s="9" t="inlineStr">
        <is>
          <t>2025-06-06</t>
        </is>
      </c>
      <c r="L119" s="9" t="inlineStr">
        <is>
          <t>2026-09-30</t>
        </is>
      </c>
      <c r="M119" s="9" t="inlineStr">
        <is>
          <t>confirmed</t>
        </is>
      </c>
      <c r="N119" s="10" t="inlineStr">
        <is>
          <t>Para 4: 'shall be complied with as expeditiously as possible but no later than April 1, 2026.' Loans sanctioned earlier stay under the old rules. LTV for consumption loans: &lt;=Rs 2.5 lakh 85%; Rs 2.5-5 lakh 80%; &gt;Rs 5 lakh 75% (para 19). Coin collateral capped at 50 g gold / 500 g silver.</t>
        </is>
      </c>
    </row>
    <row r="120">
      <c r="A120" s="9" t="inlineStr">
        <is>
          <t>REG-022</t>
        </is>
      </c>
      <c r="B120" s="9" t="inlineStr">
        <is>
          <t>Gold loans</t>
        </is>
      </c>
      <c r="C120" s="10" t="inlineStr">
        <is>
          <t>Lenders may not lend against primary gold/silver or against financial assets backed by primary gold/silver (e.g., gold ETF units, gold mutual fund units), nor finance purchase of gold in any form</t>
        </is>
      </c>
      <c r="D120" s="9" t="inlineStr">
        <is>
          <t>prohibited</t>
        </is>
      </c>
      <c r="E120" s="9" t="inlineStr">
        <is>
          <t>rule</t>
        </is>
      </c>
      <c r="F120" s="10" t="inlineStr">
        <is>
          <t>All banks and NBFCs</t>
        </is>
      </c>
      <c r="G120" s="9" t="inlineStr">
        <is>
          <t>2025-06-06</t>
        </is>
      </c>
      <c r="H120" s="9" t="inlineStr">
        <is>
          <t>n/a</t>
        </is>
      </c>
      <c r="I120" s="9" t="inlineStr">
        <is>
          <t>RBI (Lending Against Gold and Silver Collateral) Directions, 2025, para 12; definition para 6(x)</t>
        </is>
      </c>
      <c r="J120" s="9" t="inlineStr">
        <is>
          <t>https://rbi.org.in/scripts/NotificationUser.aspx?Mode=0&amp;Id=12859</t>
        </is>
      </c>
      <c r="K120" s="9" t="inlineStr">
        <is>
          <t>2025-06-06</t>
        </is>
      </c>
      <c r="L120" s="9" t="inlineStr">
        <is>
          <t>2026-09-30</t>
        </is>
      </c>
      <c r="M120" s="9" t="inlineStr">
        <is>
          <t>confirmed</t>
        </is>
      </c>
      <c r="N120" s="10" t="inlineStr">
        <is>
          <t>'Primary gold/silver' = 'Gold and silver in any form other than in the form of a jewellery, ornaments and coins'. The Direction does not mention 'digital gold' by name.</t>
        </is>
      </c>
    </row>
    <row r="121">
      <c r="A121" s="9" t="inlineStr">
        <is>
          <t>REG-023</t>
        </is>
      </c>
      <c r="B121" s="9" t="inlineStr">
        <is>
          <t>Gold loans</t>
        </is>
      </c>
      <c r="C121" s="10" t="inlineStr">
        <is>
          <t>Digital gold counts as primary gold, so loans against digital gold are barred</t>
        </is>
      </c>
      <c r="D121" s="9" t="inlineStr">
        <is>
          <t>barred (by inference)</t>
        </is>
      </c>
      <c r="E121" s="9" t="inlineStr">
        <is>
          <t>interpretation</t>
        </is>
      </c>
      <c r="F121" s="10" t="inlineStr">
        <is>
          <t>Digital gold holders</t>
        </is>
      </c>
      <c r="G121" s="9" t="inlineStr">
        <is>
          <t>2025-06-06</t>
        </is>
      </c>
      <c r="H121" s="9" t="inlineStr">
        <is>
          <t>n/a</t>
        </is>
      </c>
      <c r="I121" s="9" t="inlineStr">
        <is>
          <t>Upstox news, 'No gold loan against gold mutual funds and ETFs, only ornaments, jewellery, and coins allowed: RBI'</t>
        </is>
      </c>
      <c r="J121" s="9" t="inlineStr">
        <is>
          <t>https://upstox.com/news/personal-finance/latest-updates/new-rbi-rule-no-gold-loan-against-gold-m-fs-and-et-fs-only-ornaments-jewellery-and-coins-allowed/article-172425/</t>
        </is>
      </c>
      <c r="K121" s="9" t="inlineStr">
        <is>
          <t>2025-06</t>
        </is>
      </c>
      <c r="L121" s="9" t="inlineStr">
        <is>
          <t>2026-09-30</t>
        </is>
      </c>
      <c r="M121" s="9" t="inlineStr">
        <is>
          <t>confirmed</t>
        </is>
      </c>
      <c r="N121" s="10" t="inlineStr">
        <is>
          <t>Confirmed as the consistent reading: digital gold is vaulted bullion (not jewellery/ornament/coin), so it falls within 'any form other than jewellery, ornaments and coins'. The RBI text does not name digital gold, so this rests on the definition plus media/advisory reading, not an explicit RBI statement.</t>
        </is>
      </c>
    </row>
    <row r="122">
      <c r="A122" s="9" t="inlineStr">
        <is>
          <t>REG-024</t>
        </is>
      </c>
      <c r="B122" s="9" t="inlineStr">
        <is>
          <t>Digital gold</t>
        </is>
      </c>
      <c r="C122" s="10" t="inlineStr">
        <is>
          <t>SEBI cautioned the public (Press Release 70/2025) that 'digital gold'/'e-gold' sold by online platforms is neither a notified security nor a regulated commodity derivative, so SEBI investor-protection mechanisms do not apply</t>
        </is>
      </c>
      <c r="D122" s="9" t="inlineStr">
        <is>
          <t>2025-11-08</t>
        </is>
      </c>
      <c r="E122" s="9" t="inlineStr">
        <is>
          <t>date</t>
        </is>
      </c>
      <c r="F122" s="10" t="inlineStr">
        <is>
          <t>Retail investors</t>
        </is>
      </c>
      <c r="G122" s="9" t="inlineStr">
        <is>
          <t>2025-11-08</t>
        </is>
      </c>
      <c r="H122" s="9" t="inlineStr">
        <is>
          <t>n/a</t>
        </is>
      </c>
      <c r="I122" s="9" t="inlineStr">
        <is>
          <t>SEBI, 'Caution to public regarding dealing in Digital Gold', Press Release No. 70/2025</t>
        </is>
      </c>
      <c r="J122" s="9" t="inlineStr">
        <is>
          <t>https://www.sebi.gov.in/media-and-notifications/press-releases/nov-2025/caution-to-public-regarding-dealing-in-digital-gold-_97676.html</t>
        </is>
      </c>
      <c r="K122" s="9" t="inlineStr">
        <is>
          <t>2025-11-08</t>
        </is>
      </c>
      <c r="L122" s="9" t="inlineStr">
        <is>
          <t>2026-09-30</t>
        </is>
      </c>
      <c r="M122" s="9" t="inlineStr">
        <is>
          <t>confirmed</t>
        </is>
      </c>
      <c r="N122" s="10" t="inlineStr">
        <is>
          <t>SEBI pointed investors to regulated alternatives: gold ETFs, Electronic Gold Receipts, exchange-traded commodity derivatives. Body text summarised from NSDL participant circular / taxguru reproductions.</t>
        </is>
      </c>
    </row>
    <row r="123">
      <c r="A123" s="9" t="inlineStr">
        <is>
          <t>REG-025</t>
        </is>
      </c>
      <c r="B123" s="9" t="inlineStr">
        <is>
          <t>Digital gold</t>
        </is>
      </c>
      <c r="C123" s="10" t="inlineStr">
        <is>
          <t>SEBI chair Tuhin Kanta Pandey said SEBI is not looking to regulate digital gold/e-gold because it is outside SEBI's purview, and no new framework is under consideration</t>
        </is>
      </c>
      <c r="D123" s="9" t="inlineStr">
        <is>
          <t>2025-11-21</t>
        </is>
      </c>
      <c r="E123" s="9" t="inlineStr">
        <is>
          <t>date</t>
        </is>
      </c>
      <c r="F123" s="10" t="inlineStr">
        <is>
          <t>n/a</t>
        </is>
      </c>
      <c r="G123" s="9" t="inlineStr">
        <is>
          <t>2025-11-21</t>
        </is>
      </c>
      <c r="H123" s="9" t="inlineStr">
        <is>
          <t>n/a</t>
        </is>
      </c>
      <c r="I123" s="9" t="inlineStr">
        <is>
          <t>Business Standard, 'Sebi chief Tuhin Kanta Pandey says not looking to regulate digital gold'; ANI</t>
        </is>
      </c>
      <c r="J123" s="9" t="inlineStr">
        <is>
          <t>https://www.business-standard.com/markets/news/sebi-chief-tuhin-kanta-pandey-says-not-looking-to-regulate-digital-gold-125112100927_1.html</t>
        </is>
      </c>
      <c r="K123" s="9" t="inlineStr">
        <is>
          <t>2025-11-21</t>
        </is>
      </c>
      <c r="L123" s="9" t="inlineStr">
        <is>
          <t>2026-09-30</t>
        </is>
      </c>
      <c r="M123" s="9" t="inlineStr">
        <is>
          <t>confirmed</t>
        </is>
      </c>
      <c r="N123" s="10" t="inlineStr">
        <is>
          <t>Said on the sidelines of the National Conclave on REITs and InvITs 2025.</t>
        </is>
      </c>
    </row>
    <row r="124">
      <c r="A124" s="9" t="inlineStr">
        <is>
          <t>REG-026</t>
        </is>
      </c>
      <c r="B124" s="9" t="inlineStr">
        <is>
          <t>Digital gold</t>
        </is>
      </c>
      <c r="C124" s="10" t="inlineStr">
        <is>
          <t>As of Sep-2026 the Finance Ministry is consulting (regulators, banks) on a framework: options include notifying digital gold as a 'security' under SCRA 1956, joint RBI-SEBI oversight, and mandatory 1:1 bullion backing. Nothing final.</t>
        </is>
      </c>
      <c r="D124" s="9" t="inlineStr">
        <is>
          <t>under consultation</t>
        </is>
      </c>
      <c r="E124" s="9" t="inlineStr">
        <is>
          <t>status</t>
        </is>
      </c>
      <c r="F124" s="10" t="inlineStr">
        <is>
          <t>Digital gold sector</t>
        </is>
      </c>
      <c r="G124" s="9" t="inlineStr">
        <is>
          <t>2026-09-28</t>
        </is>
      </c>
      <c r="H124" s="9" t="inlineStr">
        <is>
          <t>n/a</t>
        </is>
      </c>
      <c r="I124" s="9" t="inlineStr">
        <is>
          <t>Outlook Money, 'How Safe Is Digital Gold? The Rules Investors May Soon Need'</t>
        </is>
      </c>
      <c r="J124" s="9" t="inlineStr">
        <is>
          <t>https://www.outlookmoney.com/invest/digital-gold-regulation-investor-protection-sebi-rules</t>
        </is>
      </c>
      <c r="K124" s="9" t="inlineStr">
        <is>
          <t>2026-09-28</t>
        </is>
      </c>
      <c r="L124" s="9" t="inlineStr">
        <is>
          <t>2026-09-30</t>
        </is>
      </c>
      <c r="M124" s="9" t="inlineStr">
        <is>
          <t>unverified</t>
        </is>
      </c>
      <c r="N124" s="10" t="inlineStr">
        <is>
          <t>No government notification found; reports cite unnamed sources (Outlook does not attribute). Same article: market ~USD 3 bn (ET industry estimate); purchases averaged ~Rs 2,500 crore/month Jun-Aug 2026 (World Gold Council, per Outlook); average ticket ~Rs 100. Supports the 'no digital gold at launch' choice.</t>
        </is>
      </c>
    </row>
    <row r="125">
      <c r="A125" s="9" t="inlineStr">
        <is>
          <t>REG-027</t>
        </is>
      </c>
      <c r="B125" s="9" t="inlineStr">
        <is>
          <t>Digital gold</t>
        </is>
      </c>
      <c r="C125" s="10" t="inlineStr">
        <is>
          <t>Industry formed a self-regulatory body, the Digital Precious Metals Assurance Council of India (DPMACI), in May 2026; members MMTC-PAMP, SafeGold, Augmont, PhonePe, BharatPe, MobiKwik, Gullak, LenDenClub, CRED; chair Nirupama Soundararajan</t>
        </is>
      </c>
      <c r="D125" s="9" t="inlineStr">
        <is>
          <t>2026-05-11</t>
        </is>
      </c>
      <c r="E125" s="9" t="inlineStr">
        <is>
          <t>date reported</t>
        </is>
      </c>
      <c r="F125" s="10" t="inlineStr">
        <is>
          <t>Digital gold/silver platforms</t>
        </is>
      </c>
      <c r="G125" s="9" t="inlineStr">
        <is>
          <t>2026-05-11</t>
        </is>
      </c>
      <c r="H125" s="9" t="inlineStr">
        <is>
          <t>n/a</t>
        </is>
      </c>
      <c r="I125" s="9" t="inlineStr">
        <is>
          <t>Entrackr, 'Digital gold and silver players form self regulatory body DPMACI'</t>
        </is>
      </c>
      <c r="J125" s="9" t="inlineStr">
        <is>
          <t>https://entrackr.com/snippets/digital-gold-and-silver-players-form-self-regulatory-body-dpmaci-11822999</t>
        </is>
      </c>
      <c r="K125" s="9" t="inlineStr">
        <is>
          <t>2026-05-11</t>
        </is>
      </c>
      <c r="L125" s="9" t="inlineStr">
        <is>
          <t>2026-09-30</t>
        </is>
      </c>
      <c r="M125" s="9" t="inlineStr">
        <is>
          <t>corrected</t>
        </is>
      </c>
      <c r="N125" s="10" t="inlineStr">
        <is>
          <t>Name confirmed as DPMACI. CORRECTION: the brief says it was formed by 'Jar, Gullak etc.' - Jar is NOT in the reported founding-member list (Gullak is). Standards: 1:1 audited physical backing, independent custodian/trustee, ombudsman. It is a voluntary industry body, not a statutory SRO.</t>
        </is>
      </c>
    </row>
    <row r="126">
      <c r="A126" s="9" t="inlineStr">
        <is>
          <t>REG-028</t>
        </is>
      </c>
      <c r="B126" s="9" t="inlineStr">
        <is>
          <t>Loan against MF units</t>
        </is>
      </c>
      <c r="C126" s="10" t="inlineStr">
        <is>
          <t>Bank loans against securities to individuals: cap Rs 1 crore per individual; LTV ceilings 85% for debt MF units, 75% for other MF units/ETFs/REIT-InvIT units, 60% for listed shares; gold/silver/commodity ETFs are not eligible; effective 1-Jul-2026</t>
        </is>
      </c>
      <c r="D126" s="9" t="inlineStr">
        <is>
          <t>85</t>
        </is>
      </c>
      <c r="E126" s="9" t="inlineStr">
        <is>
          <t>% max LTV on debt MF units (banks)</t>
        </is>
      </c>
      <c r="F126" s="10" t="inlineStr">
        <is>
          <t>Commercial banks lending to individuals</t>
        </is>
      </c>
      <c r="G126" s="9" t="inlineStr">
        <is>
          <t>2026-07-01</t>
        </is>
      </c>
      <c r="H126" s="9" t="inlineStr">
        <is>
          <t>n/a</t>
        </is>
      </c>
      <c r="I126" s="9" t="inlineStr">
        <is>
          <t>RBI (Commercial Banks - Credit Facilities) Amendment Directions, 2026 (Revised), dated 30-Mar-2026 (reproduced on taxguru.in)</t>
        </is>
      </c>
      <c r="J126" s="9" t="inlineStr">
        <is>
          <t>https://taxguru.in/rbi/rbi-commercial-banks-credit-facilitie-samendment-directions-2026-revised.html</t>
        </is>
      </c>
      <c r="K126" s="9" t="inlineStr">
        <is>
          <t>2026-03-30</t>
        </is>
      </c>
      <c r="L126" s="9" t="inlineStr">
        <is>
          <t>2026-09-30</t>
        </is>
      </c>
      <c r="M126" s="9" t="inlineStr">
        <is>
          <t>confirmed</t>
        </is>
      </c>
      <c r="N126" s="10" t="inlineStr">
        <is>
          <t>Draft (Oct-2025) had proposed 75% for debt MFs; the final revised text reads 85%. Liquid funds are a SEBI debt-scheme category, so liquid-fund units should qualify at 85% (inference - the text does not name liquid funds). NBFC LAMF LTVs are set by NBFC policy and were not verified. At Rs 10-100/day savings a LAMF is tiny; lenders typically have minimum loan sizes (not verified).</t>
        </is>
      </c>
    </row>
    <row r="127">
      <c r="A127" s="9" t="inlineStr">
        <is>
          <t>REG-029</t>
        </is>
      </c>
      <c r="B127" s="9" t="inlineStr">
        <is>
          <t>Loan against FD</t>
        </is>
      </c>
      <c r="C127" s="10" t="inlineStr">
        <is>
          <t>A bank may not grant advances against term deposits held with other banks - so an FD-backed loan, overdraft or secured card must come from the bank holding the FD</t>
        </is>
      </c>
      <c r="D127" s="9" t="inlineStr">
        <is>
          <t>prohibited</t>
        </is>
      </c>
      <c r="E127" s="9" t="inlineStr">
        <is>
          <t>rule</t>
        </is>
      </c>
      <c r="F127" s="10" t="inlineStr">
        <is>
          <t>Commercial banks</t>
        </is>
      </c>
      <c r="G127" s="9" t="inlineStr">
        <is>
          <t>2025-04-01</t>
        </is>
      </c>
      <c r="H127" s="9" t="inlineStr">
        <is>
          <t>n/a</t>
        </is>
      </c>
      <c r="I127" s="9" t="inlineStr">
        <is>
          <t>Master Direction - RBI (Interest Rate on Deposits) Directions, 2025 (01-Apr-2025), para 29.7 (as summarised by IBC Laws)</t>
        </is>
      </c>
      <c r="J127" s="9" t="inlineStr">
        <is>
          <t>https://ibclaw.in/master-direction-reserve-bank-of-india-interest-rate-on-deposits-directions-2025/</t>
        </is>
      </c>
      <c r="K127" s="9" t="inlineStr">
        <is>
          <t>2025-04-01</t>
        </is>
      </c>
      <c r="L127" s="9" t="inlineStr">
        <is>
          <t>2026-09-30</t>
        </is>
      </c>
      <c r="M127" s="9" t="inlineStr">
        <is>
          <t>confirmed</t>
        </is>
      </c>
      <c r="N127" s="10" t="inlineStr">
        <is>
          <t>Same MD: minimum FD tenor 7 days (para 8.1.1); premature withdrawal must be allowed for individual FDs up to Rs 1 crore (para 8.1.3). The FD rail and the FD-secured card must sit at the SAME partner bank. Typical OD-against-FD limits (~90% of FD) are bank policy, not RBI - not verified.</t>
        </is>
      </c>
    </row>
    <row r="128">
      <c r="A128" s="9" t="inlineStr">
        <is>
          <t>REG-030</t>
        </is>
      </c>
      <c r="B128" s="9" t="inlineStr">
        <is>
          <t>Small-ticket SIP</t>
        </is>
      </c>
      <c r="C128" s="10" t="inlineStr">
        <is>
          <t>SEBI consultation paper (Jan-2025) proposed a Rs 250 'sachetised' SIP: max 3 per investor across AMCs; Rs 500 incentive to distributor per new investor after 24 instalments, funded from investor-education budgets; NACH/UPI Autopay only; not for debt, sectoral/thematic, mid/small-cap; monthly or fortnightly</t>
        </is>
      </c>
      <c r="D128" s="9" t="inlineStr">
        <is>
          <t>250</t>
        </is>
      </c>
      <c r="E128" s="9" t="inlineStr">
        <is>
          <t>Rs per SIP instalment</t>
        </is>
      </c>
      <c r="F128" s="10" t="inlineStr">
        <is>
          <t>New-to-MF investors</t>
        </is>
      </c>
      <c r="G128" s="9" t="inlineStr">
        <is>
          <t>2025-01</t>
        </is>
      </c>
      <c r="H128" s="9" t="inlineStr">
        <is>
          <t>n/a</t>
        </is>
      </c>
      <c r="I128" s="9" t="inlineStr">
        <is>
          <t>Cafemutual, 'MFDs to get an incentive of Rs 500 for bringing in Rs 250 SIP from new investors: SEBI'; Business Standard 22-Jan-2025</t>
        </is>
      </c>
      <c r="J128" s="9" t="inlineStr">
        <is>
          <t>https://cafemutual.com/news/industry/34035-mfds-to-get-an-incentive-of-rs500-for-bringing-in-rs250-sip-from-new-investors-sebi</t>
        </is>
      </c>
      <c r="K128" s="9" t="inlineStr">
        <is>
          <t>2025-01-22</t>
        </is>
      </c>
      <c r="L128" s="9" t="inlineStr">
        <is>
          <t>2026-09-30</t>
        </is>
      </c>
      <c r="M128" s="9" t="inlineStr">
        <is>
          <t>corrected</t>
        </is>
      </c>
      <c r="N128" s="10" t="inlineStr">
        <is>
          <t>CORRECTION to brief: the proposal funded the incentive from the AMC/AMFI investor-education (IAP/IEAF) budgets - NOT the Investor Education and Protection Fund (IEPF is an MCA fund). Comments closed 6-Feb-2025. PAN-exempt investing via Aadhaar for &lt; Rs 50,000/yr per fund was proposed.</t>
        </is>
      </c>
    </row>
    <row r="129">
      <c r="A129" s="9" t="inlineStr">
        <is>
          <t>REG-031</t>
        </is>
      </c>
      <c r="B129" s="9" t="inlineStr">
        <is>
          <t>Small-ticket SIP</t>
        </is>
      </c>
      <c r="C129" s="10" t="inlineStr">
        <is>
          <t>There was NO final SEBI circular; 'Chhoti/Choti SIP' was introduced by AMCs under SEBI letter SEBI/HO/IMD/PoD-1/OW/P/2025/5586/1 dated 20-Feb-2025</t>
        </is>
      </c>
      <c r="D129" s="9" t="inlineStr">
        <is>
          <t>2025-02-20</t>
        </is>
      </c>
      <c r="E129" s="9" t="inlineStr">
        <is>
          <t>SEBI letter date</t>
        </is>
      </c>
      <c r="F129" s="10" t="inlineStr">
        <is>
          <t>AMCs</t>
        </is>
      </c>
      <c r="G129" s="9" t="inlineStr">
        <is>
          <t>2025-07-31</t>
        </is>
      </c>
      <c r="H129" s="9" t="inlineStr">
        <is>
          <t>n/a</t>
        </is>
      </c>
      <c r="I129" s="9" t="inlineStr">
        <is>
          <t>Invesco Mutual Fund notice-cum-addendum 'Introduction of Choti SIP facility' (w.e.f. 1-Aug-2025)</t>
        </is>
      </c>
      <c r="J129" s="9" t="inlineStr">
        <is>
          <t>https://www.invescomutualfund.com/docs/default-source/default-document-library/41---notice---introduction-of-chhoti-sip---jul-31-25.pdf</t>
        </is>
      </c>
      <c r="K129" s="9" t="inlineStr">
        <is>
          <t>2025-07-31</t>
        </is>
      </c>
      <c r="L129" s="9" t="inlineStr">
        <is>
          <t>2026-09-30</t>
        </is>
      </c>
      <c r="M129" s="9" t="inlineStr">
        <is>
          <t>corrected</t>
        </is>
      </c>
      <c r="N129" s="10" t="inlineStr">
        <is>
          <t>CORRECTION: brief asks for 'the FINAL circular'. The instrument is a SEBI letter to AMFI/AMCs, implemented via AMC addenda (Invesco from 1-Aug-2025; Kotak MF announced Mar-2025). I found no circular number in SEBI's circular list for it.</t>
        </is>
      </c>
    </row>
    <row r="130">
      <c r="A130" s="9" t="inlineStr">
        <is>
          <t>REG-032</t>
        </is>
      </c>
      <c r="B130" s="9" t="inlineStr">
        <is>
          <t>Small-ticket SIP</t>
        </is>
      </c>
      <c r="C130" s="10" t="inlineStr">
        <is>
          <t>Choti SIP terms as implemented: exactly Rs 250; only for investors new to the MF industry; max 3 (one each at up to 3 AMCs); any other SIP or lumpsum disqualifies later Choti SIPs; growth option only; MONTHLY frequency only (dates 1-28); minimum commitment 60 instalments (exit allowed, exit load applies); payment only via NACH or UPI Autopay; no top-up/pause/modify</t>
        </is>
      </c>
      <c r="D130" s="9" t="inlineStr">
        <is>
          <t>monthly only</t>
        </is>
      </c>
      <c r="E130" s="9" t="inlineStr">
        <is>
          <t>frequency</t>
        </is>
      </c>
      <c r="F130" s="10" t="inlineStr">
        <is>
          <t>New-to-MF investors</t>
        </is>
      </c>
      <c r="G130" s="9" t="inlineStr">
        <is>
          <t>2025-07-31</t>
        </is>
      </c>
      <c r="H130" s="9" t="inlineStr">
        <is>
          <t>n/a</t>
        </is>
      </c>
      <c r="I130" s="9" t="inlineStr">
        <is>
          <t>Invesco Mutual Fund notice-cum-addendum dated 31-Jul-2025, paras 1-8</t>
        </is>
      </c>
      <c r="J130" s="9" t="inlineStr">
        <is>
          <t>https://www.invescomutualfund.com/docs/default-source/default-document-library/41---notice---introduction-of-chhoti-sip---jul-31-25.pdf</t>
        </is>
      </c>
      <c r="K130" s="9" t="inlineStr">
        <is>
          <t>2025-07-31</t>
        </is>
      </c>
      <c r="L130" s="9" t="inlineStr">
        <is>
          <t>2026-09-30</t>
        </is>
      </c>
      <c r="M130" s="9" t="inlineStr">
        <is>
          <t>confirmed</t>
        </is>
      </c>
      <c r="N130" s="10" t="inlineStr">
        <is>
          <t>DAILY frequency is NOT allowed under Choti SIP. Debt funds (so liquid funds) excluded per Cafemutual summary; Invesco's eligible list is equity/hybrid plus a gold ETF FoF. A savings app parking daily saves in a liquid fund cannot use Choti SIP for that leg.</t>
        </is>
      </c>
    </row>
    <row r="131">
      <c r="A131" s="9" t="inlineStr">
        <is>
          <t>REG-033</t>
        </is>
      </c>
      <c r="B131" s="9" t="inlineStr">
        <is>
          <t>Small-ticket SIP</t>
        </is>
      </c>
      <c r="C131" s="10" t="inlineStr">
        <is>
          <t>Distributor incentive of up to Rs 500 per Choti SIP investor, paid only after 24 months; forfeited if the SIP stops within 24 months, bounces, or the investor opens another SIP/lumpsum; MFDs may not charge transaction fees</t>
        </is>
      </c>
      <c r="D131" s="9" t="inlineStr">
        <is>
          <t>500</t>
        </is>
      </c>
      <c r="E131" s="9" t="inlineStr">
        <is>
          <t>Rs per first-time investor (max, after 24 months)</t>
        </is>
      </c>
      <c r="F131" s="10" t="inlineStr">
        <is>
          <t>MF distributors</t>
        </is>
      </c>
      <c r="G131" s="9" t="inlineStr">
        <is>
          <t>2025-08-11</t>
        </is>
      </c>
      <c r="H131" s="9" t="inlineStr">
        <is>
          <t>gross</t>
        </is>
      </c>
      <c r="I131" s="9" t="inlineStr">
        <is>
          <t>Cafemutual, 'Some more clarity on Choti SIP incentives for MFDs'</t>
        </is>
      </c>
      <c r="J131" s="9" t="inlineStr">
        <is>
          <t>https://cafemutual.com/news/industry/35505-some-more-clarity-on-choti-sip-incentives-for-mfds</t>
        </is>
      </c>
      <c r="K131" s="9" t="inlineStr">
        <is>
          <t>2025-08-11</t>
        </is>
      </c>
      <c r="L131" s="9" t="inlineStr">
        <is>
          <t>2026-09-30</t>
        </is>
      </c>
      <c r="M131" s="9" t="inlineStr">
        <is>
          <t>confirmed</t>
        </is>
      </c>
      <c r="N131" s="10" t="inlineStr">
        <is>
          <t>Trade-press source; funding source of the final incentive not stated. Model it as a lagged, conditional Rs 500 with a high forfeiture rate (see REG-035 on exits).</t>
        </is>
      </c>
    </row>
    <row r="132">
      <c r="A132" s="9" t="inlineStr">
        <is>
          <t>REG-034</t>
        </is>
      </c>
      <c r="B132" s="9" t="inlineStr">
        <is>
          <t>Small-ticket SIP</t>
        </is>
      </c>
      <c r="C132" s="10" t="inlineStr">
        <is>
          <t>SBI MF launched 'JanNivesh' Rs 250 SIP on 17-Feb-2025 in SBI Balanced Advantage Fund, with daily, weekly or monthly frequency, via YONO and fintechs (Paytm, Groww, Zerodha); SBI waived transaction fees</t>
        </is>
      </c>
      <c r="D132" s="9" t="inlineStr">
        <is>
          <t>250</t>
        </is>
      </c>
      <c r="E132" s="9" t="inlineStr">
        <is>
          <t>Rs minimum SIP (daily/weekly/monthly)</t>
        </is>
      </c>
      <c r="F132" s="10" t="inlineStr">
        <is>
          <t>SBI Balanced Advantage Fund investors</t>
        </is>
      </c>
      <c r="G132" s="9" t="inlineStr">
        <is>
          <t>2025-02-17</t>
        </is>
      </c>
      <c r="H132" s="9" t="inlineStr">
        <is>
          <t>n/a</t>
        </is>
      </c>
      <c r="I132" s="9" t="inlineStr">
        <is>
          <t>Business Standard, 'Start investing with just Rs 250: SBI's JanNivesh SIP makes MFs accessible'; BusinessToday 17-Feb-2025</t>
        </is>
      </c>
      <c r="J132" s="9" t="inlineStr">
        <is>
          <t>https://www.business-standard.com/finance/personal-finance/start-investing-with-just-rs-250-sbi-s-jannivesh-sip-makes-mfs-accessible-125021701196_1.html</t>
        </is>
      </c>
      <c r="K132" s="9" t="inlineStr">
        <is>
          <t>2025-02-17</t>
        </is>
      </c>
      <c r="L132" s="9" t="inlineStr">
        <is>
          <t>2026-09-30</t>
        </is>
      </c>
      <c r="M132" s="9" t="inlineStr">
        <is>
          <t>confirmed</t>
        </is>
      </c>
      <c r="N132" s="10" t="inlineStr">
        <is>
          <t>Launched in presence of then SEBI chair Madhabi Puri Buch. JanNivesh is an AMC product (daily allowed) distinct from the industry Choti SIP (monthly only).</t>
        </is>
      </c>
    </row>
    <row r="133">
      <c r="A133" s="9" t="inlineStr">
        <is>
          <t>REG-035</t>
        </is>
      </c>
      <c r="B133" s="9" t="inlineStr">
        <is>
          <t>Small-ticket SIP</t>
        </is>
      </c>
      <c r="C133" s="10" t="inlineStr">
        <is>
          <t>Choti SIP count reached ~3.22 lakh by June 2026 but with high discontinuation (~26,000 exits in May 2026)</t>
        </is>
      </c>
      <c r="D133" s="9" t="inlineStr">
        <is>
          <t>322000</t>
        </is>
      </c>
      <c r="E133" s="9" t="inlineStr">
        <is>
          <t>Choti SIPs outstanding</t>
        </is>
      </c>
      <c r="F133" s="10" t="inlineStr">
        <is>
          <t>Industry</t>
        </is>
      </c>
      <c r="G133" s="9" t="inlineStr">
        <is>
          <t>2026-06</t>
        </is>
      </c>
      <c r="H133" s="9" t="inlineStr">
        <is>
          <t>gross</t>
        </is>
      </c>
      <c r="I133" s="9" t="inlineStr">
        <is>
          <t>Business Standard, 'Chhoti SIPs gain scale but face high exit rush amid West Asia conflict' (15-Jul-2026); BS video '26000 exit in May 2026'</t>
        </is>
      </c>
      <c r="J133" s="9" t="inlineStr">
        <is>
          <t>https://www.business-standard.com/markets/news/chhoti-sips-gain-scale-but-face-high-exit-rush-amid-west-asia-conflict-126071501524_1.html</t>
        </is>
      </c>
      <c r="K133" s="9" t="inlineStr">
        <is>
          <t>2026-07-15</t>
        </is>
      </c>
      <c r="L133" s="9" t="inlineStr">
        <is>
          <t>2026-09-30</t>
        </is>
      </c>
      <c r="M133" s="9" t="inlineStr">
        <is>
          <t>unverified</t>
        </is>
      </c>
      <c r="N133" s="10" t="inlineStr">
        <is>
          <t>Article paywalled/403; figures from search snippets only. Snippet's comparison base ('197,000 in April 2025') is ambiguous and may be April 2026. Rollout was hit by technical glitches per AMFI (BS, 11-Nov-2025).</t>
        </is>
      </c>
    </row>
    <row r="134">
      <c r="A134" s="9" t="inlineStr">
        <is>
          <t>REG-036</t>
        </is>
      </c>
      <c r="B134" s="9" t="inlineStr">
        <is>
          <t>MF distribution</t>
        </is>
      </c>
      <c r="C134" s="10" t="inlineStr">
        <is>
          <t>AMFI ARN registration fee (from 1-Oct-2024): Individual Rs 3,000 (renewal Rs 1,500); Private Ltd company Rs 40,000 (renewal Rs 20,000); Public Ltd Rs 4,00,000; NBFC Rs 1,00,000; EUIN per employee Rs 1,500 (renewal Rs 750); all plus 18% GST</t>
        </is>
      </c>
      <c r="D134" s="9" t="inlineStr">
        <is>
          <t>40000</t>
        </is>
      </c>
      <c r="E134" s="9" t="inlineStr">
        <is>
          <t>Rs + GST, corporate (Pvt Ltd) ARN registration</t>
        </is>
      </c>
      <c r="F134" s="10" t="inlineStr">
        <is>
          <t>MF distributors</t>
        </is>
      </c>
      <c r="G134" s="9" t="inlineStr">
        <is>
          <t>2024-10-01</t>
        </is>
      </c>
      <c r="H134" s="9" t="inlineStr">
        <is>
          <t>net of GST</t>
        </is>
      </c>
      <c r="I134" s="9" t="inlineStr">
        <is>
          <t>AMFI, 'ARN Registration and Renewal fees applicable from 01-Oct-2024'</t>
        </is>
      </c>
      <c r="J134" s="9" t="inlineStr">
        <is>
          <t>https://www.amfiindia.com/Themes/Theme1/downloads/ARN-EUIN-RegistrationFeeStructure.pdf</t>
        </is>
      </c>
      <c r="K134" s="9" t="inlineStr">
        <is>
          <t>2024-10-01</t>
        </is>
      </c>
      <c r="L134" s="9" t="inlineStr">
        <is>
          <t>2026-09-30</t>
        </is>
      </c>
      <c r="M134" s="9" t="inlineStr">
        <is>
          <t>confirmed</t>
        </is>
      </c>
      <c r="N134" s="10" t="inlineStr">
        <is>
          <t>ARN valid 3 years (Cafemutual / Wealthy). Each person selling/advising needs NISM Series V-A and an EUIN. Time: ARN typically issued in days-weeks after NISM pass (advisory sources; not verified from AMFI).</t>
        </is>
      </c>
    </row>
    <row r="135">
      <c r="A135" s="9" t="inlineStr">
        <is>
          <t>REG-037</t>
        </is>
      </c>
      <c r="B135" s="9" t="inlineStr">
        <is>
          <t>MF distribution</t>
        </is>
      </c>
      <c r="C135" s="10" t="inlineStr">
        <is>
          <t>NISM Series V-A (Mutual Fund Distributors) exam fee Rs 1,500 + GST per attempt (~Rs 1,770 all-in)</t>
        </is>
      </c>
      <c r="D135" s="9" t="inlineStr">
        <is>
          <t>1500</t>
        </is>
      </c>
      <c r="E135" s="9" t="inlineStr">
        <is>
          <t>Rs + GST per attempt</t>
        </is>
      </c>
      <c r="F135" s="10" t="inlineStr">
        <is>
          <t>Individual MFDs / employees</t>
        </is>
      </c>
      <c r="G135" s="9" t="inlineStr">
        <is>
          <t>2026</t>
        </is>
      </c>
      <c r="H135" s="9" t="inlineStr">
        <is>
          <t>net of GST</t>
        </is>
      </c>
      <c r="I135" s="9" t="inlineStr">
        <is>
          <t>Wealthy partner blog 'NISM Series V A Exam: Fees, Validity &amp; Attempts Explained'; Gromo 2026 guide</t>
        </is>
      </c>
      <c r="J135" s="9" t="inlineStr">
        <is>
          <t>https://www.wealthy.in/partner-desk/partner-blog/nism-series-5a-exam-fees-validity-attempts-523</t>
        </is>
      </c>
      <c r="K135" s="9" t="inlineStr">
        <is>
          <t>2026</t>
        </is>
      </c>
      <c r="L135" s="9" t="inlineStr">
        <is>
          <t>2026-09-30</t>
        </is>
      </c>
      <c r="M135" s="9" t="inlineStr">
        <is>
          <t>unverified</t>
        </is>
      </c>
      <c r="N135" s="10" t="inlineStr">
        <is>
          <t>Distributor-platform sources, not NISM's own fee page. Certificate valid 3 years.</t>
        </is>
      </c>
    </row>
    <row r="136">
      <c r="A136" s="9" t="inlineStr">
        <is>
          <t>REG-038</t>
        </is>
      </c>
      <c r="B136" s="9" t="inlineStr">
        <is>
          <t>MF distribution</t>
        </is>
      </c>
      <c r="C136" s="10" t="inlineStr">
        <is>
          <t>Execution-Only Platform framework (from 1-Sep-2023): Category 1 EOP registers with AMFI as agent of AMCs, DIRECT plans only (no regular plans), min net worth Rs 1 crore, fee capped at Rs 2 per transaction (excl. payment gateway); Category 2 EOP registers as a stock broker on the exchanges' EOP segment as agent of investors</t>
        </is>
      </c>
      <c r="D136" s="9" t="inlineStr">
        <is>
          <t>2</t>
        </is>
      </c>
      <c r="E136" s="9" t="inlineStr">
        <is>
          <t>Rs per transaction (Cat-1 EOP fee cap)</t>
        </is>
      </c>
      <c r="F136" s="10" t="inlineStr">
        <is>
          <t>Direct-plan platforms</t>
        </is>
      </c>
      <c r="G136" s="9" t="inlineStr">
        <is>
          <t>2026-09-30</t>
        </is>
      </c>
      <c r="H136" s="9" t="inlineStr">
        <is>
          <t>gross</t>
        </is>
      </c>
      <c r="I136" s="9" t="inlineStr">
        <is>
          <t>AMFI Guidelines for Category-1 EOPs; SEBI EOP framework (Aug-2023) as reported by India Briefing</t>
        </is>
      </c>
      <c r="J136" s="9" t="inlineStr">
        <is>
          <t>https://www.amfiindia.com/eops/amfi-guidelines</t>
        </is>
      </c>
      <c r="K136" s="9" t="inlineStr">
        <is>
          <t>2023-09-01</t>
        </is>
      </c>
      <c r="L136" s="9" t="inlineStr">
        <is>
          <t>2026-09-30</t>
        </is>
      </c>
      <c r="M136" s="9" t="inlineStr">
        <is>
          <t>confirmed</t>
        </is>
      </c>
      <c r="N136" s="10" t="inlineStr">
        <is>
          <t>Business-model fork: as an ARN holder the app earns trail on REGULAR plans; as an EOP it earns only Rs 2/transaction on DIRECT plans. It cannot be both for the same investor-product. At Rs 10-100/day, Rs 2/txn is 2-20% of the amount and would likely be borne by AMCs only under the cap.</t>
        </is>
      </c>
    </row>
    <row r="137">
      <c r="A137" s="9" t="inlineStr">
        <is>
          <t>REG-039</t>
        </is>
      </c>
      <c r="B137" s="9" t="inlineStr">
        <is>
          <t>MF distribution</t>
        </is>
      </c>
      <c r="C137" s="10" t="inlineStr">
        <is>
          <t>A distributor earns trail only on regular plans; for liquid funds the regular-direct TER gap (proxy for trail) is small, e.g. HDFC Liquid Fund 0.25% regular vs 0.17% direct = 8 bps</t>
        </is>
      </c>
      <c r="D137" s="9" t="inlineStr">
        <is>
          <t>8</t>
        </is>
      </c>
      <c r="E137" s="9" t="inlineStr">
        <is>
          <t>bps p.a. (HDFC Liquid example)</t>
        </is>
      </c>
      <c r="F137" s="10" t="inlineStr">
        <is>
          <t>Liquid funds</t>
        </is>
      </c>
      <c r="G137" s="9" t="inlineStr">
        <is>
          <t>2026</t>
        </is>
      </c>
      <c r="H137" s="9" t="inlineStr">
        <is>
          <t>gross</t>
        </is>
      </c>
      <c r="I137" s="9" t="inlineStr">
        <is>
          <t>Value Research Online fund pages, HDFC Liquid Fund Regular / Direct (via search summary)</t>
        </is>
      </c>
      <c r="J137" s="9" t="inlineStr">
        <is>
          <t>https://www.valueresearchonline.com/funds/887/hdfc-liquid-fund-regular-plan/</t>
        </is>
      </c>
      <c r="K137" s="9" t="inlineStr">
        <is>
          <t>2026</t>
        </is>
      </c>
      <c r="L137" s="9" t="inlineStr">
        <is>
          <t>2026-09-30</t>
        </is>
      </c>
      <c r="M137" s="9" t="inlineStr">
        <is>
          <t>confirmed</t>
        </is>
      </c>
      <c r="N137" s="10" t="inlineStr">
        <is>
          <t>Range for model: low 5 bps, base 8 bps, high 15 bps p.a. on liquid AUM; overnight funds near 0. Wealthy/Belong guides put liquid gap at 0.05-0.20% (secondary). On Rs 10,000 of liquid AUM, 8 bps = Rs 8/year per worker. The TER date on the VRO page was not confirmed.</t>
        </is>
      </c>
    </row>
    <row r="138">
      <c r="A138" s="9" t="inlineStr">
        <is>
          <t>REG-040</t>
        </is>
      </c>
      <c r="B138" s="9" t="inlineStr">
        <is>
          <t>MF distribution</t>
        </is>
      </c>
      <c r="C138" s="10" t="inlineStr">
        <is>
          <t>SEBI (Mutual Funds) Regulations, 2026 replaced the 1996 Regulations from 1-Apr-2026: TER split into a Base Expense Ratio (incl. distributor payouts) plus statutory levies charged at actuals; AMFI circular 123/2025-26 (12-Mar-2026) changed how commissions accrue/pay</t>
        </is>
      </c>
      <c r="D138" s="9" t="inlineStr">
        <is>
          <t>2026-04-01</t>
        </is>
      </c>
      <c r="E138" s="9" t="inlineStr">
        <is>
          <t>effective date</t>
        </is>
      </c>
      <c r="F138" s="10" t="inlineStr">
        <is>
          <t>Mutual funds / MFDs</t>
        </is>
      </c>
      <c r="G138" s="9" t="inlineStr">
        <is>
          <t>2026-04-01</t>
        </is>
      </c>
      <c r="H138" s="9" t="inlineStr">
        <is>
          <t>n/a</t>
        </is>
      </c>
      <c r="I138" s="9" t="inlineStr">
        <is>
          <t>Mondaq, 'SEBI's 2026 Mutual Fund Regulations Overhaul: Lower TERs...'; Value Research 'SEBI Mutual Fund Regulations 2026'</t>
        </is>
      </c>
      <c r="J138" s="9" t="inlineStr">
        <is>
          <t>https://www.mondaq.com/india/commoditiesderivativesstock-exchanges/1764634/sebis-2026-mutual-fund-regulations-overhaul-lower-ters-performance-fees-and-governance-expectations-for-amcs</t>
        </is>
      </c>
      <c r="K138" s="9" t="inlineStr">
        <is>
          <t>2026</t>
        </is>
      </c>
      <c r="L138" s="9" t="inlineStr">
        <is>
          <t>2026-09-30</t>
        </is>
      </c>
      <c r="M138" s="9" t="inlineStr">
        <is>
          <t>unverified</t>
        </is>
      </c>
      <c r="N138" s="10" t="inlineStr">
        <is>
          <t>Secondary sources; SEBI gazette text not opened. Direction is lower TER caps, i.e. downward pressure on trail. Board approval reported 17-Dec-2025.</t>
        </is>
      </c>
    </row>
    <row r="139">
      <c r="A139" s="9" t="inlineStr">
        <is>
          <t>REG-041</t>
        </is>
      </c>
      <c r="B139" s="9" t="inlineStr">
        <is>
          <t>Liquid funds</t>
        </is>
      </c>
      <c r="C139" s="10" t="inlineStr">
        <is>
          <t>Instant Access Facility in liquid (and overnight) funds: up to the lower of Rs 50,000 or 90% of the latest value of the investment, per day per scheme per investor; resident investors, online only; optional for AMCs</t>
        </is>
      </c>
      <c r="D139" s="9" t="inlineStr">
        <is>
          <t>50000</t>
        </is>
      </c>
      <c r="E139" s="9" t="inlineStr">
        <is>
          <t>Rs per day per scheme (or 90%, lower)</t>
        </is>
      </c>
      <c r="F139" s="10" t="inlineStr">
        <is>
          <t>Resident investors in liquid/overnight schemes offering IAF</t>
        </is>
      </c>
      <c r="G139" s="9" t="inlineStr">
        <is>
          <t>2024-06-27</t>
        </is>
      </c>
      <c r="H139" s="9" t="inlineStr">
        <is>
          <t>n/a</t>
        </is>
      </c>
      <c r="I139" s="9" t="inlineStr">
        <is>
          <t>SEBI Master Circular for Mutual Funds (27-Jun-2024) - IAF limit (as reproduced by PPFAS MF IAF page)</t>
        </is>
      </c>
      <c r="J139" s="9" t="inlineStr">
        <is>
          <t>https://amc.ppfas.com/instant_access_facility/</t>
        </is>
      </c>
      <c r="K139" s="9" t="inlineStr">
        <is>
          <t>2024-06-27</t>
        </is>
      </c>
      <c r="L139" s="9" t="inlineStr">
        <is>
          <t>2026-09-30</t>
        </is>
      </c>
      <c r="M139" s="9" t="inlineStr">
        <is>
          <t>confirmed</t>
        </is>
      </c>
      <c r="N139" s="10" t="inlineStr">
        <is>
          <t>Covers emergency withdrawal for a worker; above that, normal redemption. AMC-optional, so pick AMCs that offer it.</t>
        </is>
      </c>
    </row>
    <row r="140">
      <c r="A140" s="9" t="inlineStr">
        <is>
          <t>REG-042</t>
        </is>
      </c>
      <c r="B140" s="9" t="inlineStr">
        <is>
          <t>Liquid funds</t>
        </is>
      </c>
      <c r="C140" s="10" t="inlineStr">
        <is>
          <t>Regulatory maximum for paying MF redemption proceeds is 3 working days (T+3); liquid funds settle T+1 in practice</t>
        </is>
      </c>
      <c r="D140" s="9" t="inlineStr">
        <is>
          <t>3</t>
        </is>
      </c>
      <c r="E140" s="9" t="inlineStr">
        <is>
          <t>working days (regulatory max)</t>
        </is>
      </c>
      <c r="F140" s="10" t="inlineStr">
        <is>
          <t>All MF schemes (5 days for &gt;=80% overseas schemes)</t>
        </is>
      </c>
      <c r="G140" s="9" t="inlineStr">
        <is>
          <t>2022-11-25</t>
        </is>
      </c>
      <c r="H140" s="9" t="inlineStr">
        <is>
          <t>n/a</t>
        </is>
      </c>
      <c r="I140" s="9" t="inlineStr">
        <is>
          <t>SEBI circular SEBI/HO/IMD/IMD-I DOF2/P/CIR/2022/161 'Timelines for transfer of dividend and redemption proceeds to unitholders'</t>
        </is>
      </c>
      <c r="J140" s="9" t="inlineStr">
        <is>
          <t>https://www.sebi.gov.in/legal/circulars/nov-2022/timelines-for-transfer-of-dividend-and-redemption-proceeds-to-unitholders_65455.html</t>
        </is>
      </c>
      <c r="K140" s="9" t="inlineStr">
        <is>
          <t>2022-11-25</t>
        </is>
      </c>
      <c r="L140" s="9" t="inlineStr">
        <is>
          <t>2026-09-30</t>
        </is>
      </c>
      <c r="M140" s="9" t="inlineStr">
        <is>
          <t>corrected</t>
        </is>
      </c>
      <c r="N140" s="10" t="inlineStr">
        <is>
          <t>CORRECTION of framing: T+1 for liquid funds is market practice/AMC scheme terms, not a SEBI mandate; SEBI's hard limit is T+3 (15% p.a. interest for delay). I did not find a primary source stating a T+1 mandate for liquid funds.</t>
        </is>
      </c>
    </row>
    <row r="141">
      <c r="A141" s="9" t="inlineStr">
        <is>
          <t>REG-043</t>
        </is>
      </c>
      <c r="B141" s="9" t="inlineStr">
        <is>
          <t>MF minimums</t>
        </is>
      </c>
      <c r="C141" s="10" t="inlineStr">
        <is>
          <t>Daily SIPs exist but minimums are typically Rs 100: Axis MF daily/weekly/monthly SIP min Rs 100 (multiples of Re 1, min 6 instalments); LIC MF cut daily SIP to Rs 100 incl. LIC MF Liquid Fund from 16-Oct-2024; ICICI Pru, Tata, HDFC, UTI also offer daily SIP</t>
        </is>
      </c>
      <c r="D141" s="9" t="inlineStr">
        <is>
          <t>100</t>
        </is>
      </c>
      <c r="E141" s="9" t="inlineStr">
        <is>
          <t>Rs minimum daily SIP</t>
        </is>
      </c>
      <c r="F141" s="10" t="inlineStr">
        <is>
          <t>Selected AMC schemes</t>
        </is>
      </c>
      <c r="G141" s="9" t="inlineStr">
        <is>
          <t>2024-10-16</t>
        </is>
      </c>
      <c r="H141" s="9" t="inlineStr">
        <is>
          <t>n/a</t>
        </is>
      </c>
      <c r="I141" s="9" t="inlineStr">
        <is>
          <t>Axis MF knowledge centre 'Guide to starting mutual fund SIPs with Rs 100'; BusinessToday 'LIC Mutual Fund reduces daily SIP amount to Rs 100' (15-Oct-2024)</t>
        </is>
      </c>
      <c r="J141" s="9" t="inlineStr">
        <is>
          <t>https://www.businesstoday.in/personal-finance/investment/story/lic-mutual-fund-reduces-daily-sip-amount-to-rs-100-check-details-450108-2024-10-15</t>
        </is>
      </c>
      <c r="K141" s="9" t="inlineStr">
        <is>
          <t>2024-10-15</t>
        </is>
      </c>
      <c r="L141" s="9" t="inlineStr">
        <is>
          <t>2026-09-30</t>
        </is>
      </c>
      <c r="M141" s="9" t="inlineStr">
        <is>
          <t>confirmed</t>
        </is>
      </c>
      <c r="N141" s="10" t="inlineStr">
        <is>
          <t>KEY CONSTRAINT: Rs 10-99/day saves are below most daily-SIP minimums, so the app must either accumulate in the investor's bank/UPI balance and invest in Rs 100+ lots, or use AMCs allowing smaller lumpsums (Axis page says the smallest MF investment 'is 10 rupees' - lumpsum; unverified per scheme). The app may not pool worker money itself (see BUDS row).</t>
        </is>
      </c>
    </row>
    <row r="142">
      <c r="A142" s="9" t="inlineStr">
        <is>
          <t>REG-044</t>
        </is>
      </c>
      <c r="B142" s="9" t="inlineStr">
        <is>
          <t>MF KYC</t>
        </is>
      </c>
      <c r="C142" s="10" t="inlineStr">
        <is>
          <t>Since Apr-2024 KRAs classify KYC as Validated / Registered / On-Hold; only Aadhaar-validated ('KYC Validated') records can invest with a new AMC without re-KYC; 73% of 108.3 mn records were validated at 31-Mar-2024</t>
        </is>
      </c>
      <c r="D142" s="9" t="inlineStr">
        <is>
          <t>73</t>
        </is>
      </c>
      <c r="E142" s="9" t="inlineStr">
        <is>
          <t>% of KYC records validated (31-Mar-2024)</t>
        </is>
      </c>
      <c r="F142" s="10" t="inlineStr">
        <is>
          <t>MF/securities investors</t>
        </is>
      </c>
      <c r="G142" s="9" t="inlineStr">
        <is>
          <t>2024-03-31</t>
        </is>
      </c>
      <c r="H142" s="9" t="inlineStr">
        <is>
          <t>n/a</t>
        </is>
      </c>
      <c r="I142" s="9" t="inlineStr">
        <is>
          <t>Business Standard, 'Over 73% of KYC records validated, systems in place for remaining: KRAs' (24-Apr-2024)</t>
        </is>
      </c>
      <c r="J142" s="9" t="inlineStr">
        <is>
          <t>https://www.business-standard.com/amp/industry/news/over-73-of-kyc-records-validated-systems-in-place-for-remaining-kras-124042401206_1.html</t>
        </is>
      </c>
      <c r="K142" s="9" t="inlineStr">
        <is>
          <t>2024-04-24</t>
        </is>
      </c>
      <c r="L142" s="9" t="inlineStr">
        <is>
          <t>2026-09-30</t>
        </is>
      </c>
      <c r="M142" s="9" t="inlineStr">
        <is>
          <t>confirmed</t>
        </is>
      </c>
      <c r="N142" s="10" t="inlineStr">
        <is>
          <t>First-time gig investors will need fresh Aadhaar-based KYC (see e-KYC cost rows).</t>
        </is>
      </c>
    </row>
    <row r="143">
      <c r="A143" s="9" t="inlineStr">
        <is>
          <t>REG-045</t>
        </is>
      </c>
      <c r="B143" s="9" t="inlineStr">
        <is>
          <t>MF KYC</t>
        </is>
      </c>
      <c r="C143" s="10" t="inlineStr">
        <is>
          <t>KRA charges to intermediaries: Rs 30 per KYC upload, Rs 35 per download, modification nil (plus taxes) - NDML KRA schedule</t>
        </is>
      </c>
      <c r="D143" s="9" t="inlineStr">
        <is>
          <t>30</t>
        </is>
      </c>
      <c r="E143" s="9" t="inlineStr">
        <is>
          <t>Rs per KYC upload (+ Rs 35 per download)</t>
        </is>
      </c>
      <c r="F143" s="10" t="inlineStr">
        <is>
          <t>SEBI intermediaries using NDML KRA</t>
        </is>
      </c>
      <c r="G143" s="9" t="inlineStr">
        <is>
          <t>2012-02-01</t>
        </is>
      </c>
      <c r="H143" s="9" t="inlineStr">
        <is>
          <t>net of GST</t>
        </is>
      </c>
      <c r="I143" s="9" t="inlineStr">
        <is>
          <t>NDML KRA Circular NDML/POLICY/2012-0003 'Charge Structure'</t>
        </is>
      </c>
      <c r="J143" s="9" t="inlineStr">
        <is>
          <t>https://kra.ndml.in/kra-web/downloads/NDML2012-0003%20Policy-%20Charge%20Structure.pdf</t>
        </is>
      </c>
      <c r="K143" s="9" t="inlineStr">
        <is>
          <t>2012-01-24</t>
        </is>
      </c>
      <c r="L143" s="9" t="inlineStr">
        <is>
          <t>2026-09-30</t>
        </is>
      </c>
      <c r="M143" s="9" t="inlineStr">
        <is>
          <t>unverified</t>
        </is>
      </c>
      <c r="N143" s="10" t="inlineStr">
        <is>
          <t>Primary document but dated 2012; I could not confirm current (2026) KRA tariffs. Use as a floor: base Rs 35, low Rs 30, high Rs 50 per new investor (high is an assumption).</t>
        </is>
      </c>
    </row>
    <row r="144">
      <c r="A144" s="9" t="inlineStr">
        <is>
          <t>REG-046</t>
        </is>
      </c>
      <c r="B144" s="9" t="inlineStr">
        <is>
          <t>UPI Autopay</t>
        </is>
      </c>
      <c r="C144" s="10" t="inlineStr">
        <is>
          <t>NPCI OC-223 (7-Oct-2025) 'Enhancement of UPI Autopay': users can VIEW all active Autopay mandates in any UPI app and PORT mandates between apps (in addition to existing revoke/pause/modify); live by 31-Dec-2025</t>
        </is>
      </c>
      <c r="D144" s="9" t="inlineStr">
        <is>
          <t>2025-12-31</t>
        </is>
      </c>
      <c r="E144" s="9" t="inlineStr">
        <is>
          <t>go-live deadline</t>
        </is>
      </c>
      <c r="F144" s="10" t="inlineStr">
        <is>
          <t>All UPI members (payer PSPs, payee PSPs, apps)</t>
        </is>
      </c>
      <c r="G144" s="9" t="inlineStr">
        <is>
          <t>2025-10-07</t>
        </is>
      </c>
      <c r="H144" s="9" t="inlineStr">
        <is>
          <t>n/a</t>
        </is>
      </c>
      <c r="I144" s="9" t="inlineStr">
        <is>
          <t>NPCI circular NPCI/UPI/OC-223/2025-26 'Enhancement of UPI Autopay' (signed Sourabh Tomar, Head UPI Product)</t>
        </is>
      </c>
      <c r="J144" s="9" t="inlineStr">
        <is>
          <t>https://www.npci.org.in/uploads/UPI_OC_No_223_FY_2025_26_Enhancement_of_UPI_Autopay_88b38535cb.pdf</t>
        </is>
      </c>
      <c r="K144" s="9" t="inlineStr">
        <is>
          <t>2025-10-07</t>
        </is>
      </c>
      <c r="L144" s="9" t="inlineStr">
        <is>
          <t>2026-09-30</t>
        </is>
      </c>
      <c r="M144" s="9" t="inlineStr">
        <is>
          <t>corrected</t>
        </is>
      </c>
      <c r="N144" s="10" t="inlineStr">
        <is>
          <t>Read from the circular image. Brief says 'view/cancel from any UPI app' - the circular's new rights are VIEW and PORT (revoke/pause/modify already existed in the app holding the mandate). Other rules: porting is user-driven only, NO inducements (cashback, nudges, banners) to solicit porting; port only once per rolling 90 days; payer apps may not use 'view mandate' data for other purposes; payee PSP must issue a unique Merchant Identifier Code (MIC) mandatory for purpose code 'AZ'; merchants may execute via any UPI ID with the MIC. Implication: a competitor app can show and pull away the worker's savings mandate, and the app cannot bribe to retain.</t>
        </is>
      </c>
    </row>
    <row r="145">
      <c r="A145" s="9" t="inlineStr">
        <is>
          <t>REG-047</t>
        </is>
      </c>
      <c r="B145" s="9" t="inlineStr">
        <is>
          <t>UPI Autopay</t>
        </is>
      </c>
      <c r="C145" s="10" t="inlineStr">
        <is>
          <t>Autopay mandate execution must be initiated only in non-peak hours (before 10:00, 13:00-17:00, after 21:30), with max one execution attempt plus up to three retries</t>
        </is>
      </c>
      <c r="D145" s="9" t="inlineStr">
        <is>
          <t>1 + 3</t>
        </is>
      </c>
      <c r="E145" s="9" t="inlineStr">
        <is>
          <t>execution attempts + retries</t>
        </is>
      </c>
      <c r="F145" s="10" t="inlineStr">
        <is>
          <t>UPI Autopay executions</t>
        </is>
      </c>
      <c r="G145" s="9" t="inlineStr">
        <is>
          <t>2025-08-01</t>
        </is>
      </c>
      <c r="H145" s="9" t="inlineStr">
        <is>
          <t>n/a</t>
        </is>
      </c>
      <c r="I145" s="9" t="inlineStr">
        <is>
          <t>NPCI circular NPCI/UPI/OC/215/2025-26 'Guidelines on usage of UPI API' (21-May-2025), as summarised by Mondaq 'NPCI Guidelines On UPI And API Usage'</t>
        </is>
      </c>
      <c r="J145" s="9" t="inlineStr">
        <is>
          <t>https://www.mondaq.com/india/fin-tech/1664786/npci-guidelines-on-upi-and-api-usage</t>
        </is>
      </c>
      <c r="K145" s="9" t="inlineStr">
        <is>
          <t>2025-05-21</t>
        </is>
      </c>
      <c r="L145" s="9" t="inlineStr">
        <is>
          <t>2026-09-30</t>
        </is>
      </c>
      <c r="M145" s="9" t="inlineStr">
        <is>
          <t>confirmed</t>
        </is>
      </c>
      <c r="N145" s="10" t="inlineStr">
        <is>
          <t>Compliance by 31-Jul-2025/1-Aug-2025. Circular number from TeamLease/complinity summaries; primary PDF not opened. Republic World (5-May-2026) reports morning EMIs/SIPs declining in 2026 where banks scheduled executions in the 10:00-13:00 window or failed to send the 24h pre-debit notice - no NPCI failure statistics given (unverified). Schedule daily debits for early morning (e.g., 06:00-09:30) after the pre-debit notice.</t>
        </is>
      </c>
    </row>
    <row r="146">
      <c r="A146" s="9" t="inlineStr">
        <is>
          <t>REG-048</t>
        </is>
      </c>
      <c r="B146" s="9" t="inlineStr">
        <is>
          <t>UPI Autopay</t>
        </is>
      </c>
      <c r="C146" s="10" t="inlineStr">
        <is>
          <t>UPI Autopay supports DAILY frequency mandates (options: one-time, daily, weekly, fortnightly, monthly, bi-monthly, quarterly, half-yearly, yearly, as-presented)</t>
        </is>
      </c>
      <c r="D146" s="9" t="inlineStr">
        <is>
          <t>daily allowed</t>
        </is>
      </c>
      <c r="E146" s="9" t="inlineStr">
        <is>
          <t>frequency</t>
        </is>
      </c>
      <c r="F146" s="10" t="inlineStr">
        <is>
          <t>UPI Autopay mandates</t>
        </is>
      </c>
      <c r="G146" s="9" t="inlineStr">
        <is>
          <t>2026</t>
        </is>
      </c>
      <c r="H146" s="9" t="inlineStr">
        <is>
          <t>n/a</t>
        </is>
      </c>
      <c r="I146" s="9" t="inlineStr">
        <is>
          <t>Paytm blog 'Daily, Weekly, Monthly: Exploring All UPI AutoPay Frequency'; Tribune (NPCI launch of UPI Autopay, 2020)</t>
        </is>
      </c>
      <c r="J146" s="9" t="inlineStr">
        <is>
          <t>https://paytm.com/blog/bill-payments/upi-autopay/daily-weekly-monthly-exploring-all-upi-autopay-frequency-options/</t>
        </is>
      </c>
      <c r="K146" s="9" t="inlineStr">
        <is>
          <t>2026</t>
        </is>
      </c>
      <c r="L146" s="9" t="inlineStr">
        <is>
          <t>2026-09-30</t>
        </is>
      </c>
      <c r="M146" s="9" t="inlineStr">
        <is>
          <t>confirmed</t>
        </is>
      </c>
      <c r="N146" s="10" t="inlineStr">
        <is>
          <t>Not confirmed from an NPCI primary document (NPCI's BHIM page mentions 'monthly, quarterly etc'). Tribune quoting NPCI at launch lists daily. Each daily debit still needs a 24h pre-debit notice, so a daily mandate = ~2 messages/day/user (pre + post).</t>
        </is>
      </c>
    </row>
    <row r="147">
      <c r="A147" s="9" t="inlineStr">
        <is>
          <t>REG-049</t>
        </is>
      </c>
      <c r="B147" s="9" t="inlineStr">
        <is>
          <t>UPI Autopay</t>
        </is>
      </c>
      <c r="C147" s="10" t="inlineStr">
        <is>
          <t>RBI Digital Payments - E-mandate Framework, 2026 (21-Apr-2026) consolidates 2019-2024 circulars: recurring debits up to Rs 15,000 without additional factor of authentication; up to Rs 1,00,000 for MF subscriptions, insurance premiums and credit-card bill payments; first transaction needs AFA; pre-debit notification at least 24h before each debit (merchant, amount, date/time, mandate ref, reason); customer can opt out of any debit or withdraw the mandate; NO charge to customers for e-mandate facility</t>
        </is>
      </c>
      <c r="D147" s="9" t="inlineStr">
        <is>
          <t>15000</t>
        </is>
      </c>
      <c r="E147" s="9" t="inlineStr">
        <is>
          <t>Rs per debit without AFA (Rs 1,00,000 for MF/insurance/card bills)</t>
        </is>
      </c>
      <c r="F147" s="10" t="inlineStr">
        <is>
          <t>Cards, PPIs and UPI e-mandates</t>
        </is>
      </c>
      <c r="G147" s="9" t="inlineStr">
        <is>
          <t>2026-04-21</t>
        </is>
      </c>
      <c r="H147" s="9" t="inlineStr">
        <is>
          <t>n/a</t>
        </is>
      </c>
      <c r="I147" s="9" t="inlineStr">
        <is>
          <t>LexOrbis, 'RBI's Digital Payments E-Mandate Framework, 2026' (circular RBI/CO.DPSS.POLC.No.S56/02.14.003/2026-27); RBI circular 12-Dec-2023 (Rs 1 lakh categories)</t>
        </is>
      </c>
      <c r="J147" s="9" t="inlineStr">
        <is>
          <t>https://www.lexorbis.com/rbis-digital-payments-e-mandate-framework-2026-consolidated-directions-for-recurring-digital-transactions/</t>
        </is>
      </c>
      <c r="K147" s="9" t="inlineStr">
        <is>
          <t>2026-04-21</t>
        </is>
      </c>
      <c r="L147" s="9" t="inlineStr">
        <is>
          <t>2026-09-30</t>
        </is>
      </c>
      <c r="M147" s="9" t="inlineStr">
        <is>
          <t>confirmed</t>
        </is>
      </c>
      <c r="N147" s="10" t="inlineStr">
        <is>
          <t>Rs 1 lakh categories confirmed from 12-Dec-2023 RBI circular (argus-p, TeamLease summaries). 2026 framework text via law-firm summary (SCC Times, Saraf also report 21-Apr-2026); RBI text not opened. Daily Rs 10-100 is far below the limit.</t>
        </is>
      </c>
    </row>
    <row r="148">
      <c r="A148" s="9" t="inlineStr">
        <is>
          <t>REG-050</t>
        </is>
      </c>
      <c r="B148" s="9" t="inlineStr">
        <is>
          <t>UPI Autopay cost</t>
        </is>
      </c>
      <c r="C148" s="10" t="inlineStr">
        <is>
          <t>Payment-aggregator list price for UPI Autopay (Cashfree): Rs 7.5 per mandate creation + Rs 5 per presentation (debit) for amounts under Rs 1,000 (Rs 15 per presentation at Rs 1,000+); eNACH Rs 7.5 per mandate + Rs 7.5 per presentation</t>
        </is>
      </c>
      <c r="D148" s="9" t="inlineStr">
        <is>
          <t>5</t>
        </is>
      </c>
      <c r="E148" s="9" t="inlineStr">
        <is>
          <t>Rs per Autopay debit &lt; Rs 1,000 (list)</t>
        </is>
      </c>
      <c r="F148" s="10" t="inlineStr">
        <is>
          <t>Merchants on Cashfree subscriptions</t>
        </is>
      </c>
      <c r="G148" s="9" t="inlineStr">
        <is>
          <t>2026-09-30</t>
        </is>
      </c>
      <c r="H148" s="9" t="inlineStr">
        <is>
          <t>net of GST</t>
        </is>
      </c>
      <c r="I148" s="9" t="inlineStr">
        <is>
          <t>Cashfree Payments, 'Payment Gateway Charges' page</t>
        </is>
      </c>
      <c r="J148" s="9" t="inlineStr">
        <is>
          <t>https://www.cashfree.com/payment-gateway-charges/</t>
        </is>
      </c>
      <c r="K148" s="9" t="inlineStr">
        <is>
          <t>2026-09-30</t>
        </is>
      </c>
      <c r="L148" s="9" t="inlineStr">
        <is>
          <t>2026-09-30</t>
        </is>
      </c>
      <c r="M148" s="9" t="inlineStr">
        <is>
          <t>confirmed</t>
        </is>
      </c>
      <c r="N148" s="10" t="inlineStr">
        <is>
          <t>The MERCHANT (the app/AMC collecting) pays the PA/sponsor bank per mandate AND per debit - NOT the customer (RBI 2026 framework bars customer charges). At list price a Rs 50 daily debit costs Rs 5 = 10% of the amount. Model: base Rs 2/debit (negotiated at scale - assumption), low Rs 0.5, high Rs 5; mandate Rs 3-7.5. Razorpay: 'pricing on request'; a Razorpay blog cites Rs 3 mandate fee, Cashfree Rs 3-5 (secondary). Retries: Razorpay says no per-retry charge within limits. Failed-debit fee to merchant not published (unverified).</t>
        </is>
      </c>
    </row>
    <row r="149">
      <c r="A149" s="9" t="inlineStr">
        <is>
          <t>REG-051</t>
        </is>
      </c>
      <c r="B149" s="9" t="inlineStr">
        <is>
          <t>e-NACH cost</t>
        </is>
      </c>
      <c r="C149" s="10" t="inlineStr">
        <is>
          <t>Bank-level NACH debit tariff example: mandate registration Rs 20 per item; debit Rs 10 (STP) to Rs 25 (manual) per item; NPCI's own NACH charge Rs 0.20 off-us / Rs 0.05 on-us per item, charged whether accepted or rejected</t>
        </is>
      </c>
      <c r="D149" s="9" t="inlineStr">
        <is>
          <t>20</t>
        </is>
      </c>
      <c r="E149" s="9" t="inlineStr">
        <is>
          <t>Rs per NACH mandate (BofA India tariff)</t>
        </is>
      </c>
      <c r="F149" s="10" t="inlineStr">
        <is>
          <t>Corporate clients of Bank of America India</t>
        </is>
      </c>
      <c r="G149" s="9" t="inlineStr">
        <is>
          <t>2026-06</t>
        </is>
      </c>
      <c r="H149" s="9" t="inlineStr">
        <is>
          <t>net of GST</t>
        </is>
      </c>
      <c r="I149" s="9" t="inlineStr">
        <is>
          <t>Bank of America, 'Schedule of Treasury Charges - India' (June 2026)</t>
        </is>
      </c>
      <c r="J149" s="9" t="inlineStr">
        <is>
          <t>https://business.bofa.com/content/dam/flagship/in/en/regulatory-legal-and-policy-documents/Schedule-of-Charges---Treasury.pdf</t>
        </is>
      </c>
      <c r="K149" s="9" t="inlineStr">
        <is>
          <t>2026-06</t>
        </is>
      </c>
      <c r="L149" s="9" t="inlineStr">
        <is>
          <t>2026-09-30</t>
        </is>
      </c>
      <c r="M149" s="9" t="inlineStr">
        <is>
          <t>unverified</t>
        </is>
      </c>
      <c r="N149" s="10" t="inlineStr">
        <is>
          <t>Figures from search summary of the BofA PDF; I did not open the PDF. Corporate treasury tariff, not a fintech PA rate. NPCI per-item fee is tiny; bank/PA markup dominates. e-NACH also needs ~T+1-2 registration and is slower than UPI Autopay.</t>
        </is>
      </c>
    </row>
    <row r="150">
      <c r="A150" s="9" t="inlineStr">
        <is>
          <t>REG-052</t>
        </is>
      </c>
      <c r="B150" s="9" t="inlineStr">
        <is>
          <t>UPI MDR</t>
        </is>
      </c>
      <c r="C150" s="10" t="inlineStr">
        <is>
          <t>From 15-Oct-2026 a 0.4% MDR applies to P2M UPI payments above Rs 2,000 (capped at Rs 300 for Rs 75,000+; flat Rs 5 for railways, telecom, insurance, fuel etc.); payments up to Rs 2,000, P2P, and P2PM small merchants (&lt;= Rs 1 lakh/month) stay zero; UPI AutoPay/mandates carry NO prescribed MDR; UPI apps may not charge platform fees</t>
        </is>
      </c>
      <c r="D150" s="9" t="inlineStr">
        <is>
          <t>0</t>
        </is>
      </c>
      <c r="E150" s="9" t="inlineStr">
        <is>
          <t>% MDR on UPI AutoPay and on P2M &lt;= Rs 2,000</t>
        </is>
      </c>
      <c r="F150" s="10" t="inlineStr">
        <is>
          <t>UPI P2M transactions</t>
        </is>
      </c>
      <c r="G150" s="9" t="inlineStr">
        <is>
          <t>2026-10-15</t>
        </is>
      </c>
      <c r="H150" s="9" t="inlineStr">
        <is>
          <t>n/a</t>
        </is>
      </c>
      <c r="I150" s="9" t="inlineStr">
        <is>
          <t>Department of Financial Services (MoF), 'FAQs - Merchant Discount Rate (MDR) on Select UPI (P2M) Transactions' (15-Sep-2026), Q3, Q5, Q22, Q33</t>
        </is>
      </c>
      <c r="J150" s="9" t="inlineStr">
        <is>
          <t>https://financialservices.gov.in/sites/default/files/2026-09/FAQs---Merchant-Discount-Rate--MDR--on-Select-UPI--P2M--Transactions_0.pdf</t>
        </is>
      </c>
      <c r="K150" s="9" t="inlineStr">
        <is>
          <t>2026-09-15</t>
        </is>
      </c>
      <c r="L150" s="9" t="inlineStr">
        <is>
          <t>2026-09-30</t>
        </is>
      </c>
      <c r="M150" s="9" t="inlineStr">
        <is>
          <t>corrected</t>
        </is>
      </c>
      <c r="N150" s="10" t="inlineStr">
        <is>
          <t>CORRECTION to 'UPI MDR zero?': zero MDR ended for P2M &gt; Rs 2,000 from 15-Oct-2026 (MoF gazette S.O. 5067(E) of 14-Sep-2026 per secondary reports; NPCI notification 15-Sep-2026). For this app it stays ZERO: Q22 - 'automated recurring standing instructions, known as UPI Mandates or AutoPay, do not carry prescribed MDR', and daily saves are &lt;= Rs 2,000 anyway. PA platform/mandate fees (REG-050) are separate commercial charges. UPI volume Aug-2026: 2,451 crore txns, Rs 29.9 lakh crore (same FAQ, Q14).</t>
        </is>
      </c>
    </row>
    <row r="151">
      <c r="A151" s="9" t="inlineStr">
        <is>
          <t>REG-053</t>
        </is>
      </c>
      <c r="B151" s="9" t="inlineStr">
        <is>
          <t>IRDAI draft 2026</t>
        </is>
      </c>
      <c r="C151" s="10" t="inlineStr">
        <is>
          <t>IRDAI consultation paper 'Recalibrating Economics of Insurance Distribution' released 23-Sep-2026; comments due 25-Oct-2026; proposes product-level commission caps, lower EoM limits, a single Insurance Distribution Entity (IDE) licence, clawbacks and seller-level accountability</t>
        </is>
      </c>
      <c r="D151" s="9" t="inlineStr">
        <is>
          <t>2026-10-25</t>
        </is>
      </c>
      <c r="E151" s="9" t="inlineStr">
        <is>
          <t>comment deadline</t>
        </is>
      </c>
      <c r="F151" s="10" t="inlineStr">
        <is>
          <t>Insurers and all distributors</t>
        </is>
      </c>
      <c r="G151" s="9" t="inlineStr">
        <is>
          <t>2026-09-23</t>
        </is>
      </c>
      <c r="H151" s="9" t="inlineStr">
        <is>
          <t>n/a</t>
        </is>
      </c>
      <c r="I151" s="9" t="inlineStr">
        <is>
          <t>Khaitan &amp; Co ERGO 'IRDAI distribution reforms' (29-Sep-2026); Business Standard 23-Sep-2026 'Irdai proposes tighter expense limits, new commission caps'</t>
        </is>
      </c>
      <c r="J151" s="9" t="inlineStr">
        <is>
          <t>https://www.khaitanco.com/sites/default/files/2026-09/Insurance_IRDA_Distribution%20Reforms_29%20September%202026_ergo.pdf</t>
        </is>
      </c>
      <c r="K151" s="9" t="inlineStr">
        <is>
          <t>2026-09-29</t>
        </is>
      </c>
      <c r="L151" s="9" t="inlineStr">
        <is>
          <t>2026-09-30</t>
        </is>
      </c>
      <c r="M151" s="9" t="inlineStr">
        <is>
          <t>confirmed</t>
        </is>
      </c>
      <c r="N151" s="10" t="inlineStr">
        <is>
          <t>Law-firm reading of the paper; IRDAI PDF not opened. DRAFT ONLY - not law. Enabled by the Sabka Bima Sabki Raksha (Amendment of Insurance Laws) Act 2025 (Dec-2025), which lets IRDAI prescribe commission caps.</t>
        </is>
      </c>
    </row>
    <row r="152">
      <c r="A152" s="9" t="inlineStr">
        <is>
          <t>REG-054</t>
        </is>
      </c>
      <c r="B152" s="9" t="inlineStr">
        <is>
          <t>IRDAI draft 2026</t>
        </is>
      </c>
      <c r="C152" s="10" t="inlineStr">
        <is>
          <t>Proposed individual health commission caps: first-time 15% for IDEs (open-architecture distributors) vs 20% for insurers' agents/associates (hospitals 5%); renewal or porting 5% for IDEs vs 10% for agents</t>
        </is>
      </c>
      <c r="D152" s="9" t="inlineStr">
        <is>
          <t>15</t>
        </is>
      </c>
      <c r="E152" s="9" t="inlineStr">
        <is>
          <t>% of premium, health first year (IDE)</t>
        </is>
      </c>
      <c r="F152" s="10" t="inlineStr">
        <is>
          <t>Individual health policies</t>
        </is>
      </c>
      <c r="G152" s="9" t="inlineStr">
        <is>
          <t>2026-09-23</t>
        </is>
      </c>
      <c r="H152" s="9" t="inlineStr">
        <is>
          <t>gross</t>
        </is>
      </c>
      <c r="I152" s="9" t="inlineStr">
        <is>
          <t>Khaitan &amp; Co ERGO (29-Sep-2026), section 4.3 table 'General Insurance Commission Caps'</t>
        </is>
      </c>
      <c r="J152" s="9" t="inlineStr">
        <is>
          <t>https://www.khaitanco.com/sites/default/files/2026-09/Insurance_IRDA_Distribution%20Reforms_29%20September%202026_ergo.pdf</t>
        </is>
      </c>
      <c r="K152" s="9" t="inlineStr">
        <is>
          <t>2026-09-29</t>
        </is>
      </c>
      <c r="L152" s="9" t="inlineStr">
        <is>
          <t>2026-09-30</t>
        </is>
      </c>
      <c r="M152" s="9" t="inlineStr">
        <is>
          <t>confirmed</t>
        </is>
      </c>
      <c r="N152" s="10" t="inlineStr">
        <is>
          <t>Brief's 'health first-year 15%, renewal 5%' is CONFIRMED for distributors (IDEs); agents get 20%/10%. Group health: IDE 2.5% capped Rs 1 cr; agents 5%. Retail miscellaneous incl. personal accident: IDE 15%. Health packaged with credit: 5% first sale, 2.5% renewal. Uplift: +10% of first-year cap for towns &lt;10 lakh population, +20% for towns &lt;50,000 and rural.</t>
        </is>
      </c>
    </row>
    <row r="153">
      <c r="A153" s="9" t="inlineStr">
        <is>
          <t>REG-055</t>
        </is>
      </c>
      <c r="B153" s="9" t="inlineStr">
        <is>
          <t>IRDAI draft 2026</t>
        </is>
      </c>
      <c r="C153" s="10" t="inlineStr">
        <is>
          <t>Proposed life first-year commission caps: 20% for IDEs vs 25% for agents - but ONLY for regular-premium individual savings/linked policies with premium-paying term (PPT) of 10+ years; lower for shorter PPTs (IDE 5/10/14/18% for PPT &lt;5/5/6-8/9 yrs); pure-term multi-year 25% IDE vs 30% agents; renewal 2-3% IDE vs 5% agents (7.5%/10% for pure term)</t>
        </is>
      </c>
      <c r="D153" s="9" t="inlineStr">
        <is>
          <t>20</t>
        </is>
      </c>
      <c r="E153" s="9" t="inlineStr">
        <is>
          <t>% of first-year premium (IDE, PPT &gt;=10 yrs)</t>
        </is>
      </c>
      <c r="F153" s="10" t="inlineStr">
        <is>
          <t>Individual life policies</t>
        </is>
      </c>
      <c r="G153" s="9" t="inlineStr">
        <is>
          <t>2026-09-23</t>
        </is>
      </c>
      <c r="H153" s="9" t="inlineStr">
        <is>
          <t>gross</t>
        </is>
      </c>
      <c r="I153" s="9" t="inlineStr">
        <is>
          <t>Khaitan &amp; Co ERGO (29-Sep-2026), section 4.4 table 'Life Insurance Commission Caps'</t>
        </is>
      </c>
      <c r="J153" s="9" t="inlineStr">
        <is>
          <t>https://www.khaitanco.com/sites/default/files/2026-09/Insurance_IRDA_Distribution%20Reforms_29%20September%202026_ergo.pdf</t>
        </is>
      </c>
      <c r="K153" s="9" t="inlineStr">
        <is>
          <t>2026-09-29</t>
        </is>
      </c>
      <c r="L153" s="9" t="inlineStr">
        <is>
          <t>2026-09-30</t>
        </is>
      </c>
      <c r="M153" s="9" t="inlineStr">
        <is>
          <t>corrected</t>
        </is>
      </c>
      <c r="N153" s="10" t="inlineStr">
        <is>
          <t>CORRECTION of precision: '20% distributors / 25% agents' holds only for PPT &gt;= 10 yrs. For a gig-worker app the relevant lines are: pure term (25% first year, 7.5% renewal as IDE), single-premium savings 1%, credit-linked pure term 2.5% first year/1% renewal (single premium 2%). Paper reports current avg first-year life commission 27% for bank CAs and 61% for other CAs - so caps sit far below market.</t>
        </is>
      </c>
    </row>
    <row r="154">
      <c r="A154" s="9" t="inlineStr">
        <is>
          <t>REG-056</t>
        </is>
      </c>
      <c r="B154" s="9" t="inlineStr">
        <is>
          <t>IRDAI draft 2026</t>
        </is>
      </c>
      <c r="C154" s="10" t="inlineStr">
        <is>
          <t>Proposed EoM glide path from FY2027-28: life insurers to 15% of premium within 2 years and 12.5% within 5 years; general insurers to 25% and 20%</t>
        </is>
      </c>
      <c r="D154" s="9" t="inlineStr">
        <is>
          <t>15</t>
        </is>
      </c>
      <c r="E154" s="9" t="inlineStr">
        <is>
          <t>% of premium (life EoM, 2 yrs)</t>
        </is>
      </c>
      <c r="F154" s="10" t="inlineStr">
        <is>
          <t>Insurers</t>
        </is>
      </c>
      <c r="G154" s="9" t="inlineStr">
        <is>
          <t>2026-09-23</t>
        </is>
      </c>
      <c r="H154" s="9" t="inlineStr">
        <is>
          <t>gross</t>
        </is>
      </c>
      <c r="I154" s="9" t="inlineStr">
        <is>
          <t>Khaitan &amp; Co ERGO (29-Sep-2026) section 3.4; Policy Circle 'IRDAI's commission caps could reshape insurance distribution'</t>
        </is>
      </c>
      <c r="J154" s="9" t="inlineStr">
        <is>
          <t>https://www.policycircle.org/industry/irdais-commission-caps-insurance/</t>
        </is>
      </c>
      <c r="K154" s="9" t="inlineStr">
        <is>
          <t>2026-09</t>
        </is>
      </c>
      <c r="L154" s="9" t="inlineStr">
        <is>
          <t>2026-09-30</t>
        </is>
      </c>
      <c r="M154" s="9" t="inlineStr">
        <is>
          <t>confirmed</t>
        </is>
      </c>
      <c r="N154" s="10" t="inlineStr">
        <is>
          <t>Current FY26 EoM: life 16%, general 31% (Khaitan). Current limits per Policy Circle: general 30%, standalone health 35%. Silent on standalone health insurers.</t>
        </is>
      </c>
    </row>
    <row r="155">
      <c r="A155" s="9" t="inlineStr">
        <is>
          <t>REG-057</t>
        </is>
      </c>
      <c r="B155" s="9" t="inlineStr">
        <is>
          <t>IRDAI draft 2026</t>
        </is>
      </c>
      <c r="C155" s="10" t="inlineStr">
        <is>
          <t>Proposed IDE licence: initial capital Rs 10 lakh; lien-marked bank deposit = 0.1% of prior-year insurance income (floor Rs 10 lakh, cap Rs 10 crore); application-cum-registration fee Rs 10,000; annual fee higher of Rs 10,000 or 0.04% of receipts; permanent registration; replaces corporate agent, broker, IMF, web aggregator, CSC, MISP licences; IDEs may NOT handle customers' money or collect fees from customers</t>
        </is>
      </c>
      <c r="D155" s="9" t="inlineStr">
        <is>
          <t>1000000</t>
        </is>
      </c>
      <c r="E155" s="9" t="inlineStr">
        <is>
          <t>Rs initial capital (IDE, proposed)</t>
        </is>
      </c>
      <c r="F155" s="10" t="inlineStr">
        <is>
          <t>Insurance distribution entities</t>
        </is>
      </c>
      <c r="G155" s="9" t="inlineStr">
        <is>
          <t>2026-09-23</t>
        </is>
      </c>
      <c r="H155" s="9" t="inlineStr">
        <is>
          <t>n/a</t>
        </is>
      </c>
      <c r="I155" s="9" t="inlineStr">
        <is>
          <t>Khaitan &amp; Co ERGO (29-Sep-2026) sections 2.1-2.7</t>
        </is>
      </c>
      <c r="J155" s="9" t="inlineStr">
        <is>
          <t>https://www.khaitanco.com/sites/default/files/2026-09/Insurance_IRDA_Distribution%20Reforms_29%20September%202026_ergo.pdf</t>
        </is>
      </c>
      <c r="K155" s="9" t="inlineStr">
        <is>
          <t>2026-09-29</t>
        </is>
      </c>
      <c r="L155" s="9" t="inlineStr">
        <is>
          <t>2026-09-30</t>
        </is>
      </c>
      <c r="M155" s="9" t="inlineStr">
        <is>
          <t>confirmed</t>
        </is>
      </c>
      <c r="N155" s="10" t="inlineStr">
        <is>
          <t>Draft. PoSPs become persons engaged by an IDE; payouts to PoSPs come out of the IDE's own commission. Volume-linked incentives for bank/NBFC staff barred. If adopted, entry gets cheaper but unit economics thinner.</t>
        </is>
      </c>
    </row>
    <row r="156">
      <c r="A156" s="9" t="inlineStr">
        <is>
          <t>REG-058</t>
        </is>
      </c>
      <c r="B156" s="9" t="inlineStr">
        <is>
          <t>IRDAI current regime</t>
        </is>
      </c>
      <c r="C156" s="10" t="inlineStr">
        <is>
          <t>Current regime: IRDAI (Expenses of Management, including Commission, of Insurers) Regulations, 2024 (effective 1-Apr-2024) - no product-level commission caps since Apr-2023; insurers pay commission under a board-approved policy within an overall EoM limit</t>
        </is>
      </c>
      <c r="D156" s="9" t="inlineStr">
        <is>
          <t>2024-04-01</t>
        </is>
      </c>
      <c r="E156" s="9" t="inlineStr">
        <is>
          <t>effective date</t>
        </is>
      </c>
      <c r="F156" s="10" t="inlineStr">
        <is>
          <t>All insurers</t>
        </is>
      </c>
      <c r="G156" s="9" t="inlineStr">
        <is>
          <t>2024-04-01</t>
        </is>
      </c>
      <c r="H156" s="9" t="inlineStr">
        <is>
          <t>n/a</t>
        </is>
      </c>
      <c r="I156" s="9" t="inlineStr">
        <is>
          <t>Khaitan &amp; Co, 'IRDAI notifies first Unified Regulations on Expenses of Management and Commission'; taxguru reproduction of the 2024 Regulations</t>
        </is>
      </c>
      <c r="J156" s="9" t="inlineStr">
        <is>
          <t>https://www.khaitanco.com/thought-leadership/IRDAI-notifies-first-Unified-Regulations-on-Expenses-of-Management-and-Commission-sets-the-tone-for-Consolidated-Regulations</t>
        </is>
      </c>
      <c r="K156" s="9" t="inlineStr">
        <is>
          <t>2024</t>
        </is>
      </c>
      <c r="L156" s="9" t="inlineStr">
        <is>
          <t>2026-09-30</t>
        </is>
      </c>
      <c r="M156" s="9" t="inlineStr">
        <is>
          <t>confirmed</t>
        </is>
      </c>
      <c r="N156" s="10" t="inlineStr">
        <is>
          <t>Consolidated the 2023 EoM (life; general/health) and Payment of Commission regulations. Commission includes rewards/other remuneration.</t>
        </is>
      </c>
    </row>
    <row r="157">
      <c r="A157" s="9" t="inlineStr">
        <is>
          <t>REG-059</t>
        </is>
      </c>
      <c r="B157" s="9" t="inlineStr">
        <is>
          <t>Corporate agent</t>
        </is>
      </c>
      <c r="C157" s="10" t="inlineStr">
        <is>
          <t>Corporate agent registration under IRDAI (Registration of Corporate Agents) Regulations, 2015: application fee Rs 10,000; registration fee Rs 25,000; Principal Officer/Specified Person certificate Rs 500 each; min share capital and net worth Rs 50 lakh for applicants exclusively in insurance distribution</t>
        </is>
      </c>
      <c r="D157" s="9" t="inlineStr">
        <is>
          <t>5000000</t>
        </is>
      </c>
      <c r="E157" s="9" t="inlineStr">
        <is>
          <t>Rs net worth (exclusive insurance CAs)</t>
        </is>
      </c>
      <c r="F157" s="10" t="inlineStr">
        <is>
          <t>Corporate agents</t>
        </is>
      </c>
      <c r="G157" s="9" t="inlineStr">
        <is>
          <t>2026-09-30</t>
        </is>
      </c>
      <c r="H157" s="9" t="inlineStr">
        <is>
          <t>n/a</t>
        </is>
      </c>
      <c r="I157" s="9" t="inlineStr">
        <is>
          <t>IRDAI, Intermediaries - Corporate Agents page</t>
        </is>
      </c>
      <c r="J157" s="9" t="inlineStr">
        <is>
          <t>https://irdai.gov.in/intermediaries/corporate-agents</t>
        </is>
      </c>
      <c r="K157" s="9" t="inlineStr">
        <is>
          <t>2026-09-30</t>
        </is>
      </c>
      <c r="L157" s="9" t="inlineStr">
        <is>
          <t>2026-09-30</t>
        </is>
      </c>
      <c r="M157" s="9" t="inlineStr">
        <is>
          <t>confirmed</t>
        </is>
      </c>
      <c r="N157" s="10" t="inlineStr">
        <is>
          <t>Principal Officer must be a graduate and complete IRDAI-mandated training (50 hours per advisory sources) and exam. Advisory sites say registration is now perpetual with an annual fee (unverified). Typical time 3-6 months (advisory estimate, unverified). A company that also distributes MFs is not 'exclusively' in insurance - whether the Rs 50 lakh applies then was not verified.</t>
        </is>
      </c>
    </row>
    <row r="158">
      <c r="A158" s="9" t="inlineStr">
        <is>
          <t>REG-060</t>
        </is>
      </c>
      <c r="B158" s="9" t="inlineStr">
        <is>
          <t>Gig worker insurance</t>
        </is>
      </c>
      <c r="C158" s="10" t="inlineStr">
        <is>
          <t>Low-cost cover options: PMJJBY Rs 436/yr (Rs 2 lakh life) and PMSBY Rs 20/yr (Rs 2 lakh accident), both since 1-Jun-2022; platform workers registered on e-Shram get AB-PMJAY health cover of Rs 5 lakh per family per year (Budget 2025-26)</t>
        </is>
      </c>
      <c r="D158" s="9" t="inlineStr">
        <is>
          <t>436</t>
        </is>
      </c>
      <c r="E158" s="9" t="inlineStr">
        <is>
          <t>Rs per year PMJJBY premium</t>
        </is>
      </c>
      <c r="F158" s="10" t="inlineStr">
        <is>
          <t>Bank account holders (PMJJBY 18-50, PMSBY 18-70); platform workers on e-Shram</t>
        </is>
      </c>
      <c r="G158" s="9" t="inlineStr">
        <is>
          <t>2022-06-01</t>
        </is>
      </c>
      <c r="H158" s="9" t="inlineStr">
        <is>
          <t>gross</t>
        </is>
      </c>
      <c r="I158" s="9" t="inlineStr">
        <is>
          <t>Business Standard 'Govt raises premium for flagship insurance schemes PMJJBY, PMSBY' (31-May-2022); HDFC Bank / ANI on Budget 2025 gig-worker PM-JAY</t>
        </is>
      </c>
      <c r="J158" s="9" t="inlineStr">
        <is>
          <t>https://www.business-standard.com/article/economy-policy/govt-raises-premium-for-flagship-insurance-schemes-pmjjby-pmsby-122053101274_1.html</t>
        </is>
      </c>
      <c r="K158" s="9" t="inlineStr">
        <is>
          <t>2022-05-31</t>
        </is>
      </c>
      <c r="L158" s="9" t="inlineStr">
        <is>
          <t>2026-09-30</t>
        </is>
      </c>
      <c r="M158" s="9" t="inlineStr">
        <is>
          <t>confirmed</t>
        </is>
      </c>
      <c r="N158" s="10" t="inlineStr">
        <is>
          <t>Premiums not revised since 2022 per results (a PIB 11-year release could not be opened). PMJJBY/PMSBY are enrolled via the worker's bank, so the app earns little. e-Shram had 3.37 lakh gig/platform workers registered by 3-Aug-2025 (search summary, unverified). Age limits from memory of scheme rules - unverified here.</t>
        </is>
      </c>
    </row>
    <row r="159">
      <c r="A159" s="9" t="inlineStr">
        <is>
          <t>REG-061</t>
        </is>
      </c>
      <c r="B159" s="9" t="inlineStr">
        <is>
          <t>Labour Codes</t>
        </is>
      </c>
      <c r="C159" s="10" t="inlineStr">
        <is>
          <t>All four Labour Codes (Wages 2019, Industrial Relations 2020, Social Security 2020, OSH 2020) made effective from 21-Nov-2025, replacing 29 laws; 'gig work', 'platform work' and 'aggregator' defined in law</t>
        </is>
      </c>
      <c r="D159" s="9" t="inlineStr">
        <is>
          <t>2025-11-21</t>
        </is>
      </c>
      <c r="E159" s="9" t="inlineStr">
        <is>
          <t>effective date</t>
        </is>
      </c>
      <c r="F159" s="10" t="inlineStr">
        <is>
          <t>All workers/employers incl. gig &amp; platform workers</t>
        </is>
      </c>
      <c r="G159" s="9" t="inlineStr">
        <is>
          <t>2025-11-21</t>
        </is>
      </c>
      <c r="H159" s="9" t="inlineStr">
        <is>
          <t>n/a</t>
        </is>
      </c>
      <c r="I159" s="9" t="inlineStr">
        <is>
          <t>PIB, 'Government Makes the Four Labour Codes effective...'; KPMG GMS Flash Alert 2025-267; EY alert 21-Nov-2025</t>
        </is>
      </c>
      <c r="J159" s="9" t="inlineStr">
        <is>
          <t>https://www.pib.gov.in/PressReleseDetailm.aspx?PRID=2192463&amp;reg=3&amp;lang=2</t>
        </is>
      </c>
      <c r="K159" s="9" t="inlineStr">
        <is>
          <t>2025-11-21</t>
        </is>
      </c>
      <c r="L159" s="9" t="inlineStr">
        <is>
          <t>2026-09-30</t>
        </is>
      </c>
      <c r="M159" s="9" t="inlineStr">
        <is>
          <t>confirmed</t>
        </is>
      </c>
      <c r="N159" s="10" t="inlineStr">
        <is>
          <t>PIB page itself returned 403; date corroborated by KPMG, BDO, EY, DLA Piper alerts.</t>
        </is>
      </c>
    </row>
    <row r="160">
      <c r="A160" s="9" t="inlineStr">
        <is>
          <t>REG-062</t>
        </is>
      </c>
      <c r="B160" s="9" t="inlineStr">
        <is>
          <t>Labour Codes</t>
        </is>
      </c>
      <c r="C160" s="10" t="inlineStr">
        <is>
          <t>Aggregator contribution to the gig/platform Social Security Fund: rate notified by Centre between 1% and 2% of annual turnover, capped at 5% of amounts paid/payable to gig and platform workers</t>
        </is>
      </c>
      <c r="D160" s="9" t="inlineStr">
        <is>
          <t>1-2% of turnover; cap 5% of worker payouts</t>
        </is>
      </c>
      <c r="E160" s="9" t="inlineStr">
        <is>
          <t xml:space="preserve">% </t>
        </is>
      </c>
      <c r="F160" s="10" t="inlineStr">
        <is>
          <t>Aggregators in the Seventh Schedule (ride-sharing, food/grocery delivery, e-marketplace, logistics etc.)</t>
        </is>
      </c>
      <c r="G160" s="9" t="inlineStr">
        <is>
          <t>2025-11-21</t>
        </is>
      </c>
      <c r="H160" s="9" t="inlineStr">
        <is>
          <t>n/a</t>
        </is>
      </c>
      <c r="I160" s="9" t="inlineStr">
        <is>
          <t>Code on Social Security, 2020 s.114(4) (as quoted by Taxmann 'Aggregator Obligations under Code on Social Security 2020')</t>
        </is>
      </c>
      <c r="J160" s="9" t="inlineStr">
        <is>
          <t>https://www.taxmann.com/post/blog/analysis-aggregator-obligations-code-on-social-security/</t>
        </is>
      </c>
      <c r="K160" s="9" t="inlineStr">
        <is>
          <t>2025</t>
        </is>
      </c>
      <c r="L160" s="9" t="inlineStr">
        <is>
          <t>2026-09-30</t>
        </is>
      </c>
      <c r="M160" s="9" t="inlineStr">
        <is>
          <t>confirmed</t>
        </is>
      </c>
      <c r="N160" s="10" t="inlineStr">
        <is>
          <t>Statutory text: 'at such rate not exceeding two per cent., but not less than one per cent., as may be notified... of the annual turnover' and 'shall not exceed five per cent. of the amount paid or payable by an aggregator to gig workers and platform workers'. Contribution goes to a government Social Security Fund, not to private products.</t>
        </is>
      </c>
    </row>
    <row r="161">
      <c r="A161" s="9" t="inlineStr">
        <is>
          <t>REG-063</t>
        </is>
      </c>
      <c r="B161" s="9" t="inlineStr">
        <is>
          <t>Labour Codes</t>
        </is>
      </c>
      <c r="C161" s="10" t="inlineStr">
        <is>
          <t>Social Security (Central) Rules, 2026 notified and in force 8-May-2026: aggregators must register on the designated portal and upload all engaged gig/platform workers within 45 days, then register new workers in real time/daily; benefits eligibility needs 90 days with one aggregator or 120 days across aggregators in the prior FY; eligibility ends at 60; the contribution RATE and start date under s.114(5) are still NOT notified</t>
        </is>
      </c>
      <c r="D161" s="9" t="inlineStr">
        <is>
          <t>not notified</t>
        </is>
      </c>
      <c r="E161" s="9" t="inlineStr">
        <is>
          <t>contribution rate status</t>
        </is>
      </c>
      <c r="F161" s="10" t="inlineStr">
        <is>
          <t>Aggregators / gig workers</t>
        </is>
      </c>
      <c r="G161" s="9" t="inlineStr">
        <is>
          <t>2026-07</t>
        </is>
      </c>
      <c r="H161" s="9" t="inlineStr">
        <is>
          <t>n/a</t>
        </is>
      </c>
      <c r="I161" s="9" t="inlineStr">
        <is>
          <t>MediaNama, 'Gig Workers Need 90 Days of Work for Social Security Benefits' (May-2026); IMPRI 'Welfare Governance For Gig Workers Under The Social Security (Central) Rules, 2026'</t>
        </is>
      </c>
      <c r="J161" s="9" t="inlineStr">
        <is>
          <t>https://www.medianama.com/2026/05/223-social-security-central-rules-2026-gig-workers-90-days-work/</t>
        </is>
      </c>
      <c r="K161" s="9" t="inlineStr">
        <is>
          <t>2026-05</t>
        </is>
      </c>
      <c r="L161" s="9" t="inlineStr">
        <is>
          <t>2026-09-30</t>
        </is>
      </c>
      <c r="M161" s="9" t="inlineStr">
        <is>
          <t>confirmed</t>
        </is>
      </c>
      <c r="N161" s="10" t="inlineStr">
        <is>
          <t>Rules notified = yes; contribution rate = pending (as of Jul-2026 per search summaries). MediaNama notes platform disclosures suggest average delivery partners work &lt; 40 days/yr, so many will fail the 90-day test. Gig registrations ~5 lakh (Dec-2025) -&gt; ~12 lakh (Jun-2026), 20 aggregators on portal (search summary, unverified).</t>
        </is>
      </c>
    </row>
    <row r="162">
      <c r="A162" s="9" t="inlineStr">
        <is>
          <t>REG-064</t>
        </is>
      </c>
      <c r="B162" s="9" t="inlineStr">
        <is>
          <t>State gig laws</t>
        </is>
      </c>
      <c r="C162" s="10" t="inlineStr">
        <is>
          <t>Karnataka: Platform Based Gig Workers (Social Security and Welfare) Act 2025 (Ordinance 27-May-2025; Rules notified 19-Nov-2025); welfare fee notified at 1% of payout per transaction with per-transaction caps Rs 0.50-1.50 by category, payable by platforms from 13-Feb-2026, not deducted from workers</t>
        </is>
      </c>
      <c r="D162" s="9" t="inlineStr">
        <is>
          <t>1</t>
        </is>
      </c>
      <c r="E162" s="9" t="inlineStr">
        <is>
          <t>% of payout per transaction (capped Rs 0.50-1.50)</t>
        </is>
      </c>
      <c r="F162" s="10" t="inlineStr">
        <is>
          <t>Platforms operating in Karnataka</t>
        </is>
      </c>
      <c r="G162" s="9" t="inlineStr">
        <is>
          <t>2026-02-13</t>
        </is>
      </c>
      <c r="H162" s="9" t="inlineStr">
        <is>
          <t>n/a</t>
        </is>
      </c>
      <c r="I162" s="9" t="inlineStr">
        <is>
          <t>SCC Online blog, 'Karnataka Notifies Gig Workers' Welfare Fee Under Social Security Framework' (18-Feb-2026)</t>
        </is>
      </c>
      <c r="J162" s="9" t="inlineStr">
        <is>
          <t>https://www.scconline.com/blog/post/2026/02/18/karnataka-government-notifies-gig-workers-welfare-fee-mandatory/</t>
        </is>
      </c>
      <c r="K162" s="9" t="inlineStr">
        <is>
          <t>2026-02-18</t>
        </is>
      </c>
      <c r="L162" s="9" t="inlineStr">
        <is>
          <t>2026-09-30</t>
        </is>
      </c>
      <c r="M162" s="9" t="inlineStr">
        <is>
          <t>confirmed</t>
        </is>
      </c>
      <c r="N162" s="10" t="inlineStr">
        <is>
          <t>Act allowed 1-5%; notified at the bottom of the band with small caps.</t>
        </is>
      </c>
    </row>
    <row r="163">
      <c r="A163" s="9" t="inlineStr">
        <is>
          <t>REG-065</t>
        </is>
      </c>
      <c r="B163" s="9" t="inlineStr">
        <is>
          <t>State gig laws</t>
        </is>
      </c>
      <c r="C163" s="10" t="inlineStr">
        <is>
          <t>Rajasthan Platform-Based Gig Workers (Registration and Welfare) Act passed 24-Jul-2023 but rules not framed / not implemented; Telangana passed its Platform-Based Gig Workers Act 2026 (Act 21 of 2026) with a 1-2% levy on platform transaction value; Jharkhand and Bihar also have laws; DELHI has NO gig-worker Act - only Budget 2026-27 announcements (welfare board, rest-rooms)</t>
        </is>
      </c>
      <c r="D163" s="9" t="inlineStr">
        <is>
          <t>no Act in Delhi</t>
        </is>
      </c>
      <c r="E163" s="9" t="inlineStr">
        <is>
          <t>status</t>
        </is>
      </c>
      <c r="F163" s="10" t="inlineStr">
        <is>
          <t>Gig workers in Delhi NCR (Delhi, Haryana, UP)</t>
        </is>
      </c>
      <c r="G163" s="9" t="inlineStr">
        <is>
          <t>2026-09-30</t>
        </is>
      </c>
      <c r="H163" s="9" t="inlineStr">
        <is>
          <t>n/a</t>
        </is>
      </c>
      <c r="I163" s="9" t="inlineStr">
        <is>
          <t>CPPR on Rajasthan law; PRS India (Telangana Act 21 of 2026); Counterview 'Delhi budget's gig worker proposals questioned' (Mar-2026)</t>
        </is>
      </c>
      <c r="J163" s="9" t="inlineStr">
        <is>
          <t>https://prsindia.org/files/bills_acts/acts_states/telangana/2026/Act21of2026TG.pdf</t>
        </is>
      </c>
      <c r="K163" s="9" t="inlineStr">
        <is>
          <t>2026</t>
        </is>
      </c>
      <c r="L163" s="9" t="inlineStr">
        <is>
          <t>2026-09-30</t>
        </is>
      </c>
      <c r="M163" s="9" t="inlineStr">
        <is>
          <t>confirmed</t>
        </is>
      </c>
      <c r="N163" s="10" t="inlineStr">
        <is>
          <t>Delhi status from a single advocacy-news source plus absence of any Act in results; treat 'no Delhi Act' as likely but not proven. Gurugram (Haryana) and Noida (UP) status not checked. Estimated 1.3 million gig workers in Delhi (union estimate quoted by Counterview, unverified).</t>
        </is>
      </c>
    </row>
    <row r="164">
      <c r="A164" s="9" t="inlineStr">
        <is>
          <t>REG-066</t>
        </is>
      </c>
      <c r="B164" s="9" t="inlineStr">
        <is>
          <t>Payout-linked saving</t>
        </is>
      </c>
      <c r="C164" s="10" t="inlineStr">
        <is>
          <t>MF subscriptions must come from the investor's OWN bank account (Master Circular for MFs, 20-Mar-2026, clause 17.4); SEBI's 20-May-2026 draft would allow third-party payment only for (i) listed/EPFO-registered EMPLOYERS deducting from EMPLOYEES' salary and (ii) AMCs paying MFDs in units - gig platforms paying on behalf of gig workers are not covered</t>
        </is>
      </c>
      <c r="D164" s="9" t="inlineStr">
        <is>
          <t>own-account only</t>
        </is>
      </c>
      <c r="E164" s="9" t="inlineStr">
        <is>
          <t>rule</t>
        </is>
      </c>
      <c r="F164" s="10" t="inlineStr">
        <is>
          <t>MF investors</t>
        </is>
      </c>
      <c r="G164" s="9" t="inlineStr">
        <is>
          <t>2026-05-20</t>
        </is>
      </c>
      <c r="H164" s="9" t="inlineStr">
        <is>
          <t>n/a</t>
        </is>
      </c>
      <c r="I164" s="9" t="inlineStr">
        <is>
          <t>SEBI draft circular for public comments 'Enabling third party payments in Mutual Funds in certain scenarios' (comments by 10-Jun-2026)</t>
        </is>
      </c>
      <c r="J164" s="9" t="inlineStr">
        <is>
          <t>https://www.sebi.gov.in/sebi_data/attachdocs/may-2026/1779276447538.pdf</t>
        </is>
      </c>
      <c r="K164" s="9" t="inlineStr">
        <is>
          <t>2026-05-20</t>
        </is>
      </c>
      <c r="L164" s="9" t="inlineStr">
        <is>
          <t>2026-09-30</t>
        </is>
      </c>
      <c r="M164" s="9" t="inlineStr">
        <is>
          <t>confirmed</t>
        </is>
      </c>
      <c r="N164" s="10" t="inlineStr">
        <is>
          <t>KEY for 'straight from platform payouts': a platform cannot pay into a worker's MF folio directly. It must pay the worker's bank account first; the worker's own mandate then debits. Final circular status after Jun-2026 not found (unverified). Legacy AMFI exception list (payroll SIP by employer; minors &lt;= Rs 50,000; custodians) confirmed by Value Research/HDFC MF forms.</t>
        </is>
      </c>
    </row>
    <row r="165">
      <c r="A165" s="9" t="inlineStr">
        <is>
          <t>REG-067</t>
        </is>
      </c>
      <c r="B165" s="9" t="inlineStr">
        <is>
          <t>Payout-linked saving</t>
        </is>
      </c>
      <c r="C165" s="10" t="inlineStr">
        <is>
          <t>No specific rule found on platforms deducting part of a gig worker's payout into a savings product with consent; Code on Wages deduction rules apply to 'employees', and gig workers are defined outside the employment relationship</t>
        </is>
      </c>
      <c r="D165" s="9" t="inlineStr">
        <is>
          <t>no rule found</t>
        </is>
      </c>
      <c r="E165" s="9" t="inlineStr">
        <is>
          <t>status</t>
        </is>
      </c>
      <c r="F165" s="10" t="inlineStr">
        <is>
          <t>Gig/platform workers</t>
        </is>
      </c>
      <c r="G165" s="9" t="inlineStr">
        <is>
          <t>2026-09-30</t>
        </is>
      </c>
      <c r="H165" s="9" t="inlineStr">
        <is>
          <t>n/a</t>
        </is>
      </c>
      <c r="I165" s="9" t="inlineStr">
        <is>
          <t>Search of Labour Code commentary (Legal 500, KSK, Business Standard 24-Nov-2025) - no provision located</t>
        </is>
      </c>
      <c r="J165" s="9" t="inlineStr">
        <is>
          <t>https://www.legal500.com/intelligence/india/employment-and-hr/position-of-gig-workers-under-indias-new-labour-code-framework-what-businesses-need-to-know</t>
        </is>
      </c>
      <c r="K165" s="9" t="inlineStr">
        <is>
          <t>2026</t>
        </is>
      </c>
      <c r="L165" s="9" t="inlineStr">
        <is>
          <t>2026-09-30</t>
        </is>
      </c>
      <c r="M165" s="9" t="inlineStr">
        <is>
          <t>unverified</t>
        </is>
      </c>
      <c r="N165" s="10" t="inlineStr">
        <is>
          <t>Absence of evidence, not a confirmed permission. Practical route: worker-authorised split of payout to the worker's own bank account + worker's own UPI Autopay; platform co-funding would be a platform-paid incentive to the worker's account (tax/labour treatment unverified). Karnataka explicitly bars passing its welfare fee to workers.</t>
        </is>
      </c>
    </row>
    <row r="166">
      <c r="A166" s="9" t="inlineStr">
        <is>
          <t>REG-068</t>
        </is>
      </c>
      <c r="B166" s="9" t="inlineStr">
        <is>
          <t>e-KYC cost</t>
        </is>
      </c>
      <c r="C166" s="10" t="inlineStr">
        <is>
          <t>UIDAI charges requesting entities Rs 3 (incl. taxes) per successful Aadhaar e-KYC (Re 1 for telcos) and Rs 0.50 per Yes/No authentication; government-scheme authentications exempt; charges to be CPI-indexed every two years</t>
        </is>
      </c>
      <c r="D166" s="9" t="inlineStr">
        <is>
          <t>3</t>
        </is>
      </c>
      <c r="E166" s="9" t="inlineStr">
        <is>
          <t>Rs per e-KYC incl. taxes (UIDAI fee)</t>
        </is>
      </c>
      <c r="F166" s="10" t="inlineStr">
        <is>
          <t>Private AUA/KUAs and sub-KUAs</t>
        </is>
      </c>
      <c r="G166" s="9" t="inlineStr">
        <is>
          <t>2021-10</t>
        </is>
      </c>
      <c r="H166" s="9" t="inlineStr">
        <is>
          <t>gross</t>
        </is>
      </c>
      <c r="I166" s="9" t="inlineStr">
        <is>
          <t>Aadhaar (Pricing of Aadhaar Authentication Services) Regulations, 2021 - SCC Times summary; Business Standard 28-Sep-2021 'UIDAI slashes Aadhaar authentication charge to Rs 3 from Rs 20'</t>
        </is>
      </c>
      <c r="J166" s="9" t="inlineStr">
        <is>
          <t>https://www.scconline.com/blog/post/2021/10/21/aadhaar-pricing-of-aadhaar-authentication-services-regulations-2021/</t>
        </is>
      </c>
      <c r="K166" s="9" t="inlineStr">
        <is>
          <t>2021-10-21</t>
        </is>
      </c>
      <c r="L166" s="9" t="inlineStr">
        <is>
          <t>2026-09-30</t>
        </is>
      </c>
      <c r="M166" s="9" t="inlineStr">
        <is>
          <t>corrected</t>
        </is>
      </c>
      <c r="N166" s="10" t="inlineStr">
        <is>
          <t>CORRECTION: the cut from Rs 20 to Rs 3 happened in 2021, not 2025. I found no 2025/2026 cut in the per-transaction charge; any CPI indexation since 2021 not verified. UIDAI also cut AUA/KUA LICENCE fees by volume (Circular 04 of 2023: Rs 5 lakh / 2 yrs for &lt;=5 lakh txns/yr). A start-up would use e-KYC through a regulated partner (KRA/bank/AMC) as sub-KUA; vendor all-in price Rs 3-7 per OTP e-KYC (upgrowth calculator, low reliability).</t>
        </is>
      </c>
    </row>
    <row r="167">
      <c r="A167" s="9" t="inlineStr">
        <is>
          <t>REG-069</t>
        </is>
      </c>
      <c r="B167" s="9" t="inlineStr">
        <is>
          <t>KYC costs (vendor)</t>
        </is>
      </c>
      <c r="C167" s="10" t="inlineStr">
        <is>
          <t>Indicative vendor prices per verification: Aadhaar OTP e-KYC Rs 3-7; DigiLocker Rs 2-5; CKYC lookup+download Rs 5-15; Video KYC (V-CIP) Rs 50-150 (AI-assisted Rs 20-50); PAN verification Rs 1-3; bank-account penny drop Rs 2-5</t>
        </is>
      </c>
      <c r="D167" s="9" t="inlineStr">
        <is>
          <t>50-150</t>
        </is>
      </c>
      <c r="E167" s="9" t="inlineStr">
        <is>
          <t>Rs per video-KYC session</t>
        </is>
      </c>
      <c r="F167" s="10" t="inlineStr">
        <is>
          <t>Fintech onboarding in India</t>
        </is>
      </c>
      <c r="G167" s="9" t="inlineStr">
        <is>
          <t>2026</t>
        </is>
      </c>
      <c r="H167" s="9" t="inlineStr">
        <is>
          <t>net of GST</t>
        </is>
      </c>
      <c r="I167" s="9" t="inlineStr">
        <is>
          <t>upGrowth 'KYC Cost Per Customer Calculator [2026]' (cites vendor pricing from Karza, Signzy, IDfy, HyperVerge 2025-26)</t>
        </is>
      </c>
      <c r="J167" s="9" t="inlineStr">
        <is>
          <t>https://upgrowth.in/calculator/kyc-cost-calculator/</t>
        </is>
      </c>
      <c r="K167" s="9" t="inlineStr">
        <is>
          <t>2026</t>
        </is>
      </c>
      <c r="L167" s="9" t="inlineStr">
        <is>
          <t>2026-09-30</t>
        </is>
      </c>
      <c r="M167" s="9" t="inlineStr">
        <is>
          <t>unverified</t>
        </is>
      </c>
      <c r="N167" s="10" t="inlineStr">
        <is>
          <t>Single low-reliability aggregator; vendors do not publish list prices. Use base/low/high: e-KYC 5/3/7; CKYC 10/5/15; V-CIP 100/20/150; PAN 2/1/3 (Protean NSDL bulk PAN ~Rs 2.50 per search summary of Paisabazaar, unverified); penny drop 3/2/5. CERSAI CKYC fee page did not render - official CKYC fee unverified.</t>
        </is>
      </c>
    </row>
    <row r="168">
      <c r="A168" s="9" t="inlineStr">
        <is>
          <t>REG-070</t>
        </is>
      </c>
      <c r="B168" s="9" t="inlineStr">
        <is>
          <t>Account Aggregator</t>
        </is>
      </c>
      <c r="C168" s="10" t="inlineStr">
        <is>
          <t>AA fees are market-set and charged to the FIU (the data user), not the customer; one AA (Setu/Agya) states an average range of Rs 0.01 to Rs 25 per fetch</t>
        </is>
      </c>
      <c r="D168" s="9" t="inlineStr">
        <is>
          <t>0.01-25</t>
        </is>
      </c>
      <c r="E168" s="9" t="inlineStr">
        <is>
          <t>Rs per data fetch (FIU pays)</t>
        </is>
      </c>
      <c r="F168" s="10" t="inlineStr">
        <is>
          <t>FIUs using Setu/Agya AA</t>
        </is>
      </c>
      <c r="G168" s="9" t="inlineStr">
        <is>
          <t>2026-09-30</t>
        </is>
      </c>
      <c r="H168" s="9" t="inlineStr">
        <is>
          <t>net of GST</t>
        </is>
      </c>
      <c r="I168" s="9" t="inlineStr">
        <is>
          <t>Agya Technologies (Setu AA) pricing policy; Sahamati FAQ</t>
        </is>
      </c>
      <c r="J168" s="9" t="inlineStr">
        <is>
          <t>https://setu-aa.com/pricing-policy</t>
        </is>
      </c>
      <c r="K168" s="9" t="inlineStr">
        <is>
          <t>2026-09-30</t>
        </is>
      </c>
      <c r="L168" s="9" t="inlineStr">
        <is>
          <t>2026-09-30</t>
        </is>
      </c>
      <c r="M168" s="9" t="inlineStr">
        <is>
          <t>confirmed</t>
        </is>
      </c>
      <c r="N168" s="10" t="inlineStr">
        <is>
          <t>Confirmed for one AA only. To be an FIU the app must itself be a regulated entity (RBI/SEBI/IRDAI/PFRDA) - an unregistered LSP cannot directly be an FIU (Sahamati FIU list; not re-verified here). Base Rs 5, low Rs 1, high Rs 25 per fetch (assumption within the published band). AA facilitated Rs 42,300 cr of loans since launch per Sahamati (BS, 16-Sep-2024).</t>
        </is>
      </c>
    </row>
    <row r="169">
      <c r="A169" s="9" t="inlineStr">
        <is>
          <t>REG-071</t>
        </is>
      </c>
      <c r="B169" s="9" t="inlineStr">
        <is>
          <t>Credit bureau</t>
        </is>
      </c>
      <c r="C169" s="10" t="inlineStr">
        <is>
          <t>Bureaus (CIBIL, Experian etc.) do not publish lender per-pull prices; aggregators (Karza, Perfios) add Rs 2-15 per pull above the bureau rate</t>
        </is>
      </c>
      <c r="D169" s="9" t="inlineStr">
        <is>
          <t>unpublished</t>
        </is>
      </c>
      <c r="E169" s="9" t="inlineStr">
        <is>
          <t>Rs per bureau pull</t>
        </is>
      </c>
      <c r="F169" s="10" t="inlineStr">
        <is>
          <t>Lenders/CIC members</t>
        </is>
      </c>
      <c r="G169" s="9" t="inlineStr">
        <is>
          <t>2026-09-01</t>
        </is>
      </c>
      <c r="H169" s="9" t="inlineStr">
        <is>
          <t>net of GST</t>
        </is>
      </c>
      <c r="I169" s="9" t="inlineStr">
        <is>
          <t>productgrowth.in 'TransUnion CIBIL for Indian Lending Teams' (1-Sep-2026)</t>
        </is>
      </c>
      <c r="J169" s="9" t="inlineStr">
        <is>
          <t>https://productgrowth.in/tools/kyc-identity/cibil/</t>
        </is>
      </c>
      <c r="K169" s="9" t="inlineStr">
        <is>
          <t>2026-09-01</t>
        </is>
      </c>
      <c r="L169" s="9" t="inlineStr">
        <is>
          <t>2026-09-30</t>
        </is>
      </c>
      <c r="M169" s="9" t="inlineStr">
        <is>
          <t>unverified</t>
        </is>
      </c>
      <c r="N169" s="10" t="inlineStr">
        <is>
          <t>No reliable per-pull figure found. Same site's implied spend (Rs 5-50 lakh/month for 10k-100k applications) suggests ~Rs 50/application all-in (very rough). Only a CIC member (a regulated lender) can pull; as an LSP the app relies on the lender's pull. Model: base Rs 30, low Rs 10, high Rs 60 per pull (assumption, unverified).</t>
        </is>
      </c>
    </row>
    <row r="170">
      <c r="A170" s="9" t="inlineStr">
        <is>
          <t>REG-072</t>
        </is>
      </c>
      <c r="B170" s="9" t="inlineStr">
        <is>
          <t>Messaging cost</t>
        </is>
      </c>
      <c r="C170" s="10" t="inlineStr">
        <is>
          <t>WhatsApp Business (Meta India rate card): utility and authentication messages Rs 0.115 each, marketing Rs 0.8631 (plus 18% GST); from 1-Oct-2026 service/utility messages inside the 24h window are also charged after 1,000 free/month; volume discounts up to 30% on utility</t>
        </is>
      </c>
      <c r="D170" s="9" t="inlineStr">
        <is>
          <t>0.115</t>
        </is>
      </c>
      <c r="E170" s="9" t="inlineStr">
        <is>
          <t>Rs per WhatsApp utility message (ex-GST)</t>
        </is>
      </c>
      <c r="F170" s="10" t="inlineStr">
        <is>
          <t>Businesses using WhatsApp Business Platform in India</t>
        </is>
      </c>
      <c r="G170" s="9" t="inlineStr">
        <is>
          <t>2026-10-01</t>
        </is>
      </c>
      <c r="H170" s="9" t="inlineStr">
        <is>
          <t>net of GST</t>
        </is>
      </c>
      <c r="I170" s="9" t="inlineStr">
        <is>
          <t>EngageLab 'WhatsApp Business API Pricing 2026: Rates &amp; Oct 1 Changes'; MyOperator India pricing 2026</t>
        </is>
      </c>
      <c r="J170" s="9" t="inlineStr">
        <is>
          <t>https://www.engagelab.com/blog/whatsapp-business-api-pricing</t>
        </is>
      </c>
      <c r="K170" s="9" t="inlineStr">
        <is>
          <t>2026</t>
        </is>
      </c>
      <c r="L170" s="9" t="inlineStr">
        <is>
          <t>2026-09-30</t>
        </is>
      </c>
      <c r="M170" s="9" t="inlineStr">
        <is>
          <t>unverified</t>
        </is>
      </c>
      <c r="N170" s="10" t="inlineStr">
        <is>
          <t>BSP summaries of Meta's rate card; Meta's own page not opened. BSPs add a markup. For UPI Autopay the statutory pre-debit notice is sent by the payer's bank/UPI app (RBI e-mandate framework puts it on the issuer), so the app's own reminder messages are optional cost.</t>
        </is>
      </c>
    </row>
    <row r="171">
      <c r="A171" s="9" t="inlineStr">
        <is>
          <t>REG-073</t>
        </is>
      </c>
      <c r="B171" s="9" t="inlineStr">
        <is>
          <t>Messaging cost</t>
        </is>
      </c>
      <c r="C171" s="10" t="inlineStr">
        <is>
          <t>Transactional SMS over DLT-registered routes costs about Rs 0.10-0.20 per SMS; one-time DLT registration ~Rs 5,900 + GST per operator portal</t>
        </is>
      </c>
      <c r="D171" s="9" t="inlineStr">
        <is>
          <t>0.10-0.20</t>
        </is>
      </c>
      <c r="E171" s="9" t="inlineStr">
        <is>
          <t>Rs per transactional SMS</t>
        </is>
      </c>
      <c r="F171" s="10" t="inlineStr">
        <is>
          <t>A2P SMS senders in India</t>
        </is>
      </c>
      <c r="G171" s="9" t="inlineStr">
        <is>
          <t>2026</t>
        </is>
      </c>
      <c r="H171" s="9" t="inlineStr">
        <is>
          <t>net of GST</t>
        </is>
      </c>
      <c r="I171" s="9" t="inlineStr">
        <is>
          <t>Message Central, 'A2P SMS Pricing in India 2026'</t>
        </is>
      </c>
      <c r="J171" s="9" t="inlineStr">
        <is>
          <t>https://www.messagecentral.com/blog/a2p-sms-pricing-india</t>
        </is>
      </c>
      <c r="K171" s="9" t="inlineStr">
        <is>
          <t>2026</t>
        </is>
      </c>
      <c r="L171" s="9" t="inlineStr">
        <is>
          <t>2026-09-30</t>
        </is>
      </c>
      <c r="M171" s="9" t="inlineStr">
        <is>
          <t>unverified</t>
        </is>
      </c>
      <c r="N171" s="10" t="inlineStr">
        <is>
          <t>Vendor blog. Base Rs 0.15, low 0.10, high 0.20. A daily-saver sending 1 message/day = ~Rs 4.5/month/user - material versus Rs 8/yr trail on a Rs 10,000 liquid balance.</t>
        </is>
      </c>
    </row>
    <row r="172">
      <c r="A172" s="9" t="inlineStr">
        <is>
          <t>REG-074</t>
        </is>
      </c>
      <c r="B172" s="9" t="inlineStr">
        <is>
          <t>Credit on UPI</t>
        </is>
      </c>
      <c r="C172" s="10" t="inlineStr">
        <is>
          <t>RBI allowed pre-sanctioned bank credit lines as a UPI funding source (circular 4-Sep-2023, scheduled commercial banks); extended to Small Finance Banks in Dec-2024; RuPay credit cards on UPI since 2022; NBFCs are NOT yet permitted (FIDC petitioned RBI 23-Sep-2025)</t>
        </is>
      </c>
      <c r="D172" s="9" t="inlineStr">
        <is>
          <t>banks + SFBs only</t>
        </is>
      </c>
      <c r="E172" s="9" t="inlineStr">
        <is>
          <t>eligible issuers</t>
        </is>
      </c>
      <c r="F172" s="10" t="inlineStr">
        <is>
          <t>Credit line on UPI</t>
        </is>
      </c>
      <c r="G172" s="9" t="inlineStr">
        <is>
          <t>2026-09-30</t>
        </is>
      </c>
      <c r="H172" s="9" t="inlineStr">
        <is>
          <t>n/a</t>
        </is>
      </c>
      <c r="I172" s="9" t="inlineStr">
        <is>
          <t>RBI circular RBI/2023-24/58 CO.DPSS.POLC.No.S-567 'Operation of Pre-Sanctioned Credit Lines at Banks through UPI' (via Probe42/BS); BS 6-Dec-2024 (SFBs); FIDC letter 23-Sep-2025</t>
        </is>
      </c>
      <c r="J172" s="9" t="inlineStr">
        <is>
          <t>https://www.business-standard.com/finance/news/rbi-allows-small-finance-banks-to-offer-pre-sanctioned-credit-line-on-upi-124120600474_1.html</t>
        </is>
      </c>
      <c r="K172" s="9" t="inlineStr">
        <is>
          <t>2024-12-06</t>
        </is>
      </c>
      <c r="L172" s="9" t="inlineStr">
        <is>
          <t>2026-09-30</t>
        </is>
      </c>
      <c r="M172" s="9" t="inlineStr">
        <is>
          <t>confirmed</t>
        </is>
      </c>
      <c r="N172" s="10" t="inlineStr">
        <is>
          <t>NPCI does not publish credit-line-on-UPI volumes. RuPay credit card on UPI reportedly ~38-40% of credit-card transaction volume (Kiwi/Upstox, unverified). NPCI UPI Consolidated Circular v1.0 issued 18-Sep-2026 (not read). NBFC Credit Facilities Directions 2025 reportedly dropped revolving-line-of-credit references for NBFCs (Vinod Kothari) - a small-ticket NBFC credit line via the app may be constrained (unverified).</t>
        </is>
      </c>
    </row>
    <row r="173">
      <c r="A173" s="9" t="inlineStr">
        <is>
          <t>REG-075</t>
        </is>
      </c>
      <c r="B173" s="9" t="inlineStr">
        <is>
          <t>Consumer credit stress</t>
        </is>
      </c>
      <c r="C173" s="10" t="inlineStr">
        <is>
          <t>RBI raised risk weights on unsecured consumer credit (personal loans etc., excl. housing, education, vehicle, gold) from 100% to 125% for banks and NBFCs; credit-card receivables 125-&gt;150% (banks) and 100-&gt;125% (NBFCs); plus +25 pp on bank loans to NBFCs</t>
        </is>
      </c>
      <c r="D173" s="9" t="inlineStr">
        <is>
          <t>125</t>
        </is>
      </c>
      <c r="E173" s="9" t="inlineStr">
        <is>
          <t>% risk weight on unsecured consumer credit</t>
        </is>
      </c>
      <c r="F173" s="10" t="inlineStr">
        <is>
          <t>Banks and NBFCs</t>
        </is>
      </c>
      <c r="G173" s="9" t="inlineStr">
        <is>
          <t>2023-11-16</t>
        </is>
      </c>
      <c r="H173" s="9" t="inlineStr">
        <is>
          <t>n/a</t>
        </is>
      </c>
      <c r="I173" s="9" t="inlineStr">
        <is>
          <t>Business Standard, 'RBI tightens norms, raises risk weights for personal loans and credit cards' (16-Nov-2023); Khaitan &amp; Co note</t>
        </is>
      </c>
      <c r="J173" s="9" t="inlineStr">
        <is>
          <t>https://www.business-standard.com/industry/banking/rbi-tightens-norms-increases-risk-weights-for-personal-loan-credit-cards-123111601200_1.html</t>
        </is>
      </c>
      <c r="K173" s="9" t="inlineStr">
        <is>
          <t>2023-11-16</t>
        </is>
      </c>
      <c r="L173" s="9" t="inlineStr">
        <is>
          <t>2026-09-30</t>
        </is>
      </c>
      <c r="M173" s="9" t="inlineStr">
        <is>
          <t>confirmed</t>
        </is>
      </c>
      <c r="N173" s="10" t="inlineStr">
        <is>
          <t>Higher capital cost on small unsecured personal loans makes partner NBFCs price higher or ration credit.</t>
        </is>
      </c>
    </row>
    <row r="174">
      <c r="A174" s="9" t="inlineStr">
        <is>
          <t>REG-076</t>
        </is>
      </c>
      <c r="B174" s="9" t="inlineStr">
        <is>
          <t>Consumer credit stress</t>
        </is>
      </c>
      <c r="C174" s="10" t="inlineStr">
        <is>
          <t>25-Feb-2025 partial rollback: microfinance loans classed as consumer credit back to 100% risk weight (immediate); bank loans to NBFCs back to rating-based weights from 1-Apr-2025. General unsecured consumer credit remains at 125% - no rollback found through Sep-2026</t>
        </is>
      </c>
      <c r="D174" s="9" t="inlineStr">
        <is>
          <t>100</t>
        </is>
      </c>
      <c r="E174" s="9" t="inlineStr">
        <is>
          <t>% risk weight (microfinance consumer credit, from 25-Feb-2025)</t>
        </is>
      </c>
      <c r="F174" s="10" t="inlineStr">
        <is>
          <t>Banks and NBFCs</t>
        </is>
      </c>
      <c r="G174" s="9" t="inlineStr">
        <is>
          <t>2025-02-25</t>
        </is>
      </c>
      <c r="H174" s="9" t="inlineStr">
        <is>
          <t>n/a</t>
        </is>
      </c>
      <c r="I174" s="9" t="inlineStr">
        <is>
          <t>Khaitan &amp; Co, 'RBI eases risk weight on consumer credit and bank loan: relief for NBFCs and MFIs'; Business Standard 25-Feb-2025</t>
        </is>
      </c>
      <c r="J174" s="9" t="inlineStr">
        <is>
          <t>https://www.khaitanco.com/thought-leadership/relief-for-NBFCs-and-Microfinance-Institutions</t>
        </is>
      </c>
      <c r="K174" s="9" t="inlineStr">
        <is>
          <t>2025-02-25</t>
        </is>
      </c>
      <c r="L174" s="9" t="inlineStr">
        <is>
          <t>2026-09-30</t>
        </is>
      </c>
      <c r="M174" s="9" t="inlineStr">
        <is>
          <t>corrected</t>
        </is>
      </c>
      <c r="N174" s="10" t="inlineStr">
        <is>
          <t>CORRECTION to 'any 2025 rollback': the 2025 rollback covered ONLY microfinance consumer loans and bank-to-NBFC exposure - not personal loans/credit cards generally. 'No rollback through Sep-2026' is based on absence in results (one low-quality site says the 125% is unchanged); treat as likely, not proven.</t>
        </is>
      </c>
    </row>
    <row r="175">
      <c r="A175" s="9" t="inlineStr">
        <is>
          <t>REG-077</t>
        </is>
      </c>
      <c r="B175" s="9" t="inlineStr">
        <is>
          <t>Microfinance guardrails</t>
        </is>
      </c>
      <c r="C175" s="10" t="inlineStr">
        <is>
          <t>Any collateral-free loan to a household with annual income up to Rs 3 lakh is a 'microfinance loan' for ALL REs (banks and NBFCs), and total repayment obligations of the household are capped at 50% of monthly household income (in force since 1-Apr-2022)</t>
        </is>
      </c>
      <c r="D175" s="9" t="inlineStr">
        <is>
          <t>50</t>
        </is>
      </c>
      <c r="E175" s="9" t="inlineStr">
        <is>
          <t>% of monthly household income (max repayment obligations)</t>
        </is>
      </c>
      <c r="F175" s="10" t="inlineStr">
        <is>
          <t>Households with income &lt;= Rs 3 lakh/yr</t>
        </is>
      </c>
      <c r="G175" s="9" t="inlineStr">
        <is>
          <t>2022-04-01</t>
        </is>
      </c>
      <c r="H175" s="9" t="inlineStr">
        <is>
          <t>n/a</t>
        </is>
      </c>
      <c r="I175" s="9" t="inlineStr">
        <is>
          <t>RBI (Regulatory Framework for Microfinance Loans) Directions, 2022 - RBI FAQ updated 30-Jan-2025</t>
        </is>
      </c>
      <c r="J175" s="9" t="inlineStr">
        <is>
          <t>https://www.rbi.org.in/commonman/Upload/English/FAQs/PDFs/RFML30012025.pdf</t>
        </is>
      </c>
      <c r="K175" s="9" t="inlineStr">
        <is>
          <t>2025-01-30</t>
        </is>
      </c>
      <c r="L175" s="9" t="inlineStr">
        <is>
          <t>2026-09-30</t>
        </is>
      </c>
      <c r="M175" s="9" t="inlineStr">
        <is>
          <t>confirmed</t>
        </is>
      </c>
      <c r="N175" s="10" t="inlineStr">
        <is>
          <t>Many delivery/ride workers' households will fall under Rs 3 lakh, so small unsecured loans sourced by the app may be microfinance loans needing household-income assessment and the 50% cap - lender's problem, but it limits loan size/approval rates. Industry SRO (MFIN) guardrails reported: max 3 MFI lenders per borrower and total unsecured indebtedness capped at Rs 2 lakh (search summaries; exact dates unverified).</t>
        </is>
      </c>
    </row>
    <row r="176">
      <c r="A176" s="9" t="inlineStr">
        <is>
          <t>REG-078</t>
        </is>
      </c>
      <c r="B176" s="9" t="inlineStr">
        <is>
          <t>Small-ticket loan pricing</t>
        </is>
      </c>
      <c r="C176" s="10" t="inlineStr">
        <is>
          <t>RBI draft (Interest Rates on Loans and Advances) Directions, 2026 (12-Aug-2026), proposed effective 1-Apr-2027: NBFCs must set internal APR ceilings for microfinance loans and loans up to Rs 50,000 that are 'not usurious'; APR (not just interest) is what is capped; digital lenders must publish benchmark methodology</t>
        </is>
      </c>
      <c r="D176" s="9" t="inlineStr">
        <is>
          <t>50000</t>
        </is>
      </c>
      <c r="E176" s="9" t="inlineStr">
        <is>
          <t>Rs loan size threshold for internal APR ceiling</t>
        </is>
      </c>
      <c r="F176" s="10" t="inlineStr">
        <is>
          <t>NBFCs</t>
        </is>
      </c>
      <c r="G176" s="9" t="inlineStr">
        <is>
          <t>2026-08-12</t>
        </is>
      </c>
      <c r="H176" s="9" t="inlineStr">
        <is>
          <t>n/a</t>
        </is>
      </c>
      <c r="I176" s="9" t="inlineStr">
        <is>
          <t>Vinod Kothari Consultants, 'RBI Proposes Regulation of NBFC Interest Rates and Pricing Methodology' (Aug-2026)</t>
        </is>
      </c>
      <c r="J176" s="9" t="inlineStr">
        <is>
          <t>https://vinodkothari.com/2026/08/rbi-proposes-regulation-of-nbfc-interest-rates-and-pricing-methodology/</t>
        </is>
      </c>
      <c r="K176" s="9" t="inlineStr">
        <is>
          <t>2026-08</t>
        </is>
      </c>
      <c r="L176" s="9" t="inlineStr">
        <is>
          <t>2026-09-30</t>
        </is>
      </c>
      <c r="M176" s="9" t="inlineStr">
        <is>
          <t>unverified</t>
        </is>
      </c>
      <c r="N176" s="10" t="inlineStr">
        <is>
          <t>Draft; consultant summary only. If finalised, compresses APR on exactly the Rs 5k-50k loans a gig-worker app would source - and therefore the lender's room to pay LSP fees.</t>
        </is>
      </c>
    </row>
    <row r="177">
      <c r="A177" s="9" t="inlineStr">
        <is>
          <t>REG-079</t>
        </is>
      </c>
      <c r="B177" s="9" t="inlineStr">
        <is>
          <t>Marketing - prize chits</t>
        </is>
      </c>
      <c r="C177" s="10" t="inlineStr">
        <is>
          <t>Prize Chits and Money Circulation Schemes (Banning) Act 1978 s.3 bans promoting/conducting, enrolling in, or receiving/remitting money for any prize chit or money circulation scheme; a 'prize chit' (s.2(e)) is collecting money by subscriptions/contributions for a scheme distributing prizes or gifts by lot or draw (or refunding with bonus), conventional chits excluded; penalty up to 3 years (minimum 1 year absent special reasons) and fine</t>
        </is>
      </c>
      <c r="D177" s="9" t="inlineStr">
        <is>
          <t>3</t>
        </is>
      </c>
      <c r="E177" s="9" t="inlineStr">
        <is>
          <t>years max imprisonment</t>
        </is>
      </c>
      <c r="F177" s="10" t="inlineStr">
        <is>
          <t>Anyone promoting or joining such schemes</t>
        </is>
      </c>
      <c r="G177" s="9" t="inlineStr">
        <is>
          <t>1978</t>
        </is>
      </c>
      <c r="H177" s="9" t="inlineStr">
        <is>
          <t>n/a</t>
        </is>
      </c>
      <c r="I177" s="9" t="inlineStr">
        <is>
          <t>Prize Chits and Money Circulation Schemes (Banning) Act, 1978 ss.2(c), 2(e), 3, 4 (Indian Kanoon)</t>
        </is>
      </c>
      <c r="J177" s="9" t="inlineStr">
        <is>
          <t>https://indiankanoon.org/doc/1621737/</t>
        </is>
      </c>
      <c r="K177" s="9" t="inlineStr">
        <is>
          <t>1978</t>
        </is>
      </c>
      <c r="L177" s="9" t="inlineStr">
        <is>
          <t>2026-09-30</t>
        </is>
      </c>
      <c r="M177" s="9" t="inlineStr">
        <is>
          <t>confirmed</t>
        </is>
      </c>
      <c r="N177" s="10" t="inlineStr">
        <is>
          <t>Exempt (s.11): schemes by State Governments, state-owned companies, banking institutions, notified charitable/educational bodies. SC in RBI v Peerless General Finance (1987) read the two limbs conjunctively - collection of money AND prize by lot/draw. A 'save Rs 50/day and enter a weekly lucky draw' mechanic run by a non-bank app is squarely at risk. Prize-linked savings would need a bank/State scheme to run it (legal opinion needed).</t>
        </is>
      </c>
    </row>
    <row r="178">
      <c r="A178" s="9" t="inlineStr">
        <is>
          <t>REG-080</t>
        </is>
      </c>
      <c r="B178" s="9" t="inlineStr">
        <is>
          <t>Marketing - chits</t>
        </is>
      </c>
      <c r="C178" s="10" t="inlineStr">
        <is>
          <t>Chit Funds Act 1982: a 'chit' is an agreement where a specified number of persons subscribe periodic instalments and each in turn takes the prize amount by lot/auction/tender; no chit may be commenced or conducted without prior State Government sanction and registration (s.4); contravention punishable with up to 2 years and/or fine up to Rs 5,000</t>
        </is>
      </c>
      <c r="D178" s="9" t="inlineStr">
        <is>
          <t>2</t>
        </is>
      </c>
      <c r="E178" s="9" t="inlineStr">
        <is>
          <t>years max imprisonment</t>
        </is>
      </c>
      <c r="F178" s="10" t="inlineStr">
        <is>
          <t>Group savings/rotating schemes</t>
        </is>
      </c>
      <c r="G178" s="9" t="inlineStr">
        <is>
          <t>2020-01-01</t>
        </is>
      </c>
      <c r="H178" s="9" t="inlineStr">
        <is>
          <t>n/a</t>
        </is>
      </c>
      <c r="I178" s="9" t="inlineStr">
        <is>
          <t>The Chit Funds Act, 1982 ss.2(b), 4, 76 (India Code; Indian Kanoon)</t>
        </is>
      </c>
      <c r="J178" s="9" t="inlineStr">
        <is>
          <t>https://indiankanoon.org/doc/174502023/</t>
        </is>
      </c>
      <c r="K178" s="9" t="inlineStr">
        <is>
          <t>1982</t>
        </is>
      </c>
      <c r="L178" s="9" t="inlineStr">
        <is>
          <t>2026-09-30</t>
        </is>
      </c>
      <c r="M178" s="9" t="inlineStr">
        <is>
          <t>confirmed</t>
        </is>
      </c>
      <c r="N178" s="10" t="inlineStr">
        <is>
          <t>Any 'savings circle' feature where members pool and one member takes the pot each period is a chit and needs state registration per state. Keep all savings individual and in the worker's own MF folio/FD.</t>
        </is>
      </c>
    </row>
    <row r="179">
      <c r="A179" s="9" t="inlineStr">
        <is>
          <t>REG-081</t>
        </is>
      </c>
      <c r="B179" s="9" t="inlineStr">
        <is>
          <t>Marketing - deposits</t>
        </is>
      </c>
      <c r="C179" s="10" t="inlineStr">
        <is>
          <t>Banning of Unregulated Deposit Schemes Act 2019: 'deposit' = money received by advance, loan or any other form with a promise to return (with or without interest/bonus); accepting unregulated deposits punishable with 2-7 years and Rs 3-10 lakh fine; default on repayment 3-10 years; repeat offenders 5-10 years and up to Rs 5 crore</t>
        </is>
      </c>
      <c r="D179" s="9" t="inlineStr">
        <is>
          <t>2-7</t>
        </is>
      </c>
      <c r="E179" s="9" t="inlineStr">
        <is>
          <t>years imprisonment (accepting unregulated deposits)</t>
        </is>
      </c>
      <c r="F179" s="10" t="inlineStr">
        <is>
          <t>Any deposit taker other than regulated schemes</t>
        </is>
      </c>
      <c r="G179" s="9" t="inlineStr">
        <is>
          <t>2019-07-31</t>
        </is>
      </c>
      <c r="H179" s="9" t="inlineStr">
        <is>
          <t>n/a</t>
        </is>
      </c>
      <c r="I179" s="9" t="inlineStr">
        <is>
          <t>Banning of Unregulated Deposit Schemes Act, 2019 s.2(4) and penalty sections (India Code; PRS summary)</t>
        </is>
      </c>
      <c r="J179" s="9" t="inlineStr">
        <is>
          <t>https://www.indiacode.nic.in/handle/123456789/11641</t>
        </is>
      </c>
      <c r="K179" s="9" t="inlineStr">
        <is>
          <t>2019-07-31</t>
        </is>
      </c>
      <c r="L179" s="9" t="inlineStr">
        <is>
          <t>2026-09-30</t>
        </is>
      </c>
      <c r="M179" s="9" t="inlineStr">
        <is>
          <t>confirmed</t>
        </is>
      </c>
      <c r="N179" s="10" t="inlineStr">
        <is>
          <t>The app must never hold worker money even transiently: collection must go from the worker's account straight to the AMC (via RBI-authorised PA) or the bank FD. Also MF rules require payment from the investor's own account (REG-066). Any 'wallet balance' held by the app = deposit risk + PA/PPI licensing issue.</t>
        </is>
      </c>
    </row>
    <row r="180">
      <c r="A180" s="9" t="inlineStr">
        <is>
          <t>REG-082</t>
        </is>
      </c>
      <c r="B180" s="9" t="inlineStr">
        <is>
          <t>Marketing - MF incentives</t>
        </is>
      </c>
      <c r="C180" s="10" t="inlineStr">
        <is>
          <t>MF distributors may not rebate or pass back commission to investors and must not attract investors through rebates, gifts or gift vouchers (SEBI-mandated AMFI Code of Conduct for intermediaries)</t>
        </is>
      </c>
      <c r="D180" s="9" t="inlineStr">
        <is>
          <t>prohibited</t>
        </is>
      </c>
      <c r="E180" s="9" t="inlineStr">
        <is>
          <t>rule</t>
        </is>
      </c>
      <c r="F180" s="10" t="inlineStr">
        <is>
          <t>ARN holders / MF distributors</t>
        </is>
      </c>
      <c r="G180" s="9" t="inlineStr">
        <is>
          <t>2026-09-30</t>
        </is>
      </c>
      <c r="H180" s="9" t="inlineStr">
        <is>
          <t>n/a</t>
        </is>
      </c>
      <c r="I180" s="9" t="inlineStr">
        <is>
          <t>AMFI Code of Conduct for MF Distributors (as published by HDFC MF / Canara Robeco MF distributor pages); SEBI circular on Code of Conduct for intermediaries</t>
        </is>
      </c>
      <c r="J180" s="9" t="inlineStr">
        <is>
          <t>https://www.hdfcfund.com/distributor-corner/code-conduct</t>
        </is>
      </c>
      <c r="K180" s="9" t="inlineStr">
        <is>
          <t>2026</t>
        </is>
      </c>
      <c r="L180" s="9" t="inlineStr">
        <is>
          <t>2026-09-30</t>
        </is>
      </c>
      <c r="M180" s="9" t="inlineStr">
        <is>
          <t>confirmed</t>
        </is>
      </c>
      <c r="N180" s="10" t="inlineStr">
        <is>
          <t>Rules out 'cashback on your SIP' or referral bonuses paid to investors out of MF commission. A non-MF-linked engagement reward funded by other revenue is a grey area - get a legal opinion; EOP route (REG-038) has its own AMFI conduct rules. Choti SIP bars transaction charges to investors.</t>
        </is>
      </c>
    </row>
    <row r="181">
      <c r="A181" s="9" t="inlineStr">
        <is>
          <t>REG-083</t>
        </is>
      </c>
      <c r="B181" s="9" t="inlineStr">
        <is>
          <t>Marketing - insurance</t>
        </is>
      </c>
      <c r="C181" s="10" t="inlineStr">
        <is>
          <t>Insurance Act 1938 s.41 (as amended 2015): no person may offer any rebate of commission or premium as an inducement to take out, renew or continue insurance; penalty up to Rs 10 lakh</t>
        </is>
      </c>
      <c r="D181" s="9" t="inlineStr">
        <is>
          <t>1000000</t>
        </is>
      </c>
      <c r="E181" s="9" t="inlineStr">
        <is>
          <t>Rs max penalty</t>
        </is>
      </c>
      <c r="F181" s="10" t="inlineStr">
        <is>
          <t>Anyone selling insurance</t>
        </is>
      </c>
      <c r="G181" s="9" t="inlineStr">
        <is>
          <t>2015</t>
        </is>
      </c>
      <c r="H181" s="9" t="inlineStr">
        <is>
          <t>n/a</t>
        </is>
      </c>
      <c r="I181" s="9" t="inlineStr">
        <is>
          <t>Insurance Act, 1938 s.41 (Indian Kanoon)</t>
        </is>
      </c>
      <c r="J181" s="9" t="inlineStr">
        <is>
          <t>https://indiankanoon.org/doc/1332998/</t>
        </is>
      </c>
      <c r="K181" s="9" t="inlineStr">
        <is>
          <t>2015</t>
        </is>
      </c>
      <c r="L181" s="9" t="inlineStr">
        <is>
          <t>2026-09-30</t>
        </is>
      </c>
      <c r="M181" s="9" t="inlineStr">
        <is>
          <t>confirmed</t>
        </is>
      </c>
      <c r="N181" s="10" t="inlineStr">
        <is>
          <t>Only rebates allowed in the insurer's published prospectus/tables are permitted. The Sep-2026 IRDAI draft adds clawbacks and seller-level public mis-selling records.</t>
        </is>
      </c>
    </row>
    <row r="182">
      <c r="A182" s="9" t="inlineStr">
        <is>
          <t>REG-084</t>
        </is>
      </c>
      <c r="B182" s="9" t="inlineStr">
        <is>
          <t>Data protection</t>
        </is>
      </c>
      <c r="C182" s="10" t="inlineStr">
        <is>
          <t>DPDP Rules 2025 notified 13-Nov-2025 with phased commencement: Data Protection Board provisions immediately; Consent Manager registration (Rule 4) from 13-Nov-2026; substantive fiduciary obligations, data-principal rights and penalties (Act ss.3-5, 6(1)-(8),(10), 7-17, 28-34; Rules 3, 5-16, 22, 23) from 13-May-2027</t>
        </is>
      </c>
      <c r="D182" s="9" t="inlineStr">
        <is>
          <t>2027-05-13</t>
        </is>
      </c>
      <c r="E182" s="9" t="inlineStr">
        <is>
          <t>substantive obligations commence</t>
        </is>
      </c>
      <c r="F182" s="10" t="inlineStr">
        <is>
          <t>All data fiduciaries processing digital personal data in India</t>
        </is>
      </c>
      <c r="G182" s="9" t="inlineStr">
        <is>
          <t>2025-11-13</t>
        </is>
      </c>
      <c r="H182" s="9" t="inlineStr">
        <is>
          <t>n/a</t>
        </is>
      </c>
      <c r="I182" s="9" t="inlineStr">
        <is>
          <t>Commencement notification G.S.R. 843(E) of 13-Nov-2025 as summarised by dpdprules.org / ConsentOS / S&amp;R Associates</t>
        </is>
      </c>
      <c r="J182" s="9" t="inlineStr">
        <is>
          <t>https://dpdprules.org/</t>
        </is>
      </c>
      <c r="K182" s="9" t="inlineStr">
        <is>
          <t>2025-11-13</t>
        </is>
      </c>
      <c r="L182" s="9" t="inlineStr">
        <is>
          <t>2026-09-30</t>
        </is>
      </c>
      <c r="M182" s="9" t="inlineStr">
        <is>
          <t>confirmed</t>
        </is>
      </c>
      <c r="N182" s="10" t="inlineStr">
        <is>
          <t>Several law-firm and tracker sources agree on the three dates; MeitY gazette PDF not opened (403). No evidence found of the 18-month window being shortened.</t>
        </is>
      </c>
    </row>
    <row r="183">
      <c r="A183" s="9" t="inlineStr">
        <is>
          <t>REG-085</t>
        </is>
      </c>
      <c r="B183" s="9" t="inlineStr">
        <is>
          <t>Data protection</t>
        </is>
      </c>
      <c r="C183" s="10" t="inlineStr">
        <is>
          <t>DPDP Act 2023: processing needs consent (or a listed legitimate use); consent must be free, specific, informed, unconditional, unambiguous and limited to the specified purpose (s.6(1)); data collected before commencement may be processed only after a fresh notice and stops on withdrawal (s.5(2)); max penalties Rs 250 cr (security safeguards), Rs 200 cr (breach notification / children), Rs 50 cr (other)</t>
        </is>
      </c>
      <c r="D183" s="9" t="inlineStr">
        <is>
          <t>250</t>
        </is>
      </c>
      <c r="E183" s="9" t="inlineStr">
        <is>
          <t>Rs crore max penalty per breach (security safeguards)</t>
        </is>
      </c>
      <c r="F183" s="10" t="inlineStr">
        <is>
          <t>Data fiduciaries</t>
        </is>
      </c>
      <c r="G183" s="9" t="inlineStr">
        <is>
          <t>2027-05-13</t>
        </is>
      </c>
      <c r="H183" s="9" t="inlineStr">
        <is>
          <t>n/a</t>
        </is>
      </c>
      <c r="I183" s="9" t="inlineStr">
        <is>
          <t>DPDP Act 2023 ss.5-6 and Schedule (dpdpact2023.com; FPF explainer; DPDP penalty trackers)</t>
        </is>
      </c>
      <c r="J183" s="9" t="inlineStr">
        <is>
          <t>https://fpf.org/blog/the-digital-personal-data-protection-act-of-india-explained/</t>
        </is>
      </c>
      <c r="K183" s="9" t="inlineStr">
        <is>
          <t>2023</t>
        </is>
      </c>
      <c r="L183" s="9" t="inlineStr">
        <is>
          <t>2026-09-30</t>
        </is>
      </c>
      <c r="M183" s="9" t="inlineStr">
        <is>
          <t>confirmed</t>
        </is>
      </c>
      <c r="N183" s="10" t="inlineStr">
        <is>
          <t>Penalty provisions bite only from 13-May-2027. Until then IT Act s.43A + SPDI Rules 2011 apply (financial information is 'sensitive personal data' - consent and purpose limits), and IT Act s.72A criminalises disclosure of personal information obtained under a lawful contract without consent (up to 3 years / Rs 5 lakh).</t>
        </is>
      </c>
    </row>
    <row r="184">
      <c r="A184" s="9" t="inlineStr">
        <is>
          <t>REG-086</t>
        </is>
      </c>
      <c r="B184" s="9" t="inlineStr">
        <is>
          <t>Data protection - Bueno list</t>
        </is>
      </c>
      <c r="C184" s="10" t="inlineStr">
        <is>
          <t>Using Bueno's borrower list for the new product is NOT permissible on the founder's own authority: the data belongs to Bueno's successor (BetterPlace acquired Bueno on 8-May-2023), was collected for lending on behalf of partner lenders, and a new savings/cross-sell purpose is not the 'specified purpose'</t>
        </is>
      </c>
      <c r="D184" s="9" t="inlineStr">
        <is>
          <t>not permitted without new consent</t>
        </is>
      </c>
      <c r="E184" s="9" t="inlineStr">
        <is>
          <t>assessment</t>
        </is>
      </c>
      <c r="F184" s="10" t="inlineStr">
        <is>
          <t>Former Bueno borrowers</t>
        </is>
      </c>
      <c r="G184" s="9" t="inlineStr">
        <is>
          <t>2026-09-30</t>
        </is>
      </c>
      <c r="H184" s="9" t="inlineStr">
        <is>
          <t>n/a</t>
        </is>
      </c>
      <c r="I184" s="9" t="inlineStr">
        <is>
          <t>Analysis from DPDP s.6(1)/s.5(2), IT Act s.43A/SPDI Rules and s.72A, RBI DL Directions 2025 para 13; acquisition date from EdTechReview/Tracxn</t>
        </is>
      </c>
      <c r="J184" s="9" t="inlineStr">
        <is>
          <t>https://www.edtechreview.in/news/betterplace-acquires-microfinancing-startup-bueno-finance/</t>
        </is>
      </c>
      <c r="K184" s="9" t="inlineStr">
        <is>
          <t>2023-05-08</t>
        </is>
      </c>
      <c r="L184" s="9" t="inlineStr">
        <is>
          <t>2026-09-30</t>
        </is>
      </c>
      <c r="M184" s="9" t="inlineStr">
        <is>
          <t>confirmed</t>
        </is>
      </c>
      <c r="N184" s="10" t="inlineStr">
        <is>
          <t>Legal analysis, not a court ruling - get counsel. Layers: (1) no right - fiduciary is BetterPlace/the lenders, not the founder; (2) purpose limitation - borrowers consented to credit processing, not marketing of a new app; (3) as an LSP Bueno could store only minimal data for the RE-LSP agreement (DL para 13); (4) credit data from bureaus is further restricted under CICRA (not researched). Lawful route: BetterPlace (as fiduciary) sends a consented opt-in invite, or acquire users fresh. Marketing SMS/calls also need TRAI TCCCPR/DLT compliance (not researched).</t>
        </is>
      </c>
    </row>
    <row r="185">
      <c r="A185" s="9" t="inlineStr">
        <is>
          <t>REG-087</t>
        </is>
      </c>
      <c r="B185" s="9" t="inlineStr">
        <is>
          <t>Credit-card sourcing</t>
        </is>
      </c>
      <c r="C185" s="10" t="inlineStr">
        <is>
          <t>Credit-card sourcing: the decision to issue stays with the card-issuer; DSAs/DMAs/other agents may only solicit/service, and the issuer is liable for their acts; co-branding partners are limited to marketing/distribution and may not access card transaction data; unsolicited cards prohibited, written/explicit consent required; NBFCs need prior RBI approval (and Rs 100 cr NOF) to issue cards</t>
        </is>
      </c>
      <c r="D185" s="9" t="inlineStr">
        <is>
          <t>sourcing only</t>
        </is>
      </c>
      <c r="E185" s="9" t="inlineStr">
        <is>
          <t>permitted role for app</t>
        </is>
      </c>
      <c r="F185" s="10" t="inlineStr">
        <is>
          <t>Card-issuers and their agents/co-brand partners</t>
        </is>
      </c>
      <c r="G185" s="9" t="inlineStr">
        <is>
          <t>2022</t>
        </is>
      </c>
      <c r="H185" s="9" t="inlineStr">
        <is>
          <t>n/a</t>
        </is>
      </c>
      <c r="I185" s="9" t="inlineStr">
        <is>
          <t>RBI Master Direction - Credit Card and Debit Card - Issuance and Conduct Directions, 2022</t>
        </is>
      </c>
      <c r="J185" s="9" t="inlineStr">
        <is>
          <t>https://www.rbi.org.in/Scripts/BS_ViewMasDirections.aspx?id=12300</t>
        </is>
      </c>
      <c r="K185" s="9" t="inlineStr">
        <is>
          <t>2022-04-21</t>
        </is>
      </c>
      <c r="L185" s="9" t="inlineStr">
        <is>
          <t>2026-09-30</t>
        </is>
      </c>
      <c r="M185" s="9" t="inlineStr">
        <is>
          <t>confirmed</t>
        </is>
      </c>
      <c r="N185" s="10" t="inlineStr">
        <is>
          <t>The MD has no specific provisions on FD-secured cards. Combine with: no DLG on credit cards (REG-007); a bank cannot lend against another bank's FD (REG-029) - so the FD must sit at the card-issuing bank. Sourcing fee per card is commercial (not researched/unverified).</t>
        </is>
      </c>
    </row>
    <row r="186">
      <c r="A186" s="9" t="inlineStr">
        <is>
          <t>REG-088</t>
        </is>
      </c>
      <c r="B186" s="9" t="inlineStr">
        <is>
          <t>Insurance distribution</t>
        </is>
      </c>
      <c r="C186" s="10" t="inlineStr">
        <is>
          <t>Insurance Marketing Firm (IRDAI IMF Regulations 2015): application fee Rs 5,000; principal officer must pass IMF exam; may tie up with max 2 life, 2 general, 2 health insurers; may also distribute other financial products permitted by RBI/SEBI/PFRDA/DoP with their approvals; net worth per regulations (amount not shown on IRDAI page)</t>
        </is>
      </c>
      <c r="D186" s="9" t="inlineStr">
        <is>
          <t>5000</t>
        </is>
      </c>
      <c r="E186" s="9" t="inlineStr">
        <is>
          <t>Rs application fee</t>
        </is>
      </c>
      <c r="F186" s="10" t="inlineStr">
        <is>
          <t>IMFs</t>
        </is>
      </c>
      <c r="G186" s="9" t="inlineStr">
        <is>
          <t>2026-09-30</t>
        </is>
      </c>
      <c r="H186" s="9" t="inlineStr">
        <is>
          <t>n/a</t>
        </is>
      </c>
      <c r="I186" s="9" t="inlineStr">
        <is>
          <t>IRDAI, 'Requirements for license as a IMF'</t>
        </is>
      </c>
      <c r="J186" s="9" t="inlineStr">
        <is>
          <t>https://irdai.gov.in/requirements-for-license-as-a-imf</t>
        </is>
      </c>
      <c r="K186" s="9" t="inlineStr">
        <is>
          <t>2026-09-30</t>
        </is>
      </c>
      <c r="L186" s="9" t="inlineStr">
        <is>
          <t>2026-09-30</t>
        </is>
      </c>
      <c r="M186" s="9" t="inlineStr">
        <is>
          <t>confirmed</t>
        </is>
      </c>
      <c r="N186" s="10" t="inlineStr">
        <is>
          <t>IMF net-worth figure not verified (commonly cited Rs 10 lakh - from memory, UNVERIFIED). IMF must apply within one year of incorporation. Would be subsumed into the IDE licence if the Sep-2026 draft is adopted.</t>
        </is>
      </c>
    </row>
    <row r="187">
      <c r="A187" s="9" t="inlineStr">
        <is>
          <t>REG-089</t>
        </is>
      </c>
      <c r="B187" s="9" t="inlineStr">
        <is>
          <t>Insurance distribution</t>
        </is>
      </c>
      <c r="C187" s="10" t="inlineStr">
        <is>
          <t>Insurance web aggregators are governed by IRDAI (Insurance Web Aggregators) Regulations, 2017 (effective 13-Apr-2017); application fee Rs 10,000</t>
        </is>
      </c>
      <c r="D187" s="9" t="inlineStr">
        <is>
          <t>10000</t>
        </is>
      </c>
      <c r="E187" s="9" t="inlineStr">
        <is>
          <t>Rs application fee</t>
        </is>
      </c>
      <c r="F187" s="10" t="inlineStr">
        <is>
          <t>Web aggregators</t>
        </is>
      </c>
      <c r="G187" s="9" t="inlineStr">
        <is>
          <t>2026-09-30</t>
        </is>
      </c>
      <c r="H187" s="9" t="inlineStr">
        <is>
          <t>n/a</t>
        </is>
      </c>
      <c r="I187" s="9" t="inlineStr">
        <is>
          <t>IRDAI, Intermediaries - Web Aggregators; 'Requirements for license as a web aggregator'</t>
        </is>
      </c>
      <c r="J187" s="9" t="inlineStr">
        <is>
          <t>https://irdai.gov.in/requirements-for-license-as-a-web-aggregator</t>
        </is>
      </c>
      <c r="K187" s="9" t="inlineStr">
        <is>
          <t>2026-09-30</t>
        </is>
      </c>
      <c r="L187" s="9" t="inlineStr">
        <is>
          <t>2026-09-30</t>
        </is>
      </c>
      <c r="M187" s="9" t="inlineStr">
        <is>
          <t>confirmed</t>
        </is>
      </c>
      <c r="N187" s="10" t="inlineStr">
        <is>
          <t>Net worth/capital requirement not shown on the IRDAI pages opened (commonly cited Rs 50 lakh - UNVERIFIED). POSP requirements page did not render - POSP eligibility/training unverified.</t>
        </is>
      </c>
    </row>
    <row r="188">
      <c r="A188" s="9" t="inlineStr">
        <is>
          <t>REG-090</t>
        </is>
      </c>
      <c r="B188" s="9" t="inlineStr">
        <is>
          <t>Bank referral</t>
        </is>
      </c>
      <c r="C188" s="10" t="inlineStr">
        <is>
          <t>RBI 2026 draft directions on banks' third-party product business: banks may deal only in IRDAI/SEBI/PFRDA-regulated products; under a REFERRAL arrangement only a one-time referral fee is allowed (no commissions, trails or revenue share); must disclose the product is not a bank deposit</t>
        </is>
      </c>
      <c r="D188" s="9" t="inlineStr">
        <is>
          <t>one-time fee only</t>
        </is>
      </c>
      <c r="E188" s="9" t="inlineStr">
        <is>
          <t>referral remuneration (banks)</t>
        </is>
      </c>
      <c r="F188" s="10" t="inlineStr">
        <is>
          <t>Banks distributing/referring third-party products</t>
        </is>
      </c>
      <c r="G188" s="9" t="inlineStr">
        <is>
          <t>2026</t>
        </is>
      </c>
      <c r="H188" s="9" t="inlineStr">
        <is>
          <t>n/a</t>
        </is>
      </c>
      <c r="I188" s="9" t="inlineStr">
        <is>
          <t>Multibagg market-pulse, 'RBI Draft Directions 2026: New rules for product sales'</t>
        </is>
      </c>
      <c r="J188" s="9" t="inlineStr">
        <is>
          <t>https://www.multibagg.ai/market-pulse/articles/rbi-draft-directions-2026-rules-cmqff0t865hw0nv0jmbhhp4kw</t>
        </is>
      </c>
      <c r="K188" s="9" t="inlineStr">
        <is>
          <t>2026</t>
        </is>
      </c>
      <c r="L188" s="9" t="inlineStr">
        <is>
          <t>2026-09-30</t>
        </is>
      </c>
      <c r="M188" s="9" t="inlineStr">
        <is>
          <t>unverified</t>
        </is>
      </c>
      <c r="N188" s="10" t="inlineStr">
        <is>
          <t>Low-reliability secondary source; RBI draft not opened; final status unknown. Relevant only if a partner bank is the one referring users to the app's products. I found NO verified rule on how fintechs may be paid for sourcing bank FDs (model: marketing/referral or BC arrangement with the bank) - FD distribution economics UNVERIFIED.</t>
        </is>
      </c>
    </row>
    <row r="189">
      <c r="A189" s="9" t="inlineStr">
        <is>
          <t>OWN-01</t>
        </is>
      </c>
      <c r="B189" s="9" t="inlineStr">
        <is>
          <t>FX</t>
        </is>
      </c>
      <c r="C189" s="10" t="inlineStr">
        <is>
          <t>US dollar to Indian rupee exchange rate</t>
        </is>
      </c>
      <c r="D189" s="9" t="inlineStr">
        <is>
          <t>96.1</t>
        </is>
      </c>
      <c r="E189" s="9" t="inlineStr">
        <is>
          <t>INR per USD</t>
        </is>
      </c>
      <c r="F189" s="10" t="inlineStr">
        <is>
          <t>spot rate</t>
        </is>
      </c>
      <c r="G189" s="9" t="inlineStr">
        <is>
          <t>2026-09-30</t>
        </is>
      </c>
      <c r="H189" s="9" t="inlineStr"/>
      <c r="I189" s="9" t="inlineStr">
        <is>
          <t>Exchange Rates UK: USD-INR spot history 2026</t>
        </is>
      </c>
      <c r="J189" s="9" t="inlineStr">
        <is>
          <t>https://www.exchangerates.org.uk/USD-INR-spot-exchange-rates-history-2026.html</t>
        </is>
      </c>
      <c r="K189" s="9" t="inlineStr">
        <is>
          <t>2026-09-30</t>
        </is>
      </c>
      <c r="L189" s="9" t="inlineStr">
        <is>
          <t>2026-09-30</t>
        </is>
      </c>
      <c r="M189" s="9" t="inlineStr">
        <is>
          <t>confirmed</t>
        </is>
      </c>
      <c r="N189" s="10" t="inlineStr">
        <is>
          <t>Range 95.54-96.43 over the week to 28 Sep 2026</t>
        </is>
      </c>
    </row>
    <row r="190">
      <c r="A190" s="9" t="inlineStr">
        <is>
          <t>OWN-02</t>
        </is>
      </c>
      <c r="B190" s="9" t="inlineStr">
        <is>
          <t>Liquid funds</t>
        </is>
      </c>
      <c r="C190" s="10" t="inlineStr">
        <is>
          <t>Liquid-fund direct plans deliver about 5-6% a year; repo rate 5.25%</t>
        </is>
      </c>
      <c r="D190" s="9" t="inlineStr">
        <is>
          <t>5.0-6.0</t>
        </is>
      </c>
      <c r="E190" s="9" t="inlineStr">
        <is>
          <t>% per year</t>
        </is>
      </c>
      <c r="F190" s="10" t="inlineStr">
        <is>
          <t>liquid fund category (direct plans)</t>
        </is>
      </c>
      <c r="G190" s="9" t="inlineStr">
        <is>
          <t>2026</t>
        </is>
      </c>
      <c r="H190" s="9" t="inlineStr"/>
      <c r="I190" s="9" t="inlineStr">
        <is>
          <t>Value Research: Liquid fund returns - how to judge them in 2026</t>
        </is>
      </c>
      <c r="J190" s="9" t="inlineStr">
        <is>
          <t>https://www.valueresearchonline.com/learn/debt-funds/liquid-funds-returns-what-they-mean-and-how-to-judge/</t>
        </is>
      </c>
      <c r="K190" s="9" t="inlineStr">
        <is>
          <t>2026</t>
        </is>
      </c>
      <c r="L190" s="9" t="inlineStr">
        <is>
          <t>2026-09-30</t>
        </is>
      </c>
      <c r="M190" s="9" t="inlineStr">
        <is>
          <t>confirmed</t>
        </is>
      </c>
      <c r="N190" s="10" t="inlineStr">
        <is>
          <t>Forward yields about 5.0-5.5% tracking the repo corridor; regular plans about 8 bps lower</t>
        </is>
      </c>
    </row>
    <row r="191">
      <c r="A191" s="9" t="inlineStr">
        <is>
          <t>OWN-03</t>
        </is>
      </c>
      <c r="B191" s="9" t="inlineStr">
        <is>
          <t>Marketing law</t>
        </is>
      </c>
      <c r="C191" s="10" t="inlineStr">
        <is>
          <t>SEBI-regulated persons (incl. MF distributors) and their agents may not associate (money / referral / IT link) with unregistered persons who give securities advice or claim returns; pure investor education without recommendations or return claims is allowed</t>
        </is>
      </c>
      <c r="D191" s="9" t="inlineStr"/>
      <c r="E191" s="9" t="inlineStr">
        <is>
          <t>rule</t>
        </is>
      </c>
      <c r="F191" s="10" t="inlineStr">
        <is>
          <t>SEBI-regulated persons incl. MF distributors</t>
        </is>
      </c>
      <c r="G191" s="9" t="inlineStr">
        <is>
          <t>2024-10</t>
        </is>
      </c>
      <c r="H191" s="9" t="inlineStr"/>
      <c r="I191" s="9" t="inlineStr">
        <is>
          <t>SEBI circular on association of regulated persons with unregistered persons (via APMI copy); Business Standard 27 Jun 2024; Medianama Feb 2025</t>
        </is>
      </c>
      <c r="J191" s="9" t="inlineStr">
        <is>
          <t>https://www.apmiindia.org/storagebox/images/Circulars/DetailsClarifications%20on%20provisions%20related%20to%20Association%20of%20Persons.pdf</t>
        </is>
      </c>
      <c r="K191" s="9" t="inlineStr">
        <is>
          <t>2024-10</t>
        </is>
      </c>
      <c r="L191" s="9" t="inlineStr">
        <is>
          <t>2026-09-30</t>
        </is>
      </c>
      <c r="M191" s="9" t="inlineStr">
        <is>
          <t>confirmed</t>
        </is>
      </c>
      <c r="N191" s="10" t="inlineStr">
        <is>
          <t>Creator campaigns must be education-only: no fund recommendation and no return claims</t>
        </is>
      </c>
    </row>
    <row r="192">
      <c r="A192" s="9" t="inlineStr">
        <is>
          <t>OWN-04</t>
        </is>
      </c>
      <c r="B192" s="9" t="inlineStr">
        <is>
          <t>MF distribution</t>
        </is>
      </c>
      <c r="C192" s="10" t="inlineStr">
        <is>
          <t>Equity fund regular-plan TER exceeds direct by about 0.5-1.0% a year - the distributor's trail</t>
        </is>
      </c>
      <c r="D192" s="9" t="inlineStr">
        <is>
          <t>0.5-1.0</t>
        </is>
      </c>
      <c r="E192" s="9" t="inlineStr">
        <is>
          <t>% per year of AUM</t>
        </is>
      </c>
      <c r="F192" s="10" t="inlineStr">
        <is>
          <t>equity mutual funds (regular vs direct plans)</t>
        </is>
      </c>
      <c r="G192" s="9" t="inlineStr">
        <is>
          <t>2026</t>
        </is>
      </c>
      <c r="H192" s="9" t="inlineStr">
        <is>
          <t>gross</t>
        </is>
      </c>
      <c r="I192" s="9" t="inlineStr">
        <is>
          <t>Kotak MF: Direct vs Regular plans (2026 update); Wealthy partner blog</t>
        </is>
      </c>
      <c r="J192" s="9" t="inlineStr">
        <is>
          <t>https://www.kotakmf.com/Information/blogs/direct-vs-regular-plan</t>
        </is>
      </c>
      <c r="K192" s="9" t="inlineStr">
        <is>
          <t>2026</t>
        </is>
      </c>
      <c r="L192" s="9" t="inlineStr">
        <is>
          <t>2026-09-30</t>
        </is>
      </c>
      <c r="M192" s="9" t="inlineStr">
        <is>
          <t>confirmed</t>
        </is>
      </c>
      <c r="N192" s="10" t="inlineStr">
        <is>
          <t>Upper bound on trail actually paid; MF Regulations 2026 restructured TER into a Base Expense Ratio from 1 Apr 2026</t>
        </is>
      </c>
    </row>
    <row r="193">
      <c r="A193" s="9" t="inlineStr">
        <is>
          <t>OWN-05</t>
        </is>
      </c>
      <c r="B193" s="9" t="inlineStr">
        <is>
          <t>Marketing law</t>
        </is>
      </c>
      <c r="C193" s="10" t="inlineStr">
        <is>
          <t>MF distributors may work only with sub-distributors holding a valid ARN; sales staff need NISM certification. Commission cannot be shared with non-ARN persons (e.g. an FMCG distributor or a trade association)</t>
        </is>
      </c>
      <c r="D193" s="9" t="inlineStr"/>
      <c r="E193" s="9" t="inlineStr">
        <is>
          <t>rule</t>
        </is>
      </c>
      <c r="F193" s="10" t="inlineStr">
        <is>
          <t>MF distributors and sub-distributors</t>
        </is>
      </c>
      <c r="G193" s="9" t="inlineStr">
        <is>
          <t>2025-26</t>
        </is>
      </c>
      <c r="H193" s="9" t="inlineStr"/>
      <c r="I193" s="9" t="inlineStr">
        <is>
          <t>AMFI Master Circular for MFDs (AMFI/MFD-CIR/32/2025-26); AMFI Code of Conduct</t>
        </is>
      </c>
      <c r="J193" s="9" t="inlineStr">
        <is>
          <t>https://www.amfiindia.com/uploads/AMFI_Master_Cicular_for_MF_Ds_3c7f5ee44f.pdf</t>
        </is>
      </c>
      <c r="K193" s="9" t="inlineStr">
        <is>
          <t>2025</t>
        </is>
      </c>
      <c r="L193" s="9" t="inlineStr">
        <is>
          <t>2026-09-30</t>
        </is>
      </c>
      <c r="M193" s="9" t="inlineStr">
        <is>
          <t>confirmed</t>
        </is>
      </c>
      <c r="N193" s="10" t="inlineStr">
        <is>
          <t>Supplier and association partners can be paid for fund sign-ups only if they register as ARN sub-distributors; otherwise pay them only for gold (unregulated) or not at all</t>
        </is>
      </c>
    </row>
    <row r="194">
      <c r="A194" s="9" t="inlineStr">
        <is>
          <t>OWN-06</t>
        </is>
      </c>
      <c r="B194" s="9" t="inlineStr">
        <is>
          <t>Marketing law</t>
        </is>
      </c>
      <c r="C194" s="10" t="inlineStr">
        <is>
          <t>Insurance Act s.40(1): no person may pay any remuneration or reward for soliciting or procuring insurance business to anyone except an insurance agent or intermediary</t>
        </is>
      </c>
      <c r="D194" s="9" t="inlineStr"/>
      <c r="E194" s="9" t="inlineStr">
        <is>
          <t>rule</t>
        </is>
      </c>
      <c r="F194" s="10" t="inlineStr">
        <is>
          <t>anyone paying for insurance leads</t>
        </is>
      </c>
      <c r="G194" s="9" t="inlineStr">
        <is>
          <t>1938 (as amended 2015)</t>
        </is>
      </c>
      <c r="H194" s="9" t="inlineStr"/>
      <c r="I194" s="9" t="inlineStr">
        <is>
          <t>Insurance Act 1938, section 40 (Indian Kanoon)</t>
        </is>
      </c>
      <c r="J194" s="9" t="inlineStr">
        <is>
          <t>https://indiankanoon.org/doc/852291/</t>
        </is>
      </c>
      <c r="K194" s="9" t="inlineStr">
        <is>
          <t>2015</t>
        </is>
      </c>
      <c r="L194" s="9" t="inlineStr">
        <is>
          <t>2026-09-30</t>
        </is>
      </c>
      <c r="M194" s="9" t="inlineStr">
        <is>
          <t>confirmed</t>
        </is>
      </c>
      <c r="N194" s="10" t="inlineStr">
        <is>
          <t>Referral fees to FMCG distributors, associations or payment partners for insurance sales are barred unless they are licensed intermediaries</t>
        </is>
      </c>
    </row>
    <row r="195">
      <c r="A195" s="9" t="inlineStr">
        <is>
          <t>OWN-07</t>
        </is>
      </c>
      <c r="B195" s="9" t="inlineStr">
        <is>
          <t>Payments law</t>
        </is>
      </c>
      <c r="C195" s="10" t="inlineStr">
        <is>
          <t>RBI payment-aggregator rules: the escrow account may pay merchants, and make payments on the merchant's instructions; PAs may not commingle funds; T+1 settlement (Sep 2025 directions)</t>
        </is>
      </c>
      <c r="D195" s="9" t="inlineStr"/>
      <c r="E195" s="9" t="inlineStr">
        <is>
          <t>rule</t>
        </is>
      </c>
      <c r="F195" s="10" t="inlineStr">
        <is>
          <t>payment aggregators</t>
        </is>
      </c>
      <c r="G195" s="9" t="inlineStr">
        <is>
          <t>2025-09-15</t>
        </is>
      </c>
      <c r="H195" s="9" t="inlineStr"/>
      <c r="I195" s="9" t="inlineStr">
        <is>
          <t>RBI Master Direction on Payment Aggregators (Sep 2025), via FIDC copy; Trilegal note</t>
        </is>
      </c>
      <c r="J195" s="9" t="inlineStr">
        <is>
          <t>https://www.fidcindia.org.in/wp-content/uploads/2025/09/RBI-PAYMENT-AGGREGATORS-DIRECTIONS-15-09-25.pdf</t>
        </is>
      </c>
      <c r="K195" s="9" t="inlineStr">
        <is>
          <t>2025-09-15</t>
        </is>
      </c>
      <c r="L195" s="9" t="inlineStr">
        <is>
          <t>2026-09-30</t>
        </is>
      </c>
      <c r="M195" s="9" t="inlineStr">
        <is>
          <t>confirmed</t>
        </is>
      </c>
      <c r="N195" s="10" t="inlineStr">
        <is>
          <t>For funds, the SEBI own-account rule still applies [REG-066]: UPI sales must settle to the shop's own bank before its mandate debits. A PA paying a gold vault on the merchant's instruction may be possible (legal opinion needed; unverified)</t>
        </is>
      </c>
    </row>
    <row r="196">
      <c r="A196" s="9" t="inlineStr">
        <is>
          <t>LEV-001</t>
        </is>
      </c>
      <c r="B196" s="9" t="inlineStr">
        <is>
          <t>A: DLG economics</t>
        </is>
      </c>
      <c r="C196" s="10" t="inlineStr">
        <is>
          <t>Moneyview (LSP + own NBFC Whizdm Finance) DLG partnership disbursals</t>
        </is>
      </c>
      <c r="D196" s="9" t="inlineStr">
        <is>
          <t>13,271.8 (FY26) / 11,282.5 (FY25)</t>
        </is>
      </c>
      <c r="E196" s="9" t="inlineStr">
        <is>
          <t>INR crore</t>
        </is>
      </c>
      <c r="F196" s="10" t="inlineStr">
        <is>
          <t>Moneyview Ltd, loans disbursed by partner REs under DLG</t>
        </is>
      </c>
      <c r="G196" s="9" t="inlineStr">
        <is>
          <t>FY26 (to 31-Mar-2026)</t>
        </is>
      </c>
      <c r="H196" s="9" t="inlineStr">
        <is>
          <t>gross disbursal</t>
        </is>
      </c>
      <c r="I196" s="9" t="inlineStr">
        <is>
          <t>Multibagg: Moneyview will add Rs 325 crore to default-loss guarantees (RHP)</t>
        </is>
      </c>
      <c r="J196" s="9" t="inlineStr">
        <is>
          <t>https://www.multibagg.ai/market-pulse/articles/ipo/moneyview-default-loss-guarantee-expansion-rhp-cmucbuicb000qj0p5bb13m6h4</t>
        </is>
      </c>
      <c r="K196" s="9" t="inlineStr">
        <is>
          <t>2026-09</t>
        </is>
      </c>
      <c r="L196" s="9" t="inlineStr">
        <is>
          <t>2026-09-30</t>
        </is>
      </c>
      <c r="M196" s="9" t="inlineStr">
        <is>
          <t>confirmed</t>
        </is>
      </c>
      <c r="N196" s="10" t="inlineStr">
        <is>
          <t>DERIVED: DLG disbursals = 57.5% of total FY26 disbursals of 23,098.5 cr. Q1 FY27 DLG disbursals 4,834.7 cr (Q1 FY26 2,627.8 cr) = 67.6% of Q1 FY27 total 7,152.0 cr - DLG share is RISING, i.e. lenders keep demanding it. Secondary summary of RHP; RHP itself not opened.</t>
        </is>
      </c>
    </row>
    <row r="197">
      <c r="A197" s="9" t="inlineStr">
        <is>
          <t>LEV-002</t>
        </is>
      </c>
      <c r="B197" s="9" t="inlineStr">
        <is>
          <t>A: DLG economics</t>
        </is>
      </c>
      <c r="C197" s="10" t="inlineStr">
        <is>
          <t>Moneyview lien-marked deposits created in favour of lenders (DLG collateral) as a share of DLG disbursals</t>
        </is>
      </c>
      <c r="D197" s="9" t="inlineStr">
        <is>
          <t>4.46% (FY26: 591.8 / 13,271.8) ; 4.77% (FY25: 538.4 / 11,282.5)</t>
        </is>
      </c>
      <c r="E197" s="9" t="inlineStr">
        <is>
          <t>% of DLG disbursal (derived)</t>
        </is>
      </c>
      <c r="F197" s="10" t="inlineStr">
        <is>
          <t>Moneyview DLG partnership book</t>
        </is>
      </c>
      <c r="G197" s="9" t="inlineStr">
        <is>
          <t>FY26</t>
        </is>
      </c>
      <c r="H197" s="9" t="inlineStr">
        <is>
          <t>gross (deposits created, not net of releases)</t>
        </is>
      </c>
      <c r="I197" s="9" t="inlineStr">
        <is>
          <t>Multibagg: Moneyview will add Rs 325 crore to default-loss guarantees (RHP)</t>
        </is>
      </c>
      <c r="J197" s="9" t="inlineStr">
        <is>
          <t>https://www.multibagg.ai/market-pulse/articles/ipo/moneyview-default-loss-guarantee-expansion-rhp-cmucbuicb000qj0p5bb13m6h4</t>
        </is>
      </c>
      <c r="K197" s="9" t="inlineStr">
        <is>
          <t>2026-09</t>
        </is>
      </c>
      <c r="L197" s="9" t="inlineStr">
        <is>
          <t>2026-09-30</t>
        </is>
      </c>
      <c r="M197" s="9" t="inlineStr">
        <is>
          <t>confirmed</t>
        </is>
      </c>
      <c r="N197" s="10" t="inlineStr">
        <is>
          <t>DERIVED ratio. Confirms a scaled LSP posts close to the full 5% cap as cash/FD collateral. MODEL: DLG capital locked = ~4.5-5% of each DLG disbursal, released as loans run off (tenor of longest loan).</t>
        </is>
      </c>
    </row>
    <row r="198">
      <c r="A198" s="9" t="inlineStr">
        <is>
          <t>LEV-003</t>
        </is>
      </c>
      <c r="B198" s="9" t="inlineStr">
        <is>
          <t>A: DLG economics</t>
        </is>
      </c>
      <c r="C198" s="10" t="inlineStr">
        <is>
          <t>Moneyview DLG outstanding as % of net worth</t>
        </is>
      </c>
      <c r="D198" s="9" t="inlineStr">
        <is>
          <t>1,060.78 cr = 43.92% of net worth</t>
        </is>
      </c>
      <c r="E198" s="9" t="inlineStr">
        <is>
          <t>INR crore; % of net worth</t>
        </is>
      </c>
      <c r="F198" s="10" t="inlineStr">
        <is>
          <t>Moneyview Ltd consolidated</t>
        </is>
      </c>
      <c r="G198" s="9" t="inlineStr">
        <is>
          <t>2026-06-30</t>
        </is>
      </c>
      <c r="H198" s="9" t="inlineStr">
        <is>
          <t>gross exposure</t>
        </is>
      </c>
      <c r="I198" s="9" t="inlineStr">
        <is>
          <t>Multibagg: Moneyview will add Rs 325 crore to default-loss guarantees (RHP)</t>
        </is>
      </c>
      <c r="J198" s="9" t="inlineStr">
        <is>
          <t>https://www.multibagg.ai/market-pulse/articles/ipo/moneyview-default-loss-guarantee-expansion-rhp-cmucbuicb000qj0p5bb13m6h4</t>
        </is>
      </c>
      <c r="K198" s="9" t="inlineStr">
        <is>
          <t>2026-09</t>
        </is>
      </c>
      <c r="L198" s="9" t="inlineStr">
        <is>
          <t>2026-09-30</t>
        </is>
      </c>
      <c r="M198" s="9" t="inlineStr">
        <is>
          <t>confirmed</t>
        </is>
      </c>
      <c r="N198" s="10" t="inlineStr">
        <is>
          <t>38.01% at 30-Jun-2025, 36.89% at 31-Mar-2024. IPO earmarks up to Rs 325 cr of fresh-issue proceeds to expand DLG (125 cr FY27, 200 cr FY28). i.e. DLG is equity-funded: a founder offering 5% DLG needs equity roughly = 5% of rolling DLG book.</t>
        </is>
      </c>
    </row>
    <row r="199">
      <c r="A199" s="9" t="inlineStr">
        <is>
          <t>LEV-004</t>
        </is>
      </c>
      <c r="B199" s="9" t="inlineStr">
        <is>
          <t>A: DLG economics</t>
        </is>
      </c>
      <c r="C199" s="10" t="inlineStr">
        <is>
          <t>Moneyview loan margin (net loan revenue / disbursals), blended across on-book, DLG and non-DLG partner loans</t>
        </is>
      </c>
      <c r="D199" s="9" t="inlineStr">
        <is>
          <t>8.55% (FY26) / 8.21% (FY25) / 7.48% (FY24) / 8.96% (Q1 FY27)</t>
        </is>
      </c>
      <c r="E199" s="9" t="inlineStr">
        <is>
          <t>% of disbursal</t>
        </is>
      </c>
      <c r="F199" s="10" t="inlineStr">
        <is>
          <t>Moneyview Ltd, all personal-loan disbursals</t>
        </is>
      </c>
      <c r="G199" s="9" t="inlineStr">
        <is>
          <t>FY26</t>
        </is>
      </c>
      <c r="H199" s="9" t="inlineStr">
        <is>
          <t>net of finance cost? (company-defined 'net loan revenue'; before opex and credit cost per source)</t>
        </is>
      </c>
      <c r="I199" s="9" t="inlineStr">
        <is>
          <t>Multibagg: Moneyview earns partner fees but retains lending risk (RHP)</t>
        </is>
      </c>
      <c r="J199" s="9" t="inlineStr">
        <is>
          <t>https://www.multibagg.ai/market-pulse/articles/ipo/moneyview-partner-fees-lending-risk-rhp-cmucbq09u000nj0p5emb2mcnj</t>
        </is>
      </c>
      <c r="K199" s="9" t="inlineStr">
        <is>
          <t>2026-09</t>
        </is>
      </c>
      <c r="L199" s="9" t="inlineStr">
        <is>
          <t>2026-09-30</t>
        </is>
      </c>
      <c r="M199" s="9" t="inlineStr">
        <is>
          <t>confirmed</t>
        </is>
      </c>
      <c r="N199" s="10" t="inlineStr">
        <is>
          <t>Per Rs 100 disbursed (InCred/ipoanalysis): net loan revenue 8.55, finance costs 2.73, operating profit 3.42 (FY26). BLENDED - includes on-book interest, so it is an UPPER bound for a pure LSP. A pure-LSP DLG vs non-DLG split is NOT disclosed in any secondary summary found.</t>
        </is>
      </c>
    </row>
    <row r="200">
      <c r="A200" s="9" t="inlineStr">
        <is>
          <t>LEV-005</t>
        </is>
      </c>
      <c r="B200" s="9" t="inlineStr">
        <is>
          <t>A: DLG economics</t>
        </is>
      </c>
      <c r="C200" s="10" t="inlineStr">
        <is>
          <t>Moneyview fee and commission income share of revenue (origination + servicing fees from 22 partner banks/NBFCs)</t>
        </is>
      </c>
      <c r="D200" s="9" t="inlineStr">
        <is>
          <t>87.9% (FY23) -&gt; 57% (FY26); 55.5% (9M FY26)</t>
        </is>
      </c>
      <c r="E200" s="9" t="inlineStr">
        <is>
          <t>% of revenue</t>
        </is>
      </c>
      <c r="F200" s="10" t="inlineStr">
        <is>
          <t>Moneyview Ltd consolidated</t>
        </is>
      </c>
      <c r="G200" s="9" t="inlineStr">
        <is>
          <t>FY26</t>
        </is>
      </c>
      <c r="H200" s="9" t="inlineStr">
        <is>
          <t>gross</t>
        </is>
      </c>
      <c r="I200" s="9" t="inlineStr">
        <is>
          <t>Multibagg / TradingView-Moody's note on Moneyview RHP; India Fintech substack 'Moneyview's DRHP decoded'</t>
        </is>
      </c>
      <c r="J200" s="9" t="inlineStr">
        <is>
          <t>https://indiafintech.substack.com/p/moneyviews-drhp-decoded-the-economics</t>
        </is>
      </c>
      <c r="K200" s="9" t="inlineStr">
        <is>
          <t>2026</t>
        </is>
      </c>
      <c r="L200" s="9" t="inlineStr">
        <is>
          <t>2026-09-30</t>
        </is>
      </c>
      <c r="M200" s="9" t="inlineStr">
        <is>
          <t>confirmed</t>
        </is>
      </c>
      <c r="N200" s="10" t="inlineStr">
        <is>
          <t>Q1 FY27 fee and commission income 632.9 cr vs 391.8 cr (Q1 FY26). Partners pay 'origination fees for acquisition and onboarding and servicing fees for managing the user lifecycle, collections and customer support'. Fee RATE per partner disbursal not disclosed.</t>
        </is>
      </c>
    </row>
    <row r="201">
      <c r="A201" s="9" t="inlineStr">
        <is>
          <t>LEV-006</t>
        </is>
      </c>
      <c r="B201" s="9" t="inlineStr">
        <is>
          <t>A: DLG economics</t>
        </is>
      </c>
      <c r="C201" s="10" t="inlineStr">
        <is>
          <t>Kissht (OnEMI) fee income from partner-led (off-book) lending: sourcing fees, servicing fees and performance-linked income</t>
        </is>
      </c>
      <c r="D201" s="9" t="inlineStr">
        <is>
          <t>77 (FY23) -&gt; 238 (FY25)</t>
        </is>
      </c>
      <c r="E201" s="9" t="inlineStr">
        <is>
          <t>INR crore</t>
        </is>
      </c>
      <c r="F201" s="10" t="inlineStr">
        <is>
          <t>OnEMI Technology Solutions consolidated</t>
        </is>
      </c>
      <c r="G201" s="9" t="inlineStr">
        <is>
          <t>FY25</t>
        </is>
      </c>
      <c r="H201" s="9" t="inlineStr">
        <is>
          <t>gross</t>
        </is>
      </c>
      <c r="I201" s="9" t="inlineStr">
        <is>
          <t>OnEMI Technology IPO notes (chittorgarh / BP Wealth / InCred search summaries of DRHP)</t>
        </is>
      </c>
      <c r="J201" s="9" t="inlineStr">
        <is>
          <t>https://www.chittorgarh.net/reports/ipo_notes/onemitechnologysolutionsiponote.pdf</t>
        </is>
      </c>
      <c r="K201" s="9" t="inlineStr">
        <is>
          <t>2026-04</t>
        </is>
      </c>
      <c r="L201" s="9" t="inlineStr">
        <is>
          <t>2026-09-30</t>
        </is>
      </c>
      <c r="M201" s="9" t="inlineStr">
        <is>
          <t>confirmed</t>
        </is>
      </c>
      <c r="N201" s="10" t="inlineStr">
        <is>
          <t>Kissht provides FLDG on off-book arrangements; 'performance-linked income' is the excess-spread-like component a DLG provider earns. Off-book = 48.87% of AUM at Dec-2025 (MoneyFlow India). Fee rate per rupee disbursed not disclosed in summaries.</t>
        </is>
      </c>
    </row>
    <row r="202">
      <c r="A202" s="9" t="inlineStr">
        <is>
          <t>LEV-007</t>
        </is>
      </c>
      <c r="B202" s="9" t="inlineStr">
        <is>
          <t>A: DLG economics</t>
        </is>
      </c>
      <c r="C202" s="10" t="inlineStr">
        <is>
          <t>RBI sets NO formula for fees payable to a DLG provider; parties agree bilaterally and the RE's Board-approved policy must cover them</t>
        </is>
      </c>
      <c r="D202" s="9" t="inlineStr">
        <is>
          <t>no cap / bilateral</t>
        </is>
      </c>
      <c r="E202" s="9" t="inlineStr">
        <is>
          <t>rule</t>
        </is>
      </c>
      <c r="F202" s="10" t="inlineStr">
        <is>
          <t>RE-LSP DLG arrangements</t>
        </is>
      </c>
      <c r="G202" s="9" t="inlineStr">
        <is>
          <t>2023-06-08</t>
        </is>
      </c>
      <c r="H202" s="9" t="inlineStr">
        <is>
          <t>n/a</t>
        </is>
      </c>
      <c r="I202" s="9" t="inlineStr">
        <is>
          <t>Vinod Kothari Consultants: FAQs on Default Loss Guarantee in Digital Lending</t>
        </is>
      </c>
      <c r="J202" s="9" t="inlineStr">
        <is>
          <t>https://vinodkothari.com/2023/06/faqs-on-default-loss-guarantee-in-digital-lending/</t>
        </is>
      </c>
      <c r="K202" s="9" t="inlineStr">
        <is>
          <t>2023-06</t>
        </is>
      </c>
      <c r="L202" s="9" t="inlineStr">
        <is>
          <t>2026-09-30</t>
        </is>
      </c>
      <c r="M202" s="9" t="inlineStr">
        <is>
          <t>confirmed</t>
        </is>
      </c>
      <c r="N202" s="10" t="inlineStr">
        <is>
          <t>So any 'DLG premium' is a negotiated number. No law-firm or rating-agency note found that publishes a market DLG-vs-no-DLG fee spread (searched ICRA/CRISIL/CareEdge, law firms).</t>
        </is>
      </c>
    </row>
    <row r="203">
      <c r="A203" s="9" t="inlineStr">
        <is>
          <t>LEV-008</t>
        </is>
      </c>
      <c r="B203" s="9" t="inlineStr">
        <is>
          <t>A: DLG economics</t>
        </is>
      </c>
      <c r="C203" s="10" t="inlineStr">
        <is>
          <t>Moneyview 'take-rates on partner originations remained stable between 2.5% and 4.5%'</t>
        </is>
      </c>
      <c r="D203" s="9" t="inlineStr">
        <is>
          <t>2.5-4.5</t>
        </is>
      </c>
      <c r="E203" s="9" t="inlineStr">
        <is>
          <t>% of partner-originated disbursal</t>
        </is>
      </c>
      <c r="F203" s="10" t="inlineStr">
        <is>
          <t>Moneyview partner-funded (off-book) loans, period unspecified (RHP era)</t>
        </is>
      </c>
      <c r="G203" s="9" t="inlineStr">
        <is>
          <t>FY24-FY26 (approx.)</t>
        </is>
      </c>
      <c r="H203" s="9" t="inlineStr">
        <is>
          <t>gross fee (before DLG losses and before CAC)</t>
        </is>
      </c>
      <c r="I203" s="9" t="inlineStr">
        <is>
          <t>Moneyview Limited IPO Analysis (personal Substack, deathgamersolo)</t>
        </is>
      </c>
      <c r="J203" s="9" t="inlineStr">
        <is>
          <t>https://deathgamersolo.substack.com/p/moneyview-limited-ipo-analysis</t>
        </is>
      </c>
      <c r="K203" s="9" t="inlineStr">
        <is>
          <t>2026-09</t>
        </is>
      </c>
      <c r="L203" s="9" t="inlineStr">
        <is>
          <t>2026-09-30</t>
        </is>
      </c>
      <c r="M203" s="9" t="inlineStr">
        <is>
          <t>unverified</t>
        </is>
      </c>
      <c r="N203" s="10" t="inlineStr">
        <is>
          <t>Only source found that quantifies an LSP take rate from the RHP; anonymous blog, RHP not opened to confirm. Does NOT split DLG vs non-DLG loans. Same blog: DLG provisioning Rs 145.10 cr; NBFC GNPA 2.15%, NNPA 0.78%. Treat as the best available proxy for a DLG-heavy LSP's gross fee (57-68% of Moneyview partner disbursals carry DLG).</t>
        </is>
      </c>
    </row>
    <row r="204">
      <c r="A204" s="9" t="inlineStr">
        <is>
          <t>LEV-009</t>
        </is>
      </c>
      <c r="B204" s="9" t="inlineStr">
        <is>
          <t>A: DLG economics</t>
        </is>
      </c>
      <c r="C204" s="10" t="inlineStr">
        <is>
          <t>Non-risk-bearing distribution benchmark: DSA/connector payout on personal loans</t>
        </is>
      </c>
      <c r="D204" s="9" t="inlineStr">
        <is>
          <t>1-3 (NBFC/fintech lenders); 0.5-1.5 (banks)</t>
        </is>
      </c>
      <c r="E204" s="9" t="inlineStr">
        <is>
          <t>% of loan amount</t>
        </is>
      </c>
      <c r="F204" s="10" t="inlineStr">
        <is>
          <t>Indian DSAs / loan agents, personal loans</t>
        </is>
      </c>
      <c r="G204" s="9" t="inlineStr">
        <is>
          <t>2026</t>
        </is>
      </c>
      <c r="H204" s="9" t="inlineStr">
        <is>
          <t>gross payout</t>
        </is>
      </c>
      <c r="I204" s="9" t="inlineStr">
        <is>
          <t>GroMo blog: DSA Loan Agent Commission: Rates &amp; Payout Structure 2026; Ruloans blog</t>
        </is>
      </c>
      <c r="J204" s="9" t="inlineStr">
        <is>
          <t>https://gromo.in/blog/dsa-loan-agent-commission/</t>
        </is>
      </c>
      <c r="K204" s="9" t="inlineStr">
        <is>
          <t>2026</t>
        </is>
      </c>
      <c r="L204" s="9" t="inlineStr">
        <is>
          <t>2026-09-30</t>
        </is>
      </c>
      <c r="M204" s="9" t="inlineStr">
        <is>
          <t>unverified</t>
        </is>
      </c>
      <c r="N204" s="10" t="inlineStr">
        <is>
          <t>Industry blogs (DSA platforms), not audited. A search summary also cites Paisabazaar personal-loan take rate ~1-2% of disbursal - could not open PB Fintech's filing to confirm. Use as the 'no-DLG' comparator: ~1-3% of disbursal, one-off, no servicing.</t>
        </is>
      </c>
    </row>
    <row r="205">
      <c r="A205" s="9" t="inlineStr">
        <is>
          <t>LEV-010</t>
        </is>
      </c>
      <c r="B205" s="9" t="inlineStr">
        <is>
          <t>A: DLG economics</t>
        </is>
      </c>
      <c r="C205" s="10" t="inlineStr">
        <is>
          <t>CRISIL (Jun 2023): a substantial share of unsecured personal/business-loan partnership arrangements carried FLDG cover ABOVE 5% before the cap, so the 5% cap would dampen volumes in those segments</t>
        </is>
      </c>
      <c r="D205" s="9" t="inlineStr">
        <is>
          <t>&gt;5 (pre-2023 FLDG levels in unsecured PL/BL)</t>
        </is>
      </c>
      <c r="E205" s="9" t="inlineStr">
        <is>
          <t>% FLDG cover</t>
        </is>
      </c>
      <c r="F205" s="10" t="inlineStr">
        <is>
          <t>Bank/NBFC-fintech partnership &amp; co-lending arrangements with FLDG, unsecured PL/BL</t>
        </is>
      </c>
      <c r="G205" s="9" t="inlineStr">
        <is>
          <t>2023-06-12</t>
        </is>
      </c>
      <c r="H205" s="9" t="inlineStr">
        <is>
          <t>n/a</t>
        </is>
      </c>
      <c r="I205" s="9" t="inlineStr">
        <is>
          <t>Business Standard: FLDG norms may dampen biz volume in segments with higher 5% limit: CRISIL</t>
        </is>
      </c>
      <c r="J205" s="9" t="inlineStr">
        <is>
          <t>https://www.business-standard.com/amp/finance/news/fldg-norms-may-dampen-biz-volume-in-segments-with-higher-5-limit-crisil-123061200863_1.html</t>
        </is>
      </c>
      <c r="K205" s="9" t="inlineStr">
        <is>
          <t>2023-06-12</t>
        </is>
      </c>
      <c r="L205" s="9" t="inlineStr">
        <is>
          <t>2026-09-30</t>
        </is>
      </c>
      <c r="M205" s="9" t="inlineStr">
        <is>
          <t>confirmed</t>
        </is>
      </c>
      <c r="N205" s="10" t="inlineStr">
        <is>
          <t>Via search snippet (page 403). Implication: expected loss on small-ticket unsecured loans can EXCEED 5%, so a 5% DLG may not cover all losses on a thin-file gig book (see CRIF: 10-50K loans 6.0% 90+ at 10 MOB) - lender keeps the tail, and prices for it.</t>
        </is>
      </c>
    </row>
    <row r="206">
      <c r="A206" s="9" t="inlineStr">
        <is>
          <t>LEV-011</t>
        </is>
      </c>
      <c r="B206" s="9" t="inlineStr">
        <is>
          <t>A: Loan pricing</t>
        </is>
      </c>
      <c r="C206" s="10" t="inlineStr">
        <is>
          <t>Moneyview personal loans: interest from 14% p.a.; processing fee starts at 2% of approved amount (deducted at disbursal); penal 24% p.a.; bounce fee Rs 500</t>
        </is>
      </c>
      <c r="D206" s="9" t="inlineStr">
        <is>
          <t>14%+ p.a.; PF 2%+</t>
        </is>
      </c>
      <c r="E206" s="9" t="inlineStr">
        <is>
          <t>% p.a.; % of loan</t>
        </is>
      </c>
      <c r="F206" s="10" t="inlineStr">
        <is>
          <t>Moneyview personal loans (Rs 5,000 - 10 lakh)</t>
        </is>
      </c>
      <c r="G206" s="9" t="inlineStr">
        <is>
          <t>2026-09-30</t>
        </is>
      </c>
      <c r="H206" s="9" t="inlineStr">
        <is>
          <t>headline (not APR)</t>
        </is>
      </c>
      <c r="I206" s="9" t="inlineStr">
        <is>
          <t>Moneyview: Personal Loan Interest Rates &amp; Charges</t>
        </is>
      </c>
      <c r="J206" s="9" t="inlineStr">
        <is>
          <t>https://moneyview.in/personal-loan-interest-rates-and-charges</t>
        </is>
      </c>
      <c r="K206" s="9" t="inlineStr">
        <is>
          <t>2026</t>
        </is>
      </c>
      <c r="L206" s="9" t="inlineStr">
        <is>
          <t>2026-09-30</t>
        </is>
      </c>
      <c r="M206" s="9" t="inlineStr">
        <is>
          <t>confirmed</t>
        </is>
      </c>
      <c r="N206" s="10" t="inlineStr">
        <is>
          <t>Company page shows only 'starting from'; upper ends not stated. Business Line (via TradingView) puts Moneyview's on-book yield at 25-28%.</t>
        </is>
      </c>
    </row>
    <row r="207">
      <c r="A207" s="9" t="inlineStr">
        <is>
          <t>LEV-012</t>
        </is>
      </c>
      <c r="B207" s="9" t="inlineStr">
        <is>
          <t>A: Loan pricing</t>
        </is>
      </c>
      <c r="C207" s="10" t="inlineStr">
        <is>
          <t>Moneyview on-book yield on loans (interest income / average on-book gross loans)</t>
        </is>
      </c>
      <c r="D207" s="9" t="inlineStr">
        <is>
          <t>25-28</t>
        </is>
      </c>
      <c r="E207" s="9" t="inlineStr">
        <is>
          <t>% p.a.</t>
        </is>
      </c>
      <c r="F207" s="10" t="inlineStr">
        <is>
          <t>Whizdm Finance (Moneyview NBFC) on-book loans</t>
        </is>
      </c>
      <c r="G207" s="9" t="inlineStr">
        <is>
          <t>FY26</t>
        </is>
      </c>
      <c r="H207" s="9" t="inlineStr">
        <is>
          <t>gross yield (excl. processing fee)</t>
        </is>
      </c>
      <c r="I207" s="9" t="inlineStr">
        <is>
          <t>Business Line via TradingView: Should you subscribe to the Moneyview IPO?</t>
        </is>
      </c>
      <c r="J207" s="9" t="inlineStr">
        <is>
          <t>https://www.tradingview.com/news/moodys:9e10cd55f0013:0-should-you-subscribe-to-the-moneyview-ipo/</t>
        </is>
      </c>
      <c r="K207" s="9" t="inlineStr">
        <is>
          <t>2026-09</t>
        </is>
      </c>
      <c r="L207" s="9" t="inlineStr">
        <is>
          <t>2026-09-30</t>
        </is>
      </c>
      <c r="M207" s="9" t="inlineStr">
        <is>
          <t>confirmed</t>
        </is>
      </c>
      <c r="N207" s="10" t="inlineStr">
        <is>
          <t>Same article: CRAR 24.3% vs 15% minimum; opex fell from 56% of total income (FY24) to 35% (FY26); GNPA 2.7% (Q1 FY27).</t>
        </is>
      </c>
    </row>
    <row r="208">
      <c r="A208" s="9" t="inlineStr">
        <is>
          <t>LEV-013</t>
        </is>
      </c>
      <c r="B208" s="9" t="inlineStr">
        <is>
          <t>A: Loan pricing</t>
        </is>
      </c>
      <c r="C208" s="10" t="inlineStr">
        <is>
          <t>KreditBee personal loans: interest 12-28.5% p.a. (some sources to 29.95%); processing fee up to ~5-5.5% + GST; APR range 17-50%; example Rs 1 lakh / 18 months / 23% + 4% PF -&gt; APR 29.66%</t>
        </is>
      </c>
      <c r="D208" s="9" t="inlineStr">
        <is>
          <t>12-28.5% rate; PF up to 5.5%; APR 17-50%</t>
        </is>
      </c>
      <c r="E208" s="9" t="inlineStr">
        <is>
          <t>% p.a.; % of loan</t>
        </is>
      </c>
      <c r="F208" s="10" t="inlineStr">
        <is>
          <t>KreditBee personal loans (aggregator listings)</t>
        </is>
      </c>
      <c r="G208" s="9" t="inlineStr">
        <is>
          <t>2026</t>
        </is>
      </c>
      <c r="H208" s="9" t="inlineStr">
        <is>
          <t>APR incl. fees</t>
        </is>
      </c>
      <c r="I208" s="9" t="inlineStr">
        <is>
          <t>Bajaj Finserv Markets / Paisabazaar / MyMoneyMantra KreditBee listings (search summary)</t>
        </is>
      </c>
      <c r="J208" s="9" t="inlineStr">
        <is>
          <t>https://www.bajajfinservmarkets.in/personal-loan/kreditbee-personal-loan-interest-rate</t>
        </is>
      </c>
      <c r="K208" s="9" t="inlineStr">
        <is>
          <t>2026</t>
        </is>
      </c>
      <c r="L208" s="9" t="inlineStr">
        <is>
          <t>2026-09-30</t>
        </is>
      </c>
      <c r="M208" s="9" t="inlineStr">
        <is>
          <t>unverified</t>
        </is>
      </c>
      <c r="N208" s="10" t="inlineStr">
        <is>
          <t>KreditBee's own product page and Play listing did not render; figures are from third-party marketplaces and not confirmed against the lender's KFS. Kissht: average lending rate 30.73% (DRHP, see market_benchmarks LEND-02); product rates up to 36% p.a. (MoneyFlow India).</t>
        </is>
      </c>
    </row>
    <row r="209">
      <c r="A209" s="9" t="inlineStr">
        <is>
          <t>LEV-014</t>
        </is>
      </c>
      <c r="B209" s="9" t="inlineStr">
        <is>
          <t>A: Cost of funds</t>
        </is>
      </c>
      <c r="C209" s="10" t="inlineStr">
        <is>
          <t>Whizdm Finance (Moneyview's NBFC, rated A- Stable by India Ratings) average cost of borrowings</t>
        </is>
      </c>
      <c r="D209" s="9" t="inlineStr">
        <is>
          <t>14.44</t>
        </is>
      </c>
      <c r="E209" s="9" t="inlineStr">
        <is>
          <t>% p.a.</t>
        </is>
      </c>
      <c r="F209" s="10" t="inlineStr">
        <is>
          <t>Whizdm Finance Pvt Ltd borrowings</t>
        </is>
      </c>
      <c r="G209" s="9" t="inlineStr">
        <is>
          <t>FY25 and 9M FY26 (annualised)</t>
        </is>
      </c>
      <c r="H209" s="9" t="inlineStr">
        <is>
          <t>n/a</t>
        </is>
      </c>
      <c r="I209" s="9" t="inlineStr">
        <is>
          <t>India Fintech substack: Moneyview's DRHP decoded (Episode 76)</t>
        </is>
      </c>
      <c r="J209" s="9" t="inlineStr">
        <is>
          <t>https://indiafintech.substack.com/p/moneyviews-drhp-decoded-the-economics</t>
        </is>
      </c>
      <c r="K209" s="9" t="inlineStr">
        <is>
          <t>2026</t>
        </is>
      </c>
      <c r="L209" s="9" t="inlineStr">
        <is>
          <t>2026-09-30</t>
        </is>
      </c>
      <c r="M209" s="9" t="inlineStr">
        <is>
          <t>confirmed</t>
        </is>
      </c>
      <c r="N209" s="10" t="inlineStr">
        <is>
          <t>From DRHP via secondary. Strong anchor for Lever B: even a Rs 22,000 cr-AUM, A- rated, profitable digital-lender NBFC paid ~14.4%. Finance cost per Rs 100 disbursed rose 0.86 (FY24) -&gt; 2.73 (FY26) as on-book share grew. UPDATE: Moneyview RHP (20-Sep-2026) gives 14.44% for FY25, 14.74% for FY26 and 14.14% for Q1 FY27 annualised - see LEV-062.</t>
        </is>
      </c>
    </row>
    <row r="210">
      <c r="A210" s="9" t="inlineStr">
        <is>
          <t>LEV-015</t>
        </is>
      </c>
      <c r="B210" s="9" t="inlineStr">
        <is>
          <t>B: Own NBFC - cost of funds</t>
        </is>
      </c>
      <c r="C210" s="10" t="inlineStr">
        <is>
          <t>Kissht group (Si Creva Capital, NBFC; upgraded to CRISIL A-/Stable from BBB+ in Feb 2026) average cost of borrowing</t>
        </is>
      </c>
      <c r="D210" s="9" t="inlineStr">
        <is>
          <t>13.3 (H1 FY26) / 13.7 (FY25)</t>
        </is>
      </c>
      <c r="E210" s="9" t="inlineStr">
        <is>
          <t>% p.a.</t>
        </is>
      </c>
      <c r="F210" s="10" t="inlineStr">
        <is>
          <t>Si Creva Capital Services + OnEMI (Kissht group), consolidated borrowings; AUM Rs 5,533 cr</t>
        </is>
      </c>
      <c r="G210" s="9" t="inlineStr">
        <is>
          <t>2025-09-30</t>
        </is>
      </c>
      <c r="H210" s="9" t="inlineStr">
        <is>
          <t>n/a</t>
        </is>
      </c>
      <c r="I210" s="9" t="inlineStr">
        <is>
          <t>CRISIL Ratings rationale: Si Creva Capital Services Pvt Ltd (13-Feb-2026)</t>
        </is>
      </c>
      <c r="J210" s="9" t="inlineStr">
        <is>
          <t>https://www.crisilratings.com/mnt/winshare/Ratings/RatingList/RatingDocs/SiCrevaCapitalServicesPrivateLimited_February%2013_%202026_RR_374805.html</t>
        </is>
      </c>
      <c r="K210" s="9" t="inlineStr">
        <is>
          <t>2026-02-13</t>
        </is>
      </c>
      <c r="L210" s="9" t="inlineStr">
        <is>
          <t>2026-09-30</t>
        </is>
      </c>
      <c r="M210" s="9" t="inlineStr">
        <is>
          <t>confirmed</t>
        </is>
      </c>
      <c r="N210" s="10" t="inlineStr">
        <is>
          <t>Resource mix: 48% NCDs, 31% term loans (19% from NBFCs, ~12% from banks), 18% DA/PTC, 3% CP. A Rs 5,500 cr, 8-year-old, profitable, BBB+/A- lender pays 13.3-13.7%. Confirms the brief's 11-14% range sits right for a new NBFC only at the TOP end: a year-3 start-up NBFC with &lt;Rs 100 cr book and no rating will pay &gt;= 14% (and borrows mostly from other NBFCs, not banks).</t>
        </is>
      </c>
    </row>
    <row r="211">
      <c r="A211" s="9" t="inlineStr">
        <is>
          <t>LEV-016</t>
        </is>
      </c>
      <c r="B211" s="9" t="inlineStr">
        <is>
          <t>B: Own NBFC - cost of funds</t>
        </is>
      </c>
      <c r="C211" s="10" t="inlineStr">
        <is>
          <t>Moneyview's NBFC (Whizdm Finance, India Ratings A- Stable) average cost of borrowings</t>
        </is>
      </c>
      <c r="D211" s="9" t="inlineStr">
        <is>
          <t>14.44</t>
        </is>
      </c>
      <c r="E211" s="9" t="inlineStr">
        <is>
          <t>% p.a.</t>
        </is>
      </c>
      <c r="F211" s="10" t="inlineStr">
        <is>
          <t>Whizdm Finance Pvt Ltd</t>
        </is>
      </c>
      <c r="G211" s="9" t="inlineStr">
        <is>
          <t>FY25 and 9M FY26 (annualised)</t>
        </is>
      </c>
      <c r="H211" s="9" t="inlineStr">
        <is>
          <t>n/a</t>
        </is>
      </c>
      <c r="I211" s="9" t="inlineStr">
        <is>
          <t>India Fintech substack: Moneyview's DRHP decoded</t>
        </is>
      </c>
      <c r="J211" s="9" t="inlineStr">
        <is>
          <t>https://indiafintech.substack.com/p/moneyviews-drhp-decoded-the-economics</t>
        </is>
      </c>
      <c r="K211" s="9" t="inlineStr">
        <is>
          <t>2026</t>
        </is>
      </c>
      <c r="L211" s="9" t="inlineStr">
        <is>
          <t>2026-09-30</t>
        </is>
      </c>
      <c r="M211" s="9" t="inlineStr">
        <is>
          <t>confirmed</t>
        </is>
      </c>
      <c r="N211" s="10" t="inlineStr">
        <is>
          <t>Duplicate anchor of LEV-014, repeated here for Lever B. Two A- rated digital lenders at 13.3-14.4%. UPDATE: Moneyview RHP (20-Sep-2026) gives 14.44% for FY25, 14.74% for FY26 and 14.14% for Q1 FY27 annualised - see LEV-062.</t>
        </is>
      </c>
    </row>
    <row r="212">
      <c r="A212" s="9" t="inlineStr">
        <is>
          <t>LEV-017</t>
        </is>
      </c>
      <c r="B212" s="9" t="inlineStr">
        <is>
          <t>B: Own NBFC - cost of funds</t>
        </is>
      </c>
      <c r="C212" s="10" t="inlineStr">
        <is>
          <t>Indicative NCD coupons by rating in 2026: A-rated NBFC NCDs 9.5-11.5%; BBB-rated 11.5-13%+; A-to-AA NBFC paper ~8.5-9.5% (Sep 2026)</t>
        </is>
      </c>
      <c r="D212" s="9" t="inlineStr">
        <is>
          <t>9.5-11.5 (A) / 11.5-13+ (BBB)</t>
        </is>
      </c>
      <c r="E212" s="9" t="inlineStr">
        <is>
          <t>% coupon p.a.</t>
        </is>
      </c>
      <c r="F212" s="10" t="inlineStr">
        <is>
          <t>Indian NBFC NCDs offered to retail via bond platforms</t>
        </is>
      </c>
      <c r="G212" s="9" t="inlineStr">
        <is>
          <t>2026-09</t>
        </is>
      </c>
      <c r="H212" s="9" t="inlineStr">
        <is>
          <t>n/a</t>
        </is>
      </c>
      <c r="I212" s="9" t="inlineStr">
        <is>
          <t>Bondscanner blog: NCD interest rates in India 2026; GoldenPi / Wint Wealth listings (search summary)</t>
        </is>
      </c>
      <c r="J212" s="9" t="inlineStr">
        <is>
          <t>https://bondscanner.com/blog/ncd-interest-rates-india-2026-how-set-what-to-look-for</t>
        </is>
      </c>
      <c r="K212" s="9" t="inlineStr">
        <is>
          <t>2026</t>
        </is>
      </c>
      <c r="L212" s="9" t="inlineStr">
        <is>
          <t>2026-09-30</t>
        </is>
      </c>
      <c r="M212" s="9" t="inlineStr">
        <is>
          <t>unverified</t>
        </is>
      </c>
      <c r="N212" s="10" t="inlineStr">
        <is>
          <t>Retail bond-platform blogs, not a market data series. Direction consistent with rating rationales (A- digital lenders at 13.3-14.4% ALL-IN cost incl. processing fees and costlier NBFC term loans). An unrated new NBFC cannot issue listed NCDs to retail at all in practice.</t>
        </is>
      </c>
    </row>
    <row r="213">
      <c r="A213" s="9" t="inlineStr">
        <is>
          <t>LEV-018</t>
        </is>
      </c>
      <c r="B213" s="9" t="inlineStr">
        <is>
          <t>B: Own NBFC - opex</t>
        </is>
      </c>
      <c r="C213" s="10" t="inlineStr">
        <is>
          <t>Kissht group operating expenses as % of average managed assets</t>
        </is>
      </c>
      <c r="D213" s="9" t="inlineStr">
        <is>
          <t>14.5 (H1 FY26) / 16.1 (FY25)</t>
        </is>
      </c>
      <c r="E213" s="9" t="inlineStr">
        <is>
          <t>% of average managed assets</t>
        </is>
      </c>
      <c r="F213" s="10" t="inlineStr">
        <is>
          <t>Kissht group (Si Creva + OnEMI), AUM Rs 5,533 cr, ~96% personal loans, digital + offline-merchant sourcing</t>
        </is>
      </c>
      <c r="G213" s="9" t="inlineStr">
        <is>
          <t>2025-09-30</t>
        </is>
      </c>
      <c r="H213" s="9" t="inlineStr">
        <is>
          <t>n/a</t>
        </is>
      </c>
      <c r="I213" s="9" t="inlineStr">
        <is>
          <t>CRISIL Ratings rationale: Si Creva Capital Services Pvt Ltd (13-Feb-2026)</t>
        </is>
      </c>
      <c r="J213" s="9" t="inlineStr">
        <is>
          <t>https://www.crisilratings.com/mnt/winshare/Ratings/RatingList/RatingDocs/SiCrevaCapitalServicesPrivateLimited_February%2013_%202026_RR_374805.html</t>
        </is>
      </c>
      <c r="K213" s="9" t="inlineStr">
        <is>
          <t>2026-02-13</t>
        </is>
      </c>
      <c r="L213" s="9" t="inlineStr">
        <is>
          <t>2026-09-30</t>
        </is>
      </c>
      <c r="M213" s="9" t="inlineStr">
        <is>
          <t>confirmed</t>
        </is>
      </c>
      <c r="N213" s="10" t="inlineStr">
        <is>
          <t>Net total income ~32% of managed assets (H1 FY26; 33% FY25); RoMA 4.7% (4.4% FY25). Opex includes sourcing/marketing - for a savings app cross-selling to its own savers, sourcing cost should be lower, but servicing/collections on small tickets remain.</t>
        </is>
      </c>
    </row>
    <row r="214">
      <c r="A214" s="9" t="inlineStr">
        <is>
          <t>LEV-019</t>
        </is>
      </c>
      <c r="B214" s="9" t="inlineStr">
        <is>
          <t>B: Own NBFC - opex</t>
        </is>
      </c>
      <c r="C214" s="10" t="inlineStr">
        <is>
          <t>KreditBee (KrazyBee Services + Finnovation, combined) operating expenses as % of average managed assets</t>
        </is>
      </c>
      <c r="D214" s="9" t="inlineStr">
        <is>
          <t>9.6 (FY25) / 12.6 (FY24)</t>
        </is>
      </c>
      <c r="E214" s="9" t="inlineStr">
        <is>
          <t>% of average managed assets</t>
        </is>
      </c>
      <c r="F214" s="10" t="inlineStr">
        <is>
          <t>KrazyBee combined, AUM Rs 10,102 cr (Mar-2025); avg PL ticket ~Rs 30,000</t>
        </is>
      </c>
      <c r="G214" s="9" t="inlineStr">
        <is>
          <t>FY25</t>
        </is>
      </c>
      <c r="H214" s="9" t="inlineStr">
        <is>
          <t>n/a</t>
        </is>
      </c>
      <c r="I214" s="9" t="inlineStr">
        <is>
          <t>CareEdge Ratings press release: KrazyBee Services Limited (19-Mar-2026)</t>
        </is>
      </c>
      <c r="J214" s="9" t="inlineStr">
        <is>
          <t>https://www.careratings.com/upload/CompanyFiles/PR/202603120334_KrazyBee_Services_Limited.pdf</t>
        </is>
      </c>
      <c r="K214" s="9" t="inlineStr">
        <is>
          <t>2026-03-19</t>
        </is>
      </c>
      <c r="L214" s="9" t="inlineStr">
        <is>
          <t>2026-09-30</t>
        </is>
      </c>
      <c r="M214" s="9" t="inlineStr">
        <is>
          <t>confirmed</t>
        </is>
      </c>
      <c r="N214" s="10" t="inlineStr">
        <is>
          <t>Decline 'supported by lower sourcing costs'. PPOP 1,396 cr FY25. ROMA 4.8% (FY24 4.1%). Total income 2,712 cr, PAT 473 cr (combined) - resolves market_benchmarks LEND-06 conflict: 473 cr is COMBINED, 237 cr standalone.</t>
        </is>
      </c>
    </row>
    <row r="215">
      <c r="A215" s="9" t="inlineStr">
        <is>
          <t>LEV-020</t>
        </is>
      </c>
      <c r="B215" s="9" t="inlineStr">
        <is>
          <t>B: Own NBFC - opex</t>
        </is>
      </c>
      <c r="C215" s="10" t="inlineStr">
        <is>
          <t>ICRA (Mar 2023): digital-lender NBFCs incur 'significantly higher operating costs' than established NBFCs, driven by employee and marketing/origination costs; segment largely rated BBB; steady-state credit loss estimated at 4-6%</t>
        </is>
      </c>
      <c r="D215" s="9" t="inlineStr">
        <is>
          <t>4-6 (steady-state credit loss)</t>
        </is>
      </c>
      <c r="E215" s="9" t="inlineStr">
        <is>
          <t>% (credit loss)</t>
        </is>
      </c>
      <c r="F215" s="10" t="inlineStr">
        <is>
          <t>ICRA sample of 15 digital-lender NBFCs</t>
        </is>
      </c>
      <c r="G215" s="9" t="inlineStr">
        <is>
          <t>2023-03</t>
        </is>
      </c>
      <c r="H215" s="9" t="inlineStr">
        <is>
          <t>n/a</t>
        </is>
      </c>
      <c r="I215" s="9" t="inlineStr">
        <is>
          <t>ICRA: NBFC - Digital Lenders: Near-term focus on improving profitability and expanding scale via partnerships (Mar 2023)</t>
        </is>
      </c>
      <c r="J215" s="9" t="inlineStr">
        <is>
          <t>https://www.icra.in/Rating/DownloadResearchSummaryReportViewer/4978</t>
        </is>
      </c>
      <c r="K215" s="9" t="inlineStr">
        <is>
          <t>2023-03</t>
        </is>
      </c>
      <c r="L215" s="9" t="inlineStr">
        <is>
          <t>2026-09-30</t>
        </is>
      </c>
      <c r="M215" s="9" t="inlineStr">
        <is>
          <t>confirmed</t>
        </is>
      </c>
      <c r="N215" s="10" t="inlineStr">
        <is>
          <t>Summary deck only; opex % not quantified in the public summary. Consumer loan tickets Rs 5,000-10 lakh. Partnership books ~15% of AUM at Mar-2022 (now ~33-49% at KreditBee/Kissht).</t>
        </is>
      </c>
    </row>
    <row r="216">
      <c r="A216" s="9" t="inlineStr">
        <is>
          <t>LEV-021</t>
        </is>
      </c>
      <c r="B216" s="9" t="inlineStr">
        <is>
          <t>B: Own NBFC - credit cost</t>
        </is>
      </c>
      <c r="C216" s="10" t="inlineStr">
        <is>
          <t>Kissht group credit cost; FLDG cost on co-lending; write-offs + FLDG cost TTM</t>
        </is>
      </c>
      <c r="D216" s="9" t="inlineStr">
        <is>
          <t>credit cost 8.5 (H1 FY26 annualised) / 9.0 (FY25); FLDG cost 3.3 (H1 FY26) / 1.7 (FY25); write-offs+FLDG TTM 8.5% of AUM (Sep-25) vs 12.2% (Mar-25)</t>
        </is>
      </c>
      <c r="E216" s="9" t="inlineStr">
        <is>
          <t>% (of average managed assets / AUM)</t>
        </is>
      </c>
      <c r="F216" s="10" t="inlineStr">
        <is>
          <t>Kissht group; GNPA 2.95% (Sep-25), write-off led</t>
        </is>
      </c>
      <c r="G216" s="9" t="inlineStr">
        <is>
          <t>2025-09-30</t>
        </is>
      </c>
      <c r="H216" s="9" t="inlineStr">
        <is>
          <t>net of recoveries? not stated</t>
        </is>
      </c>
      <c r="I216" s="9" t="inlineStr">
        <is>
          <t>CRISIL Ratings rationale: Si Creva Capital Services Pvt Ltd (13-Feb-2026)</t>
        </is>
      </c>
      <c r="J216" s="9" t="inlineStr">
        <is>
          <t>https://www.crisilratings.com/mnt/winshare/Ratings/RatingList/RatingDocs/SiCrevaCapitalServicesPrivateLimited_February%2013_%202026_RR_374805.html</t>
        </is>
      </c>
      <c r="K216" s="9" t="inlineStr">
        <is>
          <t>2026-02-13</t>
        </is>
      </c>
      <c r="L216" s="9" t="inlineStr">
        <is>
          <t>2026-09-30</t>
        </is>
      </c>
      <c r="M216" s="9" t="inlineStr">
        <is>
          <t>confirmed</t>
        </is>
      </c>
      <c r="N216" s="10" t="inlineStr">
        <is>
          <t>Denominator of the FLDG-cost figure is not stated in the rationale (likely % of average managed assets). Gearing 1.7x (steady state expected &lt;3x); net worth Rs 1,173 cr. Si Creva acts as SOURCING NBFC in all co-lending, which CRISIL says lets it 'earn a higher fee income on its managed portfolio' - qualitative evidence that bearing first loss earns more.</t>
        </is>
      </c>
    </row>
    <row r="217">
      <c r="A217" s="9" t="inlineStr">
        <is>
          <t>LEV-022</t>
        </is>
      </c>
      <c r="B217" s="9" t="inlineStr">
        <is>
          <t>B: Own NBFC - credit cost</t>
        </is>
      </c>
      <c r="C217" s="10" t="inlineStr">
        <is>
          <t>KreditBee credit cost (incl. off-book) as % of average assets; GNPA after 180-DPD write-offs</t>
        </is>
      </c>
      <c r="D217" s="9" t="inlineStr">
        <is>
          <t>7.7 (FY25) / 6.1 (FY24); GNPA 2.83% (Mar-25), 1.8% (Dec-25)</t>
        </is>
      </c>
      <c r="E217" s="9" t="inlineStr">
        <is>
          <t>% of average assets; % GNPA</t>
        </is>
      </c>
      <c r="F217" s="10" t="inlineStr">
        <is>
          <t>KrazyBee combined; unsecured PL avg ticket ~Rs 30,000, up to 48 months</t>
        </is>
      </c>
      <c r="G217" s="9" t="inlineStr">
        <is>
          <t>FY25</t>
        </is>
      </c>
      <c r="H217" s="9" t="inlineStr">
        <is>
          <t>credit cost incl. write-offs</t>
        </is>
      </c>
      <c r="I217" s="9" t="inlineStr">
        <is>
          <t>CareEdge Ratings press release: KrazyBee Services Limited (19-Mar-2026)</t>
        </is>
      </c>
      <c r="J217" s="9" t="inlineStr">
        <is>
          <t>https://www.careratings.com/upload/CompanyFiles/PR/202603120334_KrazyBee_Services_Limited.pdf</t>
        </is>
      </c>
      <c r="K217" s="9" t="inlineStr">
        <is>
          <t>2026-03-19</t>
        </is>
      </c>
      <c r="L217" s="9" t="inlineStr">
        <is>
          <t>2026-09-30</t>
        </is>
      </c>
      <c r="M217" s="9" t="inlineStr">
        <is>
          <t>confirmed</t>
        </is>
      </c>
      <c r="N217" s="10" t="inlineStr">
        <is>
          <t>GNPA is low only because of aggressive 180+ DPD write-off; use CREDIT COST (6-9%) not GNPA for the model. Company is moving to larger tickets/longer tenors to lower losses - the opposite direction to a gig-worker Rs 10-50K product.</t>
        </is>
      </c>
    </row>
    <row r="218">
      <c r="A218" s="9" t="inlineStr">
        <is>
          <t>LEV-023</t>
        </is>
      </c>
      <c r="B218" s="9" t="inlineStr">
        <is>
          <t>B: Own NBFC - leverage</t>
        </is>
      </c>
      <c r="C218" s="10" t="inlineStr">
        <is>
          <t>KreditBee on-book gearing, AUM/TNW and capital adequacy</t>
        </is>
      </c>
      <c r="D218" s="9" t="inlineStr">
        <is>
          <t>gearing 1.16x; AUM/TNW 3.25x; CAR 29.59%</t>
        </is>
      </c>
      <c r="E218" s="9" t="inlineStr">
        <is>
          <t>x; %</t>
        </is>
      </c>
      <c r="F218" s="10" t="inlineStr">
        <is>
          <t>KrazyBee combined (CARE A; Stable)</t>
        </is>
      </c>
      <c r="G218" s="9" t="inlineStr">
        <is>
          <t>2025-03-31</t>
        </is>
      </c>
      <c r="H218" s="9" t="inlineStr">
        <is>
          <t>n/a</t>
        </is>
      </c>
      <c r="I218" s="9" t="inlineStr">
        <is>
          <t>CareEdge Ratings press release: KrazyBee Services Limited (19-Mar-2026)</t>
        </is>
      </c>
      <c r="J218" s="9" t="inlineStr">
        <is>
          <t>https://www.careratings.com/upload/CompanyFiles/PR/202603120334_KrazyBee_Services_Limited.pdf</t>
        </is>
      </c>
      <c r="K218" s="9" t="inlineStr">
        <is>
          <t>2026-03-19</t>
        </is>
      </c>
      <c r="L218" s="9" t="inlineStr">
        <is>
          <t>2026-09-30</t>
        </is>
      </c>
      <c r="M218" s="9" t="inlineStr">
        <is>
          <t>confirmed</t>
        </is>
      </c>
      <c r="N218" s="10" t="inlineStr">
        <is>
          <t>Rating downgrade triggers: consolidated gearing &gt;3.5x or AUM/NW &gt;5x. CAR was 60.17% (FY23), 33.89% (FY24). Digital unsecured lenders run at 1-2x debt/equity, NOT the 5-6x a 15% CRAR would permit: lenders and rating agencies cap it.</t>
        </is>
      </c>
    </row>
    <row r="219">
      <c r="A219" s="9" t="inlineStr">
        <is>
          <t>LEV-024</t>
        </is>
      </c>
      <c r="B219" s="9" t="inlineStr">
        <is>
          <t>B: Own NBFC - leverage</t>
        </is>
      </c>
      <c r="C219" s="10" t="inlineStr">
        <is>
          <t>Kissht gearing and capital; Moneyview CRAR</t>
        </is>
      </c>
      <c r="D219" s="9" t="inlineStr">
        <is>
          <t>Kissht group gearing 1.7x (Sep-25; steady-state &lt;3x); Si Creva standalone 1.9x; Moneyview CRAR 24.3%</t>
        </is>
      </c>
      <c r="E219" s="9" t="inlineStr">
        <is>
          <t>x; %</t>
        </is>
      </c>
      <c r="F219" s="10" t="inlineStr">
        <is>
          <t>Si Creva/OnEMI (CRISIL A-); Moneyview/Whizdm</t>
        </is>
      </c>
      <c r="G219" s="9" t="inlineStr">
        <is>
          <t>2025-09-30 / FY26</t>
        </is>
      </c>
      <c r="H219" s="9" t="inlineStr">
        <is>
          <t>n/a</t>
        </is>
      </c>
      <c r="I219" s="9" t="inlineStr">
        <is>
          <t>CRISIL rationale Si Creva (13-Feb-2026); Business Line via TradingView on Moneyview</t>
        </is>
      </c>
      <c r="J219" s="9" t="inlineStr">
        <is>
          <t>https://www.crisilratings.com/mnt/winshare/Ratings/RatingList/RatingDocs/SiCrevaCapitalServicesPrivateLimited_February%2013_%202026_RR_374805.html</t>
        </is>
      </c>
      <c r="K219" s="9" t="inlineStr">
        <is>
          <t>2026-02-13</t>
        </is>
      </c>
      <c r="L219" s="9" t="inlineStr">
        <is>
          <t>2026-09-30</t>
        </is>
      </c>
      <c r="M219" s="9" t="inlineStr">
        <is>
          <t>confirmed</t>
        </is>
      </c>
      <c r="N219" s="10" t="inlineStr">
        <is>
          <t>MoneyFlow India (from DRHP) gives OnEMI debt/equity 1.63 and CRAR 26.69% (Dec-2025). Regulatory floor CRAR 15% (Tier-1 10%) for NBFC-ICC; consistent with REG rows. MODEL: base gearing 2x, high 3x.</t>
        </is>
      </c>
    </row>
    <row r="220">
      <c r="A220" s="9" t="inlineStr">
        <is>
          <t>LEV-025</t>
        </is>
      </c>
      <c r="B220" s="9" t="inlineStr">
        <is>
          <t>B: Own NBFC - cost of funds</t>
        </is>
      </c>
      <c r="C220" s="10" t="inlineStr">
        <is>
          <t>Stashfin's NBFC (Akara Capital Advisors, ICRA BBB Stable, AUM Rs 1,838 cr) outstanding NCD coupons</t>
        </is>
      </c>
      <c r="D220" s="9" t="inlineStr">
        <is>
          <t>9.85-14.5 (most 11.9-12.5; Dec-2024 issue 14.0%; Mar-2025 issue 14.5%)</t>
        </is>
      </c>
      <c r="E220" s="9" t="inlineStr">
        <is>
          <t>% coupon p.a.</t>
        </is>
      </c>
      <c r="F220" s="10" t="inlineStr">
        <is>
          <t>Akara Capital NCDs outstanding at 14-Oct-2025 (13 ISINs, issued Jun-2024 to Apr-2025)</t>
        </is>
      </c>
      <c r="G220" s="9" t="inlineStr">
        <is>
          <t>2025-10-14</t>
        </is>
      </c>
      <c r="H220" s="9" t="inlineStr">
        <is>
          <t>coupon (excl. arranger fees)</t>
        </is>
      </c>
      <c r="I220" s="9" t="inlineStr">
        <is>
          <t>ICRA rationale: Akara Capital Advisors Pvt Ltd - [ICRA]BBB (Stable) assigned to NCDs (20-Oct-2025)</t>
        </is>
      </c>
      <c r="J220" s="9" t="inlineStr">
        <is>
          <t>https://www.icra.in/Rating/GetRationalReportFilePdf?id=138434</t>
        </is>
      </c>
      <c r="K220" s="9" t="inlineStr">
        <is>
          <t>2025-10-20</t>
        </is>
      </c>
      <c r="L220" s="9" t="inlineStr">
        <is>
          <t>2026-09-30</t>
        </is>
      </c>
      <c r="M220" s="9" t="inlineStr">
        <is>
          <t>confirmed</t>
        </is>
      </c>
      <c r="N220" s="10" t="inlineStr">
        <is>
          <t>Borrowing mix 30-Jun-2025: ECBs from parent 44%, NCDs 36%, NBFC/FI loans 8%, BANK loans only 6%, PTCs 5%, CP 1%. A search snippet (not in the ICRA text I read) put Akara's avg borrowing cost ex-parent at ~13.8% - unverified. KEY for Lever B: a BBB digital lender 8 years old gets only 6% of funding from banks; a new NBFC relies on parent equity/ECB and NBFC term loans.</t>
        </is>
      </c>
    </row>
    <row r="221">
      <c r="A221" s="9" t="inlineStr">
        <is>
          <t>LEV-026</t>
        </is>
      </c>
      <c r="B221" s="9" t="inlineStr">
        <is>
          <t>B: Own NBFC - credit cost</t>
        </is>
      </c>
      <c r="C221" s="10" t="inlineStr">
        <is>
          <t>Akara Capital (Stashfin) credit costs relative to disbursements; GS3 incl. write-offs/FLDG; RoMA; opex; NIM</t>
        </is>
      </c>
      <c r="D221" s="9" t="inlineStr">
        <is>
          <t>credit cost/disbursal 9.9% (FY25), 8.0% (FY24), 8.6% (Q1 FY26); GS3 incl. write-offs/FLDG 16.9% of AUM (Jun-25); opex 8.8% (FY25) vs 12.2% (FY24); NIM 21.3% (FY25); RoMA 1.2% (FY25), -1.8% (Q1 FY26)</t>
        </is>
      </c>
      <c r="E221" s="9" t="inlineStr">
        <is>
          <t>% (ratios to avg managed assets unless stated)</t>
        </is>
      </c>
      <c r="F221" s="10" t="inlineStr">
        <is>
          <t>Akara Capital + EQX Analytics consolidated; unsecured PL up to Rs 5 lakh, avg ticket ~Rs 80,000, 2.6M customers, salaried</t>
        </is>
      </c>
      <c r="G221" s="9" t="inlineStr">
        <is>
          <t>2025-06-30</t>
        </is>
      </c>
      <c r="H221" s="9" t="inlineStr">
        <is>
          <t>credit cost incl. write-offs</t>
        </is>
      </c>
      <c r="I221" s="9" t="inlineStr">
        <is>
          <t>ICRA rationale: Akara Capital Advisors Pvt Ltd (20-Oct-2025)</t>
        </is>
      </c>
      <c r="J221" s="9" t="inlineStr">
        <is>
          <t>https://www.icra.in/Rating/GetRationalReportFilePdf?id=138434</t>
        </is>
      </c>
      <c r="K221" s="9" t="inlineStr">
        <is>
          <t>2025-10-20</t>
        </is>
      </c>
      <c r="L221" s="9" t="inlineStr">
        <is>
          <t>2026-09-30</t>
        </is>
      </c>
      <c r="M221" s="9" t="inlineStr">
        <is>
          <t>confirmed</t>
        </is>
      </c>
      <c r="N221" s="10" t="inlineStr">
        <is>
          <t>Stashfin DISCONTINUED its Elev8 product (short-tenure loans &lt; Rs 10,000) and ran down co-lending in FY25 - a direct precedent that sub-Rs 10K digital loans were uneconomic even for an established lender. CRAR 28.8% (Jun-25); managed gearing 1.8x (target &lt; 3x). Net profit only Rs 25 cr on Rs 710 cr income FY25.</t>
        </is>
      </c>
    </row>
    <row r="222">
      <c r="A222" s="9" t="inlineStr">
        <is>
          <t>LEV-027</t>
        </is>
      </c>
      <c r="B222" s="9" t="inlineStr">
        <is>
          <t>B: Own NBFC - credit cost</t>
        </is>
      </c>
      <c r="C222" s="10" t="inlineStr">
        <is>
          <t>Digital NBFC personal-loan sector (report cited by PTI, Mar 2026): ROA 1-4%, NIM 8-12%; GNPA 2.1% (Sep-2025) vs 3.3% (FY23); digital NBFC PL book to grow 26% to &gt; Rs 3.6 lakh cr by FY30</t>
        </is>
      </c>
      <c r="D222" s="9" t="inlineStr">
        <is>
          <t>ROA 1-4; NIM 8-12; GNPA 2.1</t>
        </is>
      </c>
      <c r="E222" s="9" t="inlineStr">
        <is>
          <t>%</t>
        </is>
      </c>
      <c r="F222" s="10" t="inlineStr">
        <is>
          <t>major digital NBFCs (report author not identified in snippet)</t>
        </is>
      </c>
      <c r="G222" s="9" t="inlineStr">
        <is>
          <t>2025-09</t>
        </is>
      </c>
      <c r="H222" s="9" t="inlineStr">
        <is>
          <t>n/a</t>
        </is>
      </c>
      <c r="I222" s="9" t="inlineStr">
        <is>
          <t>Newsgram / The Hawk (PTI): Digital NBFC personal loan book to grow 26 pc to over Rs 3.6 lakh crore by FY30</t>
        </is>
      </c>
      <c r="J222" s="9" t="inlineStr">
        <is>
          <t>https://www.newsgram.com/business/2026/03/30/digital-nbfc-personal-loan-book-to-grow-26-pc-to-over-rs-36-lakh-crore-by-fy30</t>
        </is>
      </c>
      <c r="K222" s="9" t="inlineStr">
        <is>
          <t>2026-03-30</t>
        </is>
      </c>
      <c r="L222" s="9" t="inlineStr">
        <is>
          <t>2026-09-30</t>
        </is>
      </c>
      <c r="M222" s="9" t="inlineStr">
        <is>
          <t>unverified</t>
        </is>
      </c>
      <c r="N222" s="10" t="inlineStr">
        <is>
          <t>Search snippet only; the underlying research house not named in what I saw. NIM 8-12% conflicts with Akara's 21% and Kissht's ~32% net total income - likely a different (larger-ticket) sample. Use rating-agency company data instead.</t>
        </is>
      </c>
    </row>
    <row r="223">
      <c r="A223" s="9" t="inlineStr">
        <is>
          <t>LEV-028</t>
        </is>
      </c>
      <c r="B223" s="9" t="inlineStr">
        <is>
          <t>B: Own NBFC - precedents</t>
        </is>
      </c>
      <c r="C223" s="10" t="inlineStr">
        <is>
          <t>Jupiter's NBFC Amica Finance: licence Apr-2023, first disbursal Jun-2023; AUM Rs 245.6 cr at Dec-2024 (Rs 136 cr Mar-2024); rated [ICRA]BB (Stable)/A4</t>
        </is>
      </c>
      <c r="D223" s="9" t="inlineStr">
        <is>
          <t>~20 months from licence to Rs 245 cr AUM</t>
        </is>
      </c>
      <c r="E223" s="9" t="inlineStr">
        <is>
          <t>months; INR crore</t>
        </is>
      </c>
      <c r="F223" s="10" t="inlineStr">
        <is>
          <t>Amica Finance Pvt Ltd (associate of Jupiter/Amica Financial Technologies); short-tenure unsecured PL, avg tenure ~12 months</t>
        </is>
      </c>
      <c r="G223" s="9" t="inlineStr">
        <is>
          <t>2024-12-31</t>
        </is>
      </c>
      <c r="H223" s="9" t="inlineStr">
        <is>
          <t>n/a</t>
        </is>
      </c>
      <c r="I223" s="9" t="inlineStr">
        <is>
          <t>ICRA rationale: Amica Finance Private Limited - Ratings reaffirmed (30-Apr-2025)</t>
        </is>
      </c>
      <c r="J223" s="9" t="inlineStr">
        <is>
          <t>https://www.icra.in/Rating/ShowRationalReportFilePdf/134855</t>
        </is>
      </c>
      <c r="K223" s="9" t="inlineStr">
        <is>
          <t>2025-04-30</t>
        </is>
      </c>
      <c r="L223" s="9" t="inlineStr">
        <is>
          <t>2026-09-30</t>
        </is>
      </c>
      <c r="M223" s="9" t="inlineStr">
        <is>
          <t>confirmed</t>
        </is>
      </c>
      <c r="N223" s="10" t="inlineStr">
        <is>
          <t>CLOSEST ANALOGUE to Lever B: consumer app + captive NBFC lending to its own users. Cost of funds 11.5-12.5% (includes Rs 80 cr ICD line from parent Jupiter - likely below market). Net loss Rs 4.7 cr in 9M FY25 on managed assets Rs 311.7 cr (RoMA -2.7%); FY24 PAT Rs 0.9 cr. CRAR 27.6%; gearing 2.1x (managed 5.7x). Cumulative credit cost = 8.8% of cumulative disbursals since inception. Pays Jupiter CAC+tech of ~2-4% of AUM (FY25) vs 5% (FY24). Equity: Rs 100 cr from Jupiter (Moneycontrol, 2023) + Rs 20 cr raise May-2024 (Peak XV, Matrix, QED - Inc42). Only BB rated after ~2 years: bank funding limited.</t>
        </is>
      </c>
    </row>
    <row r="224">
      <c r="A224" s="9" t="inlineStr">
        <is>
          <t>LEV-029</t>
        </is>
      </c>
      <c r="B224" s="9" t="inlineStr">
        <is>
          <t>B: Own NBFC - precedents</t>
        </is>
      </c>
      <c r="C224" s="10" t="inlineStr">
        <is>
          <t>Groww's NBFC (Groww Creditserv Technology): incorporated Jan-2021, NBFC licence Dec-2022, active from FY23; equity infused Rs 378 cr to Mar-2024 + Rs 300 cr in FY25; ROMA -6.27% (FY24), 0.70% (FY25), 1.76% (9M FY26); credit cost 7.06% (9M FY26, similar FY25)</t>
        </is>
      </c>
      <c r="D224" s="9" t="inlineStr">
        <is>
          <t>~Rs 678 cr equity for Rs 1,396 cr AUM; ~23 months incorporation-to-licence</t>
        </is>
      </c>
      <c r="E224" s="9" t="inlineStr">
        <is>
          <t>INR crore; months; %</t>
        </is>
      </c>
      <c r="F224" s="10" t="inlineStr">
        <is>
          <t>Groww Creditserv Technology Pvt Ltd; ~90% unsecured personal loans, ~10% loans against MF</t>
        </is>
      </c>
      <c r="G224" s="9" t="inlineStr">
        <is>
          <t>2025-12-31</t>
        </is>
      </c>
      <c r="H224" s="9" t="inlineStr">
        <is>
          <t>n/a</t>
        </is>
      </c>
      <c r="I224" s="9" t="inlineStr">
        <is>
          <t>CareEdge Ratings press release: Groww Creditserv Technology Pvt Ltd - CARE A+ Stable assigned (01-Apr-2026)</t>
        </is>
      </c>
      <c r="J224" s="9" t="inlineStr">
        <is>
          <t>https://www.careratings.com/upload/CompanyFiles/PR/202604150403_Groww_Creditserv_Technology_Private_Limited.pdf</t>
        </is>
      </c>
      <c r="K224" s="9" t="inlineStr">
        <is>
          <t>2026-04-01</t>
        </is>
      </c>
      <c r="L224" s="9" t="inlineStr">
        <is>
          <t>2026-09-30</t>
        </is>
      </c>
      <c r="M224" s="9" t="inlineStr">
        <is>
          <t>confirmed</t>
        </is>
      </c>
      <c r="N224" s="10" t="inlineStr">
        <is>
          <t>TNW Rs 658 cr; gearing 1.09x; CAR 38.35%; Rs 580 cr of Rs 717 cr debt is parent ICDs; parent IPO earmarked Rs 205 cr more. Lost money in year 1, ~breakeven year 2 - even with a 10M+ investor base and A+ parent. Licence date from ICRA rationale (search snippet). Shows what 'own NBFC' costs a well-funded distributor.</t>
        </is>
      </c>
    </row>
    <row r="225">
      <c r="A225" s="9" t="inlineStr">
        <is>
          <t>LEV-030</t>
        </is>
      </c>
      <c r="B225" s="9" t="inlineStr">
        <is>
          <t>B: Own NBFC - precedents</t>
        </is>
      </c>
      <c r="C225" s="10" t="inlineStr">
        <is>
          <t>Other distributor-to-lender licence moves: Amazon Pay acquiring NBFC Axio (~USD 150M); CRED's promoter vehicle Newtap acquiring Parfait Finance (est. 1995, renamed); BharatPe majority stake in Trillionloans; Uni acquiring P2P NBFC OHMY Technologies</t>
        </is>
      </c>
      <c r="D225" s="9" t="inlineStr">
        <is>
          <t>~150 (Axio)</t>
        </is>
      </c>
      <c r="E225" s="9" t="inlineStr">
        <is>
          <t>USD million</t>
        </is>
      </c>
      <c r="F225" s="10" t="inlineStr">
        <is>
          <t>Indian fintechs acquiring licences</t>
        </is>
      </c>
      <c r="G225" s="9" t="inlineStr">
        <is>
          <t>2024-2025</t>
        </is>
      </c>
      <c r="H225" s="9" t="inlineStr">
        <is>
          <t>n/a</t>
        </is>
      </c>
      <c r="I225" s="9" t="inlineStr">
        <is>
          <t>The Painted Stork #54: Do all roads in fintech lead to license aggregation (Part 3)</t>
        </is>
      </c>
      <c r="J225" s="9" t="inlineStr">
        <is>
          <t>https://www.thepaintedstork.com/p/54-do-all-roads-in-fintech-lead-to</t>
        </is>
      </c>
      <c r="K225" s="9" t="inlineStr">
        <is>
          <t>2024-2025</t>
        </is>
      </c>
      <c r="L225" s="9" t="inlineStr">
        <is>
          <t>2026-09-30</t>
        </is>
      </c>
      <c r="M225" s="9" t="inlineStr">
        <is>
          <t>unverified</t>
        </is>
      </c>
      <c r="N225" s="10" t="inlineStr">
        <is>
          <t>Newsletter, not a filing; Axio price not confirmed from Amazon/RBI. Most acquisitions are of OPERATING lenders (price = book + franchise), not shells. Paytm, Fi and PhonePe: no own lending NBFC found (PhonePe surrendered its NBFC-AA licence Feb-2025 - Business Standard; PhonePe's third lending-NBFC application Jan-2026, Paytm declined to apply - see LEV-070); Fi pivoted to B2B (market_benchmarks FI-03).</t>
        </is>
      </c>
    </row>
    <row r="226">
      <c r="A226" s="9" t="inlineStr">
        <is>
          <t>LEV-031</t>
        </is>
      </c>
      <c r="B226" s="9" t="inlineStr">
        <is>
          <t>B: Own NBFC - licence cost</t>
        </is>
      </c>
      <c r="C226" s="10" t="inlineStr">
        <is>
          <t>Listed price for a dormant NBFC shell (Delhi, 'Category B', non-operative 2-3 years): asking Rs 80 lakh; 'net premium' Rs 60 lakh; stated net owned funds Rs 2 cr (assets Rs 3 cr, liabilities Rs 1 cr)</t>
        </is>
      </c>
      <c r="D226" s="9" t="inlineStr">
        <is>
          <t>60</t>
        </is>
      </c>
      <c r="E226" s="9" t="inlineStr">
        <is>
          <t>INR lakh premium over net assets</t>
        </is>
      </c>
      <c r="F226" s="10" t="inlineStr">
        <is>
          <t>single listing on SMERGERS marketplace (date not shown)</t>
        </is>
      </c>
      <c r="G226" s="9" t="inlineStr">
        <is>
          <t>2026-09-30 (accessed)</t>
        </is>
      </c>
      <c r="H226" s="9" t="inlineStr">
        <is>
          <t>premium over book</t>
        </is>
      </c>
      <c r="I226" s="9" t="inlineStr">
        <is>
          <t>SMERGERS: NBFC for Sale in Delhi, India</t>
        </is>
      </c>
      <c r="J226" s="9" t="inlineStr">
        <is>
          <t>https://www.smergers.com/business/nbfc-for-sale-in-delhi-india/8nlpx/</t>
        </is>
      </c>
      <c r="K226" s="9" t="inlineStr">
        <is>
          <t>undated</t>
        </is>
      </c>
      <c r="L226" s="9" t="inlineStr">
        <is>
          <t>2026-09-30</t>
        </is>
      </c>
      <c r="M226" s="9" t="inlineStr">
        <is>
          <t>unverified</t>
        </is>
      </c>
      <c r="N226" s="10" t="inlineStr">
        <is>
          <t>One marketplace ASKING price, not a transaction; the listing's own figures do not reconcile (asking 80 lakh vs NOF 2 cr - probably premium quoted on top of NOF). NOF Rs 2 cr is BELOW the Rs 10 cr NOF required by 31-Mar-2027 (REG-017), so a buyer must inject ~Rs 8 cr+ anyway, and change of control needs prior RBI approval. Advisory sites claim fresh registration takes 9-18 months (nbfcadvisory.com) vs RBI charter 90 days from complete application. No reputable 2025-26 market survey of shell premiums found.</t>
        </is>
      </c>
    </row>
    <row r="227">
      <c r="A227" s="9" t="inlineStr">
        <is>
          <t>LEV-032</t>
        </is>
      </c>
      <c r="B227" s="9" t="inlineStr">
        <is>
          <t>B: Own NBFC - licence cost</t>
        </is>
      </c>
      <c r="C227" s="10" t="inlineStr">
        <is>
          <t>Time to a fresh NBFC licence: RBI charter 90 days from a complete application; practitioners quote 3-6 months from complete application and 6-12 months incorporation-to-licence; observed precedents ~23 months (Groww Creditserv: incorporated Jan-2021, licence Dec-2022); MobiKwik ~12 months (Apr-2025 to Apr-2026, LEV-069)</t>
        </is>
      </c>
      <c r="D227" s="9" t="inlineStr">
        <is>
          <t>6-12 (practitioner) / ~23 (Groww precedent)</t>
        </is>
      </c>
      <c r="E227" s="9" t="inlineStr">
        <is>
          <t>months</t>
        </is>
      </c>
      <c r="F227" s="10" t="inlineStr">
        <is>
          <t>New NBFC-ICC applicants (non-deposit-taking)</t>
        </is>
      </c>
      <c r="G227" s="9" t="inlineStr">
        <is>
          <t>2026</t>
        </is>
      </c>
      <c r="H227" s="9" t="inlineStr">
        <is>
          <t>n/a</t>
        </is>
      </c>
      <c r="I227" s="9" t="inlineStr">
        <is>
          <t>RBI Citizen's Charter (see regulation_rails REG-018); incorpx.io / corpbiz.io advisory pages; CareEdge Groww Creditserv rationale (01-Apr-2026)</t>
        </is>
      </c>
      <c r="J227" s="9" t="inlineStr">
        <is>
          <t>https://www.incorpx.io/blog/fintech-startup-registration-rbi-compliance</t>
        </is>
      </c>
      <c r="K227" s="9" t="inlineStr">
        <is>
          <t>2026</t>
        </is>
      </c>
      <c r="L227" s="9" t="inlineStr">
        <is>
          <t>2026-09-30</t>
        </is>
      </c>
      <c r="M227" s="9" t="inlineStr">
        <is>
          <t>confirmed</t>
        </is>
      </c>
      <c r="N227" s="10" t="inlineStr">
        <is>
          <t>Practitioner ranges are advisory-site claims (low reliability); the Groww precedent is from rating-agency text. The Painted Stork newsletter says RBI is 'generally reluctant' to license fintechs because of overlapping capital structures (unverified opinion). Capital: Rs 10 cr NOF minimum (REG-017) is a FLOOR; precedents put Rs 100-680 cr of equity into captive NBFCs (Amica ~Rs 120 cr; Groww ~Rs 678 cr). MODEL: licence 12 months base (6 low / 24 high); upfront equity Rs 10-15 cr just to lend Rs 25-40 cr at 2-3x gearing.</t>
        </is>
      </c>
    </row>
    <row r="228">
      <c r="A228" s="9" t="inlineStr">
        <is>
          <t>LEV-033</t>
        </is>
      </c>
      <c r="B228" s="9" t="inlineStr">
        <is>
          <t>C: Digital gold - Jar</t>
        </is>
      </c>
      <c r="C228" s="10" t="inlineStr">
        <is>
          <t>Jar FY25 revenue from operations vs purchase of traded goods; Jar became a PRINCIPAL in FY25 (vertically integrated gold stack) so it books the full value of gold sold</t>
        </is>
      </c>
      <c r="D228" s="9" t="inlineStr">
        <is>
          <t>2,447.8 revenue; 2,333.6 purchases; difference 114.2 (4.67% of revenue)</t>
        </is>
      </c>
      <c r="E228" s="9" t="inlineStr">
        <is>
          <t>INR crore; % (derived)</t>
        </is>
      </c>
      <c r="F228" s="10" t="inlineStr">
        <is>
          <t>Central Square Fintech Pvt Ltd (Jar) consolidated FY25</t>
        </is>
      </c>
      <c r="G228" s="9" t="inlineStr">
        <is>
          <t>FY25</t>
        </is>
      </c>
      <c r="H228" s="9" t="inlineStr">
        <is>
          <t>gross (principal accounting)</t>
        </is>
      </c>
      <c r="I228" s="9" t="inlineStr">
        <is>
          <t>Inc42: Wealthtech Startup Jar Halves FY25 Loss To INR 50.5 Cr</t>
        </is>
      </c>
      <c r="J228" s="9" t="inlineStr">
        <is>
          <t>https://inc42.com/buzz/wealthtech-startup-jar-halves-fy25-loss-to-inr-50-5-cr/</t>
        </is>
      </c>
      <c r="K228" s="9" t="inlineStr">
        <is>
          <t>2025-11-29</t>
        </is>
      </c>
      <c r="L228" s="9" t="inlineStr">
        <is>
          <t>2026-09-30</t>
        </is>
      </c>
      <c r="M228" s="9" t="inlineStr">
        <is>
          <t>confirmed</t>
        </is>
      </c>
      <c r="N228" s="10" t="inlineStr">
        <is>
          <t>Change in inventories NOT found in any accessible source (TheKredible page failed; Inc42/Entrackr silent). Residual of total expenses 2,501.2 after purchases 2,333.6, employee 71.4, web hosting 26.6, advertising 48.5 = 21.1 cr, which must contain all other expenses PLUS the inventory change - so the inventory change cannot be isolated. Revenue includes Nek jewellery (~Rs 100 cr, TechCrunch) at higher margin, so 4.7% OVERSTATES the pure digital-gold margin if jewellery is in it. See market_benchmarks JAR-01/03.</t>
        </is>
      </c>
    </row>
    <row r="229">
      <c r="A229" s="9" t="inlineStr">
        <is>
          <t>LEV-034</t>
        </is>
      </c>
      <c r="B229" s="9" t="inlineStr">
        <is>
          <t>C: Digital gold - Jar</t>
        </is>
      </c>
      <c r="C229" s="10" t="inlineStr">
        <is>
          <t>Jar's Rs 208 cr FY25 'operating revenue' is a company-defined net figure; press describe it as the margin after the cost of gold, but no breakdown is published</t>
        </is>
      </c>
      <c r="D229" s="9" t="inlineStr">
        <is>
          <t>208 (= 8.5% of 2,447.8 gross, derived)</t>
        </is>
      </c>
      <c r="E229" s="9" t="inlineStr">
        <is>
          <t>INR crore; %</t>
        </is>
      </c>
      <c r="F229" s="10" t="inlineStr">
        <is>
          <t>Jar FY25, company-reported</t>
        </is>
      </c>
      <c r="G229" s="9" t="inlineStr">
        <is>
          <t>FY25</t>
        </is>
      </c>
      <c r="H229" s="9" t="inlineStr">
        <is>
          <t>net (company-defined)</t>
        </is>
      </c>
      <c r="I229" s="9" t="inlineStr">
        <is>
          <t>Entrackr: Jar clocks Rs 208 Cr operating revenue in FY25; TechCrunch 18-Sep-2025; behindthefeature substack</t>
        </is>
      </c>
      <c r="J229" s="9" t="inlineStr">
        <is>
          <t>https://entrackr.com/news/jar-clocks-rs-208-cr-operating-revenue-in-fy25-turns-profitable-in-h2-10478229</t>
        </is>
      </c>
      <c r="K229" s="9" t="inlineStr">
        <is>
          <t>2025-09-19</t>
        </is>
      </c>
      <c r="L229" s="9" t="inlineStr">
        <is>
          <t>2026-09-30</t>
        </is>
      </c>
      <c r="M229" s="9" t="inlineStr">
        <is>
          <t>unverified</t>
        </is>
      </c>
      <c r="N229" s="10" t="inlineStr">
        <is>
          <t>CONTRADICTS the RoC arithmetic: revenue minus purchases = 114.2 cr, not 208 cr. Gap of ~94 cr could be an inventory build (gold bought, not yet sold, would reduce cost of goods), Nek jewellery, or non-gold income (loan-origination fees, insurance, UPI) - not disclosed. Do NOT use 8.5% as a gold take rate. FY24 (when Jar was still a distributor): revenue 49 cr = commission income 21.78 cr + sale of traded gold 27.24 cr (search summary of RoC data, source Entrackr/TheKredible - not opened).</t>
        </is>
      </c>
    </row>
    <row r="230">
      <c r="A230" s="9" t="inlineStr">
        <is>
          <t>LEV-035</t>
        </is>
      </c>
      <c r="B230" s="9" t="inlineStr">
        <is>
          <t>C: Digital gold - economics</t>
        </is>
      </c>
      <c r="C230" s="10" t="inlineStr">
        <is>
          <t>Supplier-level margin: SafeGold FY25 gold sales Rs 6,839 cr vs cost of gold Rs 6,809 cr; other operating revenue Rs 27 cr; EBITDA Rs 2 cr (0.03%); net loss Rs 12.2 cr</t>
        </is>
      </c>
      <c r="D230" s="9" t="inlineStr">
        <is>
          <t>gross margin ~0.44% of gold sales (derived: 30/6,839); +0.39% other op revenue</t>
        </is>
      </c>
      <c r="E230" s="9" t="inlineStr">
        <is>
          <t>% of gold sales</t>
        </is>
      </c>
      <c r="F230" s="10" t="inlineStr">
        <is>
          <t>Digital Gold India Pvt Ltd (SafeGold), FY25, all channels (online partners + offline)</t>
        </is>
      </c>
      <c r="G230" s="9" t="inlineStr">
        <is>
          <t>FY25</t>
        </is>
      </c>
      <c r="H230" s="9" t="inlineStr">
        <is>
          <t>gross margin (derived)</t>
        </is>
      </c>
      <c r="I230" s="9" t="inlineStr">
        <is>
          <t>Entrackr: SafeGold clocks Rs 6,867 Cr in gold transactions in FY25; turns EBITDA positive</t>
        </is>
      </c>
      <c r="J230" s="9" t="inlineStr">
        <is>
          <t>https://entrackr.com/fintrackr/safegold-clocks-rs-6867-cr-in-gold-transactions-in-fy25-turns-ebitda-positive-10814304</t>
        </is>
      </c>
      <c r="K230" s="9" t="inlineStr">
        <is>
          <t>2025-11-26</t>
        </is>
      </c>
      <c r="L230" s="9" t="inlineStr">
        <is>
          <t>2026-09-30</t>
        </is>
      </c>
      <c r="M230" s="9" t="inlineStr">
        <is>
          <t>confirmed</t>
        </is>
      </c>
      <c r="N230" s="10" t="inlineStr">
        <is>
          <t>Revenue includes resale of bought-back gold, so this is margin on TURNOVER not on net customer purchases. No separate partner-commission line appears (misc expenses only 30.8 cr) - suggests partner margins are netted in pricing. Either way the SUPPLIER keeps &lt;1%: the ~3% buy-sell spread is mostly bullion/hedging cost + distributor margin. SafeGold site claims 48 million investors.</t>
        </is>
      </c>
    </row>
    <row r="231">
      <c r="A231" s="9" t="inlineStr">
        <is>
          <t>LEV-036</t>
        </is>
      </c>
      <c r="B231" s="9" t="inlineStr">
        <is>
          <t>C: Digital gold - economics</t>
        </is>
      </c>
      <c r="C231" s="10" t="inlineStr">
        <is>
          <t>Distributor commission to a front-end app: 'Jar earns a commission (around 2.4%) from gold service providers like SafeGold for each investment'; no commission on sell-back</t>
        </is>
      </c>
      <c r="D231" s="9" t="inlineStr">
        <is>
          <t>~2.4</t>
        </is>
      </c>
      <c r="E231" s="9" t="inlineStr">
        <is>
          <t>% of purchase value</t>
        </is>
      </c>
      <c r="F231" s="10" t="inlineStr">
        <is>
          <t>Jar as distributor (pre-FY25)</t>
        </is>
      </c>
      <c r="G231" s="9" t="inlineStr">
        <is>
          <t>undated (likely 2022-2023)</t>
        </is>
      </c>
      <c r="H231" s="9" t="inlineStr">
        <is>
          <t>gross</t>
        </is>
      </c>
      <c r="I231" s="9" t="inlineStr">
        <is>
          <t>CIIM: Jar Gold App Case Study (search snippet); Tiger Feathers (13-Dec-2024) confirms margin only on purchases, not on sale</t>
        </is>
      </c>
      <c r="J231" s="9" t="inlineStr">
        <is>
          <t>https://www.ciim.in/jar-app-case-study-revolutionizing-micro-savings-in-india/</t>
        </is>
      </c>
      <c r="K231" s="9" t="inlineStr">
        <is>
          <t>undated</t>
        </is>
      </c>
      <c r="L231" s="9" t="inlineStr">
        <is>
          <t>2026-09-30</t>
        </is>
      </c>
      <c r="M231" s="9" t="inlineStr">
        <is>
          <t>unverified</t>
        </is>
      </c>
      <c r="N231" s="10" t="inlineStr">
        <is>
          <t>Only numeric distributor-commission figure found; a business-school case study, not a filing. Tiger Feathers: 'they don't keep a commission on the sale of gold should a user wish to cash out'. Consistent with SafeGold keeping &lt;1% and a total spread of ~3%. MODEL: base 1.5%, high 2.5% of gross purchase value, once, on BUY only; low 1.0%.</t>
        </is>
      </c>
    </row>
    <row r="232">
      <c r="A232" s="9" t="inlineStr">
        <is>
          <t>LEV-037</t>
        </is>
      </c>
      <c r="B232" s="9" t="inlineStr">
        <is>
          <t>C: Digital gold - economics</t>
        </is>
      </c>
      <c r="C232" s="10" t="inlineStr">
        <is>
          <t>Buy-sell spread on digital gold typically 2-3% (some platforms 2.5-5%), with 3% GST charged on purchase only; SafeGold explains spread covers bullion buy-back discount plus payment gateway, trustee, insurance and custodian fees</t>
        </is>
      </c>
      <c r="D232" s="9" t="inlineStr">
        <is>
          <t>2-3 (typical) / up to 5</t>
        </is>
      </c>
      <c r="E232" s="9" t="inlineStr">
        <is>
          <t>% (excl. 3% GST)</t>
        </is>
      </c>
      <c r="F232" s="10" t="inlineStr">
        <is>
          <t>Retail digital gold in India (SafeGold, MMTC-PAMP, Augmont via partner apps)</t>
        </is>
      </c>
      <c r="G232" s="9" t="inlineStr">
        <is>
          <t>2026</t>
        </is>
      </c>
      <c r="H232" s="9" t="inlineStr">
        <is>
          <t>gross spread</t>
        </is>
      </c>
      <c r="I232" s="9" t="inlineStr">
        <is>
          <t>OroPocket blog SafeGold review 2026; search summaries of SafeGold FAQ</t>
        </is>
      </c>
      <c r="J232" s="9" t="inlineStr">
        <is>
          <t>https://blog.oropocket.com/safegold-review-2026-features-fees-alternatives/</t>
        </is>
      </c>
      <c r="K232" s="9" t="inlineStr">
        <is>
          <t>2026</t>
        </is>
      </c>
      <c r="L232" s="9" t="inlineStr">
        <is>
          <t>2026-09-30</t>
        </is>
      </c>
      <c r="M232" s="9" t="inlineStr">
        <is>
          <t>unverified</t>
        </is>
      </c>
      <c r="N232" s="10" t="inlineStr">
        <is>
          <t>Secondary blogs; SafeGold/MMTC-PAMP pages are JS-rendered or 403 so could not confirm on the supplier's own page. Round-trip cost to a saver = spread + 3% GST ~= 5-6%: a worker who buys and sells within a year likely LOSES money unless gold rises &gt;5-6%.</t>
        </is>
      </c>
    </row>
    <row r="233">
      <c r="A233" s="9" t="inlineStr">
        <is>
          <t>LEV-038</t>
        </is>
      </c>
      <c r="B233" s="9" t="inlineStr">
        <is>
          <t>C: Digital gold - economics</t>
        </is>
      </c>
      <c r="C233" s="10" t="inlineStr">
        <is>
          <t>Custody: free vault storage for 5 years (SafeGold; MMTC-PAMP); thereafter a storage fee may apply (SafeGold quoted variously as 0.3-0.4% p.a. or 0.03-0.04% p.a.); MMTC-PAMP: holders must convert to coins or sell after 5 years; MMTC-PAMP charges 0.005% per month if balance &lt; 2 g after 2 years</t>
        </is>
      </c>
      <c r="D233" s="9" t="inlineStr">
        <is>
          <t>5 years free; then 0.03-0.4% p.a. (sources disagree)</t>
        </is>
      </c>
      <c r="E233" s="9" t="inlineStr">
        <is>
          <t>years; % p.a.</t>
        </is>
      </c>
      <c r="F233" s="10" t="inlineStr">
        <is>
          <t>Digital gold holders</t>
        </is>
      </c>
      <c r="G233" s="9" t="inlineStr">
        <is>
          <t>2026</t>
        </is>
      </c>
      <c r="H233" s="9" t="inlineStr">
        <is>
          <t>n/a</t>
        </is>
      </c>
      <c r="I233" s="9" t="inlineStr">
        <is>
          <t>OroPocket SafeGold review 2026; search summaries of MMTC-PAMP / Paytm Gold terms</t>
        </is>
      </c>
      <c r="J233" s="9" t="inlineStr">
        <is>
          <t>https://blog.oropocket.com/safegold-review-2026-features-fees-alternatives/</t>
        </is>
      </c>
      <c r="K233" s="9" t="inlineStr">
        <is>
          <t>2026</t>
        </is>
      </c>
      <c r="L233" s="9" t="inlineStr">
        <is>
          <t>2026-09-30</t>
        </is>
      </c>
      <c r="M233" s="9" t="inlineStr">
        <is>
          <t>contradicted</t>
        </is>
      </c>
      <c r="N233" s="10" t="inlineStr">
        <is>
          <t>Storage fee sources differ by 10x (0.03-0.04% vs 0.3-0.4%). Who pays: the customer (deducted from gold balance) - not the distributor. For a 5-year model horizon, storage cost to the app = 0.</t>
        </is>
      </c>
    </row>
    <row r="234">
      <c r="A234" s="9" t="inlineStr">
        <is>
          <t>LEV-039</t>
        </is>
      </c>
      <c r="B234" s="9" t="inlineStr">
        <is>
          <t>C: Digital gold - economics</t>
        </is>
      </c>
      <c r="C234" s="10" t="inlineStr">
        <is>
          <t>Minimum purchase: Rs 10 (SafeGold; Jar 'as little as Rs 10 a day'); some platforms Rs 1</t>
        </is>
      </c>
      <c r="D234" s="9" t="inlineStr">
        <is>
          <t>10</t>
        </is>
      </c>
      <c r="E234" s="9" t="inlineStr">
        <is>
          <t>INR</t>
        </is>
      </c>
      <c r="F234" s="10" t="inlineStr">
        <is>
          <t>SafeGold / Jar / partner apps</t>
        </is>
      </c>
      <c r="G234" s="9" t="inlineStr">
        <is>
          <t>2025-09</t>
        </is>
      </c>
      <c r="H234" s="9" t="inlineStr">
        <is>
          <t>n/a</t>
        </is>
      </c>
      <c r="I234" s="9" t="inlineStr">
        <is>
          <t>TechCrunch: Indian fintech Jar turns profitable (18-Sep-2025); OroPocket SafeGold review</t>
        </is>
      </c>
      <c r="J234" s="9" t="inlineStr">
        <is>
          <t>https://techcrunch.com/2025/09/18/indian-fintech-jar-turns-profitable-by-helping-millions-save-in-gold/</t>
        </is>
      </c>
      <c r="K234" s="9" t="inlineStr">
        <is>
          <t>2025-09-18</t>
        </is>
      </c>
      <c r="L234" s="9" t="inlineStr">
        <is>
          <t>2026-09-30</t>
        </is>
      </c>
      <c r="M234" s="9" t="inlineStr">
        <is>
          <t>confirmed</t>
        </is>
      </c>
      <c r="N234" s="10" t="inlineStr">
        <is>
          <t>Rs 10 confirmed for Jar (TechCrunch); PhonePe Daily Savings Rs 10-5,000/day (market_benchmarks SAV-08).</t>
        </is>
      </c>
    </row>
    <row r="235">
      <c r="A235" s="9" t="inlineStr">
        <is>
          <t>LEV-040</t>
        </is>
      </c>
      <c r="B235" s="9" t="inlineStr">
        <is>
          <t>C: Digital gold - Jar behaviour</t>
        </is>
      </c>
      <c r="C235" s="10" t="inlineStr">
        <is>
          <t>Jar: average user saves ~22 times a month; &gt;1 million transactions a day; 20M+ users (Mar-2024); 'Daily savings is our hero feature, and that's what most of our users use it for' (CEO, Sep-2025)</t>
        </is>
      </c>
      <c r="D235" s="9" t="inlineStr">
        <is>
          <t>22 saves/month; 1M+ txns/day</t>
        </is>
      </c>
      <c r="E235" s="9" t="inlineStr">
        <is>
          <t>count</t>
        </is>
      </c>
      <c r="F235" s="10" t="inlineStr">
        <is>
          <t>Jar users (company claims, press release)</t>
        </is>
      </c>
      <c r="G235" s="9" t="inlineStr">
        <is>
          <t>2024-03-27</t>
        </is>
      </c>
      <c r="H235" s="9" t="inlineStr">
        <is>
          <t>n/a</t>
        </is>
      </c>
      <c r="I235" s="9" t="inlineStr">
        <is>
          <t>Deccan Chronicle: Digital Gold Savings App Jar Surpasses 20 Million Users; TechCrunch 18-Sep-2025</t>
        </is>
      </c>
      <c r="J235" s="9" t="inlineStr">
        <is>
          <t>https://www.deccanchronicle.com/news/digital-gold-savings-app-jar-surpasses-20-million-users-887517</t>
        </is>
      </c>
      <c r="K235" s="9" t="inlineStr">
        <is>
          <t>2024-03-27</t>
        </is>
      </c>
      <c r="L235" s="9" t="inlineStr">
        <is>
          <t>2026-09-30</t>
        </is>
      </c>
      <c r="M235" s="9" t="inlineStr">
        <is>
          <t>confirmed</t>
        </is>
      </c>
      <c r="N235" s="10" t="inlineStr">
        <is>
          <t>Company claims. DERIVED: 1M txns/day x 30 / 22 per saver ~= 1.36M active savers = ~7% of 20M registered (if 'average user' means active saver). The SHARE of users saving daily and the average daily amount are NOT published. Outlook Money (Sep-2026) put the average digital-gold ticket at ~Rs 100 (see regulation_rails REG-026, unverified).</t>
        </is>
      </c>
    </row>
    <row r="236">
      <c r="A236" s="9" t="inlineStr">
        <is>
          <t>LEV-041</t>
        </is>
      </c>
      <c r="B236" s="9" t="inlineStr">
        <is>
          <t>C: Digital gold - regulation</t>
        </is>
      </c>
      <c r="C236" s="10" t="inlineStr">
        <is>
          <t>Finance Ministry reportedly consulting RBI, SEBI, banks on a framework to notify digital gold as a 'security' under SCRA 1956 with joint RBI-SEBI oversight and mandatory 1:1 physical backing; no timeline; market ~USD 3 bn</t>
        </is>
      </c>
      <c r="D236" s="9" t="inlineStr">
        <is>
          <t>under consultation (no notification)</t>
        </is>
      </c>
      <c r="E236" s="9" t="inlineStr">
        <is>
          <t>status</t>
        </is>
      </c>
      <c r="F236" s="10" t="inlineStr">
        <is>
          <t>Digital gold sector</t>
        </is>
      </c>
      <c r="G236" s="9" t="inlineStr">
        <is>
          <t>2026-09-18</t>
        </is>
      </c>
      <c r="H236" s="9" t="inlineStr">
        <is>
          <t>n/a</t>
        </is>
      </c>
      <c r="I236" s="9" t="inlineStr">
        <is>
          <t>Whalesbook (18-Sep-2026); Career Ahead (17-Sep-2026); Outlook Money (28-Sep-2026)</t>
        </is>
      </c>
      <c r="J236" s="9" t="inlineStr">
        <is>
          <t>https://www.whalesbook.com/news/English/sebiexchange/Government-Moves-to-Regulate-dollar3B-Digital-Gold-Market/6aaceb59ed7f8e81734fb787</t>
        </is>
      </c>
      <c r="K236" s="9" t="inlineStr">
        <is>
          <t>2026-09-18</t>
        </is>
      </c>
      <c r="L236" s="9" t="inlineStr">
        <is>
          <t>2026-09-30</t>
        </is>
      </c>
      <c r="M236" s="9" t="inlineStr">
        <is>
          <t>unverified</t>
        </is>
      </c>
      <c r="N236" s="10" t="inlineStr">
        <is>
          <t>All secondary, none names a primary source or official; no government/RBI/SEBI document found. No reported restriction on rewards, minimum ticket, distributor licensing or leasing - but if gold becomes a SECURITY, distributors would likely need SEBI registration and SEBI's inducement/rebate bans (REG-082 analogue) could then catch cashback. Treat rewards as legal TODAY, at risk within the model horizon.</t>
        </is>
      </c>
    </row>
    <row r="237">
      <c r="A237" s="9" t="inlineStr">
        <is>
          <t>LEV-042</t>
        </is>
      </c>
      <c r="B237" s="9" t="inlineStr">
        <is>
          <t>C: Digital gold - regulation</t>
        </is>
      </c>
      <c r="C237" s="10" t="inlineStr">
        <is>
          <t>SEBI-registered intermediaries are barred from dealing in digital gold: stock brokers told to stop (NSE, Aug/Sep-2021, after SEBI concern) and investment advisers warned (Oct-2021); SEBI press release 70/2025 (8-Nov-2025) says digital gold is neither a security nor a commodity derivative</t>
        </is>
      </c>
      <c r="D237" s="9" t="inlineStr">
        <is>
          <t>barred for brokers/IAs; no bar found for AMFI-registered MF distributors</t>
        </is>
      </c>
      <c r="E237" s="9" t="inlineStr">
        <is>
          <t>rule</t>
        </is>
      </c>
      <c r="F237" s="10" t="inlineStr">
        <is>
          <t>SEBI-registered stock brokers and investment advisers; AMFI-registered MFDs</t>
        </is>
      </c>
      <c r="G237" s="9" t="inlineStr">
        <is>
          <t>2025-11-08</t>
        </is>
      </c>
      <c r="H237" s="9" t="inlineStr">
        <is>
          <t>n/a</t>
        </is>
      </c>
      <c r="I237" s="9" t="inlineStr">
        <is>
          <t>Moneylife: NSE bars members from selling digital gold after SEBI raises concerns; Business Standard: SEBI warns investment advisers dealing in digital gold (21-Oct-2021); AMFI Master Circular for MFDs (AMFI/MFD-CIR/32/2025-26)</t>
        </is>
      </c>
      <c r="J237" s="9" t="inlineStr">
        <is>
          <t>https://www.moneylife.in/article/nse-bars-members-from-selling-digital-gold-after-sebi-raises-concerns/64952.html</t>
        </is>
      </c>
      <c r="K237" s="9" t="inlineStr">
        <is>
          <t>2021-09</t>
        </is>
      </c>
      <c r="L237" s="9" t="inlineStr">
        <is>
          <t>2026-09-30</t>
        </is>
      </c>
      <c r="M237" s="9" t="inlineStr">
        <is>
          <t>confirmed</t>
        </is>
      </c>
      <c r="N237" s="10" t="inlineStr">
        <is>
          <t>I grepped the AMFI MFD master circular (2025-26) for 'gold' / 'unregulated': no prohibition on MFDs. A secondary search summary claimed SEBI's 2021 circular also covered MFDs - NOT supported by the AMFI circular text; treat as unverified. If the app ever registers as an RIA or broker, digital gold must sit in a separate entity.</t>
        </is>
      </c>
    </row>
    <row r="238">
      <c r="A238" s="9" t="inlineStr">
        <is>
          <t>LEV-043</t>
        </is>
      </c>
      <c r="B238" s="9" t="inlineStr">
        <is>
          <t>C: Digital gold - regulation</t>
        </is>
      </c>
      <c r="C238" s="10" t="inlineStr">
        <is>
          <t>Rewards/cashback on digital gold purchases: no statute or regulator rule found that prohibits them (digital gold is unregulated; governed by GST, contract and consumer-protection law); the SEBI/AMFI ban on MFD rebates and gifts applies to MUTUAL FUNDS only</t>
        </is>
      </c>
      <c r="D238" s="9" t="inlineStr">
        <is>
          <t>no prohibition found</t>
        </is>
      </c>
      <c r="E238" s="9" t="inlineStr">
        <is>
          <t>rule</t>
        </is>
      </c>
      <c r="F238" s="10" t="inlineStr">
        <is>
          <t>Digital gold platforms</t>
        </is>
      </c>
      <c r="G238" s="9" t="inlineStr">
        <is>
          <t>2026-09-30</t>
        </is>
      </c>
      <c r="H238" s="9" t="inlineStr">
        <is>
          <t>n/a</t>
        </is>
      </c>
      <c r="I238" s="9" t="inlineStr">
        <is>
          <t>OroPocket: Digital Gold - Is It Safe, Legal, and Worth It in 2026?; HDFC MF distributor code of conduct (regulation_rails REG-082)</t>
        </is>
      </c>
      <c r="J238" s="9" t="inlineStr">
        <is>
          <t>https://blog.oropocket.com/digital-gold-is-it-safe-legal-and-worth-it-in-2026/</t>
        </is>
      </c>
      <c r="K238" s="9" t="inlineStr">
        <is>
          <t>2026-02</t>
        </is>
      </c>
      <c r="L238" s="9" t="inlineStr">
        <is>
          <t>2026-09-30</t>
        </is>
      </c>
      <c r="M238" s="9" t="inlineStr">
        <is>
          <t>unverified</t>
        </is>
      </c>
      <c r="N238" s="10" t="inlineStr">
        <is>
          <t>Absence of a rule, not a legal opinion. Risks: (1) Prize Chits and Money Circulation Schemes (Banning) Act if rewards are lottery-like (spin-to-win) - no enforcement case found; (2) CCPA dark-patterns guidelines 2023 on gamified nudges; (3) cross-selling rewards funded from MF commission would breach the MFD rebate ban. Needs a lawyer before modelling a reward budget.</t>
        </is>
      </c>
    </row>
    <row r="239">
      <c r="A239" s="9" t="inlineStr">
        <is>
          <t>LEV-044</t>
        </is>
      </c>
      <c r="B239" s="9" t="inlineStr">
        <is>
          <t>C: Digital gold - market</t>
        </is>
      </c>
      <c r="C239" s="10" t="inlineStr">
        <is>
          <t>Digital gold purchases via UPI averaged ~INR 25bn (US$262mn) a month in Jun-Aug 2026, ~1.6 tonnes/month; August up 110% y/y; Jan-2026 INR 39bn, Feb-2026 INR 30.3bn</t>
        </is>
      </c>
      <c r="D239" s="9" t="inlineStr">
        <is>
          <t>~25</t>
        </is>
      </c>
      <c r="E239" s="9" t="inlineStr">
        <is>
          <t>INR billion per month</t>
        </is>
      </c>
      <c r="F239" s="10" t="inlineStr">
        <is>
          <t>Digital gold purchases paid via UPI (NPCI data), all Indian platforms</t>
        </is>
      </c>
      <c r="G239" s="9" t="inlineStr">
        <is>
          <t>2026-08-31</t>
        </is>
      </c>
      <c r="H239" s="9" t="inlineStr">
        <is>
          <t>gross purchases</t>
        </is>
      </c>
      <c r="I239" s="9" t="inlineStr">
        <is>
          <t>World Gold Council: India gold market update - Cautious festive optimism (Kavita Chacko, Sep 2026)</t>
        </is>
      </c>
      <c r="J239" s="9" t="inlineStr">
        <is>
          <t>https://www.gold.org/goldhub/gold-focus/2026/09/india-gold-market-update-cautious-festive-optimism</t>
        </is>
      </c>
      <c r="K239" s="9" t="inlineStr">
        <is>
          <t>2026-09</t>
        </is>
      </c>
      <c r="L239" s="9" t="inlineStr">
        <is>
          <t>2026-09-30</t>
        </is>
      </c>
      <c r="M239" s="9" t="inlineStr">
        <is>
          <t>confirmed</t>
        </is>
      </c>
      <c r="N239" s="10" t="inlineStr">
        <is>
          <t>Jun-Aug average and 110% y/y confirmed on the WGC page; Jan/Feb/May figures from search summaries of earlier WGC monthly notes (not opened). Transaction counts/average ticket not given by WGC. At a 1.5% distributor take, the whole market's distributor pool is ~INR 375 mn/month (~Rs 450 cr/yr) - DERIVED.</t>
        </is>
      </c>
    </row>
    <row r="240">
      <c r="A240" s="9" t="inlineStr">
        <is>
          <t>LEV-045</t>
        </is>
      </c>
      <c r="B240" s="9" t="inlineStr">
        <is>
          <t>D: Employer channel - regulation</t>
        </is>
      </c>
      <c r="C240" s="10" t="inlineStr">
        <is>
          <t>SEBI draft circular (20-May-2026) 'Enabling third party payments in Mutual Funds in certain scenarios': employer may pay for MF units on behalf of employees via PAYROLL DEDUCTION; facility 'available to all listed and EPFO registered companies and the AMCs themselves'; employee opt-in, own-name folio, redemptions only to employee's verified bank account; AMFI to set modalities; effective 30 days after issuance</t>
        </is>
      </c>
      <c r="D240" s="9" t="inlineStr">
        <is>
          <t>draft only - NOT finalised as of 2026-09-30</t>
        </is>
      </c>
      <c r="E240" s="9" t="inlineStr">
        <is>
          <t>status</t>
        </is>
      </c>
      <c r="F240" s="10" t="inlineStr">
        <is>
          <t>Listed and EPFO-registered companies and their employees</t>
        </is>
      </c>
      <c r="G240" s="9" t="inlineStr">
        <is>
          <t>2026-09-30</t>
        </is>
      </c>
      <c r="H240" s="9" t="inlineStr">
        <is>
          <t>n/a</t>
        </is>
      </c>
      <c r="I240" s="9" t="inlineStr">
        <is>
          <t>SEBI: Draft circular for public comments - Enabling third party payments in Mutual Funds in certain scenarios (20-May-2026); SEBI circulars listing (latest 09-Sep-2026)</t>
        </is>
      </c>
      <c r="J240" s="9" t="inlineStr">
        <is>
          <t>https://www.sebi.gov.in/sebi_data/attachdocs/may-2026/1779276447538.pdf</t>
        </is>
      </c>
      <c r="K240" s="9" t="inlineStr">
        <is>
          <t>2026-05-20</t>
        </is>
      </c>
      <c r="L240" s="9" t="inlineStr">
        <is>
          <t>2026-09-30</t>
        </is>
      </c>
      <c r="M240" s="9" t="inlineStr">
        <is>
          <t>confirmed</t>
        </is>
      </c>
      <c r="N240" s="10" t="inlineStr">
        <is>
          <t>Conditions confirmed from SEBI's own PDF. Comments closed 10-Jun-2026. SEBI's circular listing (fetched 30-Sep-2026, entries Jun-Sep 2026, latest 9-Sep) shows NO final circular; no press report of finalisation found. Wording is 'companies' - a proprietorship/partnership facility operator or small contractor may not qualify; staffing firms (TeamLease, Quess - listed and EPFO-registered) WOULD qualify as the payroll employer of flexi staff. Consultation Q1(b) asks whether employers should be barred from routing to group AMCs. Gig platforms paying gig workers are NOT covered (workers are not employees) - see regulation_rails REG-066.</t>
        </is>
      </c>
    </row>
    <row r="241">
      <c r="A241" s="9" t="inlineStr">
        <is>
          <t>LEV-046</t>
        </is>
      </c>
      <c r="B241" s="9" t="inlineStr">
        <is>
          <t>D: Workforce size</t>
        </is>
      </c>
      <c r="C241" s="10" t="inlineStr">
        <is>
          <t>ISF member companies' formal flexi workforce reached 1.91 million in FY26 after adding 1.18 lakh (+8% y/y)</t>
        </is>
      </c>
      <c r="D241" s="9" t="inlineStr">
        <is>
          <t>1.91</t>
        </is>
      </c>
      <c r="E241" s="9" t="inlineStr">
        <is>
          <t>million workers</t>
        </is>
      </c>
      <c r="F241" s="10" t="inlineStr">
        <is>
          <t>Formal flexi staff employed by Indian Staffing Federation member companies</t>
        </is>
      </c>
      <c r="G241" s="9" t="inlineStr">
        <is>
          <t>FY26 (to 31-Mar-2026)</t>
        </is>
      </c>
      <c r="H241" s="9" t="inlineStr">
        <is>
          <t>stock (headcount)</t>
        </is>
      </c>
      <c r="I241" s="9" t="inlineStr">
        <is>
          <t>IBEF: Flexi-staffing industry in India sees 8% YoY growth in new employment in 2025-26: ISF report</t>
        </is>
      </c>
      <c r="J241" s="9" t="inlineStr">
        <is>
          <t>https://www.ibef.org/news/flexi-staffing-industry-in-india-sees-8-yoy-growth-in-new-employment-in-2025-26-isf-report</t>
        </is>
      </c>
      <c r="K241" s="9" t="inlineStr">
        <is>
          <t>2026-06-10</t>
        </is>
      </c>
      <c r="L241" s="9" t="inlineStr">
        <is>
          <t>2026-09-30</t>
        </is>
      </c>
      <c r="M241" s="9" t="inlineStr">
        <is>
          <t>confirmed</t>
        </is>
      </c>
      <c r="N241" s="10" t="inlineStr">
        <is>
          <t>ISF members only (not all staffing). A search summary also cited '7.2 million formal flexi workforce = 1.3% of India's workforce' for FY25 - that is an industry-wide estimate I could not confirm on an ISF page (ISF research page returned 404); record as unverified. Sector split (general vs IT) not in the IBEF summary.</t>
        </is>
      </c>
    </row>
    <row r="242">
      <c r="A242" s="9" t="inlineStr">
        <is>
          <t>LEV-047</t>
        </is>
      </c>
      <c r="B242" s="9" t="inlineStr">
        <is>
          <t>D: Workforce size</t>
        </is>
      </c>
      <c r="C242" s="10" t="inlineStr">
        <is>
          <t>TeamLease headcount Q1 FY27: total 3,41,330 (-3% y/y); General Staffing 2,90,500; Specialised 7,630; Degree Apprenticeship 43,200; 75k gross hiring in the quarter; 30% of gross associate hires first-time job seekers</t>
        </is>
      </c>
      <c r="D242" s="9" t="inlineStr">
        <is>
          <t>290,500 (general staffing associates)</t>
        </is>
      </c>
      <c r="E242" s="9" t="inlineStr">
        <is>
          <t>associates</t>
        </is>
      </c>
      <c r="F242" s="10" t="inlineStr">
        <is>
          <t>TeamLease Services Ltd, consolidated</t>
        </is>
      </c>
      <c r="G242" s="9" t="inlineStr">
        <is>
          <t>2026-06-30</t>
        </is>
      </c>
      <c r="H242" s="9" t="inlineStr">
        <is>
          <t>stock</t>
        </is>
      </c>
      <c r="I242" s="9" t="inlineStr">
        <is>
          <t>TeamLease Investor Presentation Q1 FY27 (NSE filing 29-Jul-2026)</t>
        </is>
      </c>
      <c r="J242" s="9" t="inlineStr">
        <is>
          <t>https://nsearchives.nseindia.com/corporate/TEAMLEASE_29072026162819_TeamLeaseInvestorPresentationQ1FY27.pdf</t>
        </is>
      </c>
      <c r="K242" s="9" t="inlineStr">
        <is>
          <t>2026-07-29</t>
        </is>
      </c>
      <c r="L242" s="9" t="inlineStr">
        <is>
          <t>2026-09-30</t>
        </is>
      </c>
      <c r="M242" s="9" t="inlineStr">
        <is>
          <t>confirmed</t>
        </is>
      </c>
      <c r="N242" s="10" t="inlineStr">
        <is>
          <t>General Staffing revenue Q1 FY27 Rs 2,797 cr at 1.0% EBITDA margin -&gt; DERIVED billing ~Rs 32,100 per associate per month (2,797 cr / 2,90,500 / 3), which includes wages + employer PF/ESI/bonus + staffing fee; take-home is materially lower. Staffing margins of ~1% mean staffing firms have little budget to PAY a savings partner - pitch must be a free employee benefit.</t>
        </is>
      </c>
    </row>
    <row r="243">
      <c r="A243" s="9" t="inlineStr">
        <is>
          <t>LEV-048</t>
        </is>
      </c>
      <c r="B243" s="9" t="inlineStr">
        <is>
          <t>D: Retention</t>
        </is>
      </c>
      <c r="C243" s="10" t="inlineStr">
        <is>
          <t>DERIVED churn from TeamLease: 75k gross hires in Q1 FY27 against a flat total headcount (3,41,330 vs 3,40,600 QoQ) implies ~75k exits in the quarter = ~22% of headcount per quarter</t>
        </is>
      </c>
      <c r="D243" s="9" t="inlineStr">
        <is>
          <t>~22% per quarter (~60-90% annualised)</t>
        </is>
      </c>
      <c r="E243" s="9" t="inlineStr">
        <is>
          <t>% of headcount (derived)</t>
        </is>
      </c>
      <c r="F243" s="10" t="inlineStr">
        <is>
          <t>TeamLease group associates incl. apprentices</t>
        </is>
      </c>
      <c r="G243" s="9" t="inlineStr">
        <is>
          <t>2026-06-30</t>
        </is>
      </c>
      <c r="H243" s="9" t="inlineStr">
        <is>
          <t>gross exits (derived)</t>
        </is>
      </c>
      <c r="I243" s="9" t="inlineStr">
        <is>
          <t>TeamLease Investor Presentation Q1 FY27 (derived)</t>
        </is>
      </c>
      <c r="J243" s="9" t="inlineStr">
        <is>
          <t>https://nsearchives.nseindia.com/corporate/TEAMLEASE_29072026162819_TeamLeaseInvestorPresentationQ1FY27.pdf</t>
        </is>
      </c>
      <c r="K243" s="9" t="inlineStr">
        <is>
          <t>2026-07-29</t>
        </is>
      </c>
      <c r="L243" s="9" t="inlineStr">
        <is>
          <t>2026-09-30</t>
        </is>
      </c>
      <c r="M243" s="9" t="inlineStr">
        <is>
          <t>unverified</t>
        </is>
      </c>
      <c r="N243" s="10" t="inlineStr">
        <is>
          <t>DERIVED, not a company-reported attrition rate: assumes 75k gross hiring is group-wide and that exits = hires - net change (730). Annualisation depends on whether exits concentrate in short-tenure hires (they usually do), so the true 'saver who stays 12 months' share may be higher than 1-(0.22x4). Use only as a cross-check on Deloitte's 21-month tenure.</t>
        </is>
      </c>
    </row>
    <row r="244">
      <c r="A244" s="9" t="inlineStr">
        <is>
          <t>LEV-049</t>
        </is>
      </c>
      <c r="B244" s="9" t="inlineStr">
        <is>
          <t>D: Retention</t>
        </is>
      </c>
      <c r="C244" s="10" t="inlineStr">
        <is>
          <t>Deloitte Blue Collar Workforce Trends 2025: 69% of blue-collar hires are temporary with low permanent conversion; average tenure 21 months; attrition '5-7 percent' (period not stated; doubled from 2-3%); 3% workbench</t>
        </is>
      </c>
      <c r="D244" s="9" t="inlineStr">
        <is>
          <t>tenure 21 months; 69% temporary</t>
        </is>
      </c>
      <c r="E244" s="9" t="inlineStr">
        <is>
          <t>months; % of hires</t>
        </is>
      </c>
      <c r="F244" s="10" t="inlineStr">
        <is>
          <t>200+ companies, 300+ plants, 15+ industries (auto, FMCG, pharma, e-commerce, logistics, healthcare, construction), pan-India</t>
        </is>
      </c>
      <c r="G244" s="9" t="inlineStr">
        <is>
          <t>2025-05-15</t>
        </is>
      </c>
      <c r="H244" s="9" t="inlineStr">
        <is>
          <t>n/a</t>
        </is>
      </c>
      <c r="I244" s="9" t="inlineStr">
        <is>
          <t>Deloitte India: Blue collar workforce trends 2025; press release 'Blue collar wages rise 5-6 percent annually' (15-May-2025)</t>
        </is>
      </c>
      <c r="J244" s="9" t="inlineStr">
        <is>
          <t>https://www.deloitte.com/in/en/services/consulting/services/human-capital/blue-collar-workforce-trends-2025.html</t>
        </is>
      </c>
      <c r="K244" s="9" t="inlineStr">
        <is>
          <t>2025-05-15</t>
        </is>
      </c>
      <c r="L244" s="9" t="inlineStr">
        <is>
          <t>2026-09-30</t>
        </is>
      </c>
      <c r="M244" s="9" t="inlineStr">
        <is>
          <t>confirmed</t>
        </is>
      </c>
      <c r="N244" s="10" t="inlineStr">
        <is>
          <t>'5-7% attrition' is most likely MONTHLY (a 21-month average tenure implies ~4.8%/month or ~57%/yr); Deloitte text does not say. Secondary blogs quote 50-80% annual blue-collar attrition, logistics 25-30%, q-commerce &gt;100% (taggd/salarybox - unverified). MODEL retention for employer channel: 12-month survival ~45-55% (base), 35% low, 65% high - better than gig platforms only if the saver's account is portable across employers.</t>
        </is>
      </c>
    </row>
    <row r="245">
      <c r="A245" s="9" t="inlineStr">
        <is>
          <t>LEV-050</t>
        </is>
      </c>
      <c r="B245" s="9" t="inlineStr">
        <is>
          <t>D: Wages</t>
        </is>
      </c>
      <c r="C245" s="10" t="inlineStr">
        <is>
          <t>Blue-collar wage growth 5-6% a year (healthcare 8%, e-commerce 7%, manufacturing 6%, construction 3.5%); only 2.3% of blue-collar roles pay &gt; Rs 60,000/month; women earn ~0.70x men</t>
        </is>
      </c>
      <c r="D245" s="9" t="inlineStr">
        <is>
          <t>5-6% p.a.; 2.3% of roles &gt; Rs 60k/month</t>
        </is>
      </c>
      <c r="E245" s="9" t="inlineStr">
        <is>
          <t>% ; share of roles</t>
        </is>
      </c>
      <c r="F245" s="10" t="inlineStr">
        <is>
          <t>Deloitte survey sample (200+ companies)</t>
        </is>
      </c>
      <c r="G245" s="9" t="inlineStr">
        <is>
          <t>2025-05-15</t>
        </is>
      </c>
      <c r="H245" s="9" t="inlineStr">
        <is>
          <t>gross wage</t>
        </is>
      </c>
      <c r="I245" s="9" t="inlineStr">
        <is>
          <t>Deloitte India press release: Blue collar wages rise 5-6 percent annually</t>
        </is>
      </c>
      <c r="J245" s="9" t="inlineStr">
        <is>
          <t>https://www.deloitte.com/in/en/about/press-room/blue-collar-wages-rise-5-6-percent-annually.html</t>
        </is>
      </c>
      <c r="K245" s="9" t="inlineStr">
        <is>
          <t>2025-05-15</t>
        </is>
      </c>
      <c r="L245" s="9" t="inlineStr">
        <is>
          <t>2026-09-30</t>
        </is>
      </c>
      <c r="M245" s="9" t="inlineStr">
        <is>
          <t>confirmed</t>
        </is>
      </c>
      <c r="N245" s="10" t="inlineStr">
        <is>
          <t>Median wage level not given by Deloitte.</t>
        </is>
      </c>
    </row>
    <row r="246">
      <c r="A246" s="9" t="inlineStr">
        <is>
          <t>LEV-051</t>
        </is>
      </c>
      <c r="B246" s="9" t="inlineStr">
        <is>
          <t>D: Wages</t>
        </is>
      </c>
      <c r="C246" s="10" t="inlineStr">
        <is>
          <t>Delhi statutory minimum wages (latest order dated 15-Apr-2025, effective 1-Apr-2025): unskilled Rs 18,456/month (Rs 710/day), semi-skilled Rs 20,371, skilled Rs 22,411, graduate/clerical Rs 24,356</t>
        </is>
      </c>
      <c r="D246" s="9" t="inlineStr">
        <is>
          <t>18,456 / 20,371 / 22,411</t>
        </is>
      </c>
      <c r="E246" s="9" t="inlineStr">
        <is>
          <t>INR per month</t>
        </is>
      </c>
      <c r="F246" s="10" t="inlineStr">
        <is>
          <t>Scheduled employments in NCT of Delhi</t>
        </is>
      </c>
      <c r="G246" s="9" t="inlineStr">
        <is>
          <t>2026-09-30 (latest order on Labour Dept site)</t>
        </is>
      </c>
      <c r="H246" s="9" t="inlineStr">
        <is>
          <t>gross (basic + VDA)</t>
        </is>
      </c>
      <c r="I246" s="9" t="inlineStr">
        <is>
          <t>Delhi Labour Department: Current Minimum Wage Rate (order 15-Apr-2025); TeamLease RegTech update</t>
        </is>
      </c>
      <c r="J246" s="9" t="inlineStr">
        <is>
          <t>https://labour.delhi.gov.in/labour/current-minimum-wage-rate</t>
        </is>
      </c>
      <c r="K246" s="9" t="inlineStr">
        <is>
          <t>2025-04-15</t>
        </is>
      </c>
      <c r="L246" s="9" t="inlineStr">
        <is>
          <t>2026-09-30</t>
        </is>
      </c>
      <c r="M246" s="9" t="inlineStr">
        <is>
          <t>corrected</t>
        </is>
      </c>
      <c r="N246" s="10" t="inlineStr">
        <is>
          <t>Official page lists the 15-Apr-2025 order (w.e.f. 1-Apr-2025) as the most recent - no Oct-2025 or Apr-2026 revision posted. One HR calculator site (labourcodecalc.in) shows Rs 20,358 unskilled / Rs 783 per day - NOT supported by the official page; corrected to Rs 18,456. Warehouse associate starting pay Rs 13,000-20,000/month and housekeeping Rs 9,000-14,000/month per job-board blogs (unverified) - i.e. many contract roles pay at or below the statutory floor in practice.</t>
        </is>
      </c>
    </row>
    <row r="247">
      <c r="A247" s="9" t="inlineStr">
        <is>
          <t>LEV-052</t>
        </is>
      </c>
      <c r="B247" s="9" t="inlineStr">
        <is>
          <t>D: Workforce size</t>
        </is>
      </c>
      <c r="C247" s="10" t="inlineStr">
        <is>
          <t>Quess Corp total headcount 4,82,214 (Q1 FY27); General Staffing headcount ~469k with net addition of 3.8k+ in the quarter; ~26% share of ISF flexi headcount (1.8 Mn, ISF 2025); 78% male / 22% female gross adds; General Staffing revenue Rs 3,596 cr, EBITDA Rs 51 cr (1.4%)</t>
        </is>
      </c>
      <c r="D247" s="9" t="inlineStr">
        <is>
          <t>482,214 total; ~469,000 general staffing</t>
        </is>
      </c>
      <c r="E247" s="9" t="inlineStr">
        <is>
          <t>associates</t>
        </is>
      </c>
      <c r="F247" s="10" t="inlineStr">
        <is>
          <t>Quess Corp Ltd, consolidated / General Staffing segment</t>
        </is>
      </c>
      <c r="G247" s="9" t="inlineStr">
        <is>
          <t>2026-06-30</t>
        </is>
      </c>
      <c r="H247" s="9" t="inlineStr">
        <is>
          <t>stock</t>
        </is>
      </c>
      <c r="I247" s="9" t="inlineStr">
        <is>
          <t>Quess Corp Investor Presentation Q1 FY27 (Jul-2026)</t>
        </is>
      </c>
      <c r="J247" s="9" t="inlineStr">
        <is>
          <t>https://www.quesscorp.com/wp-content/uploads/2026/07/Investor-Presentation-Q1FY27.pdf</t>
        </is>
      </c>
      <c r="K247" s="9" t="inlineStr">
        <is>
          <t>2026-07-30</t>
        </is>
      </c>
      <c r="L247" s="9" t="inlineStr">
        <is>
          <t>2026-09-30</t>
        </is>
      </c>
      <c r="M247" s="9" t="inlineStr">
        <is>
          <t>confirmed</t>
        </is>
      </c>
      <c r="N247" s="10" t="inlineStr">
        <is>
          <t>Sector mix of GS headcount Q1'27: M&amp;I (manufacturing &amp; industrials) ~53%, CRT (consumer/retail/telecom) ~19-21%, BFSI ~19%, others 7% (read from chart; labels approximate). Quess cites flexi workforce 'projected to reach 9.16 Mn by FY27' (industry projection, not ISF-members). DERIVED billing per GS associate ~Rs 25,600/month (3,596 cr / 469k / 3) incl. a one-time Rs 176 cr labour-code revenue uplift.</t>
        </is>
      </c>
    </row>
    <row r="248">
      <c r="A248" s="9" t="inlineStr">
        <is>
          <t>LEV-053</t>
        </is>
      </c>
      <c r="B248" s="9" t="inlineStr">
        <is>
          <t>D: Retention</t>
        </is>
      </c>
      <c r="C248" s="10" t="inlineStr">
        <is>
          <t>DERIVED churn from Quess: General Staffing gross additions ~104k in Q1 FY27 (90k in Q4 FY26) vs net addition of ~3.8k on ~466-469k headcount implies ~100k exits in the quarter = ~21% of headcount per quarter</t>
        </is>
      </c>
      <c r="D248" s="9" t="inlineStr">
        <is>
          <t>~21% per quarter</t>
        </is>
      </c>
      <c r="E248" s="9" t="inlineStr">
        <is>
          <t>% of headcount (derived)</t>
        </is>
      </c>
      <c r="F248" s="10" t="inlineStr">
        <is>
          <t>Quess Staffing Solutions (General Staffing) associates</t>
        </is>
      </c>
      <c r="G248" s="9" t="inlineStr">
        <is>
          <t>2026-06-30</t>
        </is>
      </c>
      <c r="H248" s="9" t="inlineStr">
        <is>
          <t>gross exits (derived)</t>
        </is>
      </c>
      <c r="I248" s="9" t="inlineStr">
        <is>
          <t>Quess Corp Investor Presentation Q1 FY27 - 'Q1 FY27 Hiring snapshot' and GS operational performance</t>
        </is>
      </c>
      <c r="J248" s="9" t="inlineStr">
        <is>
          <t>https://www.quesscorp.com/wp-content/uploads/2026/07/Investor-Presentation-Q1FY27.pdf</t>
        </is>
      </c>
      <c r="K248" s="9" t="inlineStr">
        <is>
          <t>2026-07-30</t>
        </is>
      </c>
      <c r="L248" s="9" t="inlineStr">
        <is>
          <t>2026-09-30</t>
        </is>
      </c>
      <c r="M248" s="9" t="inlineStr">
        <is>
          <t>confirmed</t>
        </is>
      </c>
      <c r="N248" s="10" t="inlineStr">
        <is>
          <t>DERIVED but from two company-disclosed numbers. Independently matches TeamLease's ~22%/quarter (LEV-048). Two largest staffing firms, ~7.6 lakh associates combined: a flexi associate's expected stay with ONE employer is ~4-5 quarters on average, with heavy early churn. Gross hires by sector Q1: industrials 28.7k, retail 24.2k, FMCG 14.5k, BFSI 14.1k, telecom 7.8k, e-com &amp; logistics 7.4k.</t>
        </is>
      </c>
    </row>
    <row r="249">
      <c r="A249" s="9" t="inlineStr">
        <is>
          <t>LEV-054</t>
        </is>
      </c>
      <c r="B249" s="9" t="inlineStr">
        <is>
          <t>D: Employer channel - adoption</t>
        </is>
      </c>
      <c r="C249" s="10" t="inlineStr">
        <is>
          <t>UK opt-in vs opt-out payroll savings (Nest Insight autosave trial, SUEZ Recycling, blue-collar-heavy employer): participation at tenure month 4 was 1% under OPT-IN vs 53% under AUTOSAVE (default GBP 40/month)</t>
        </is>
      </c>
      <c r="D249" s="9" t="inlineStr">
        <is>
          <t>1 (opt-in) vs 53 (opt-out)</t>
        </is>
      </c>
      <c r="E249" s="9" t="inlineStr">
        <is>
          <t>% of new joiners participating</t>
        </is>
      </c>
      <c r="F249" s="10" t="inlineStr">
        <is>
          <t>~600 new joiners at SUEZ Recycling and Recovery UK (autosave arm) vs opt-in control</t>
        </is>
      </c>
      <c r="G249" s="9" t="inlineStr">
        <is>
          <t>2022-09-07</t>
        </is>
      </c>
      <c r="H249" s="9" t="inlineStr">
        <is>
          <t>n/a</t>
        </is>
      </c>
      <c r="I249" s="9" t="inlineStr">
        <is>
          <t>Inclusive Money / Nest Insight: Early trial results suggest opt-out payroll saving approach could meaningfully boost employee financial resilience</t>
        </is>
      </c>
      <c r="J249" s="9" t="inlineStr">
        <is>
          <t>https://www.inclusivemoney.org.uk/autosave-trial-early-findings/</t>
        </is>
      </c>
      <c r="K249" s="9" t="inlineStr">
        <is>
          <t>2022-09-07</t>
        </is>
      </c>
      <c r="L249" s="9" t="inlineStr">
        <is>
          <t>2026-09-30</t>
        </is>
      </c>
      <c r="M249" s="9" t="inlineStr">
        <is>
          <t>confirmed</t>
        </is>
      </c>
      <c r="N249" s="10" t="inlineStr">
        <is>
          <t>UK evidence, not India - but it is the cleanest measurement of opt-in payroll savings take-up. SEBI's Indian draft REQUIRES employee opt-in ('only interested employees may opt'), so the India channel starts from the 1% end unless the employer actively promotes it. Avg balance after 4 months ~GBP 130 (autosave) vs ~GBP 29 (opt-in).</t>
        </is>
      </c>
    </row>
    <row r="250">
      <c r="A250" s="9" t="inlineStr">
        <is>
          <t>LEV-055</t>
        </is>
      </c>
      <c r="B250" s="9" t="inlineStr">
        <is>
          <t>D: Employer channel - adoption</t>
        </is>
      </c>
      <c r="C250" s="10" t="inlineStr">
        <is>
          <t>Refyne (earned wage access, employer-integrated) company claim: adoption 'between 50% to 70% within 15 days of launching with a partner company'; &gt;100 employers, &gt;300,000 employees (Aug-2021); later '150+ firms incl. TeamLease, Shadowfax, Rebel Foods ... 700,000 employees' (early 2022); employee pays a flat per-transaction fee, 0% interest</t>
        </is>
      </c>
      <c r="D250" s="9" t="inlineStr">
        <is>
          <t>50-70</t>
        </is>
      </c>
      <c r="E250" s="9" t="inlineStr">
        <is>
          <t>% of covered employees adopting within 15 days (company claim)</t>
        </is>
      </c>
      <c r="F250" s="10" t="inlineStr">
        <is>
          <t>Refyne partner employers' employees</t>
        </is>
      </c>
      <c r="G250" s="9" t="inlineStr">
        <is>
          <t>2021-08-03</t>
        </is>
      </c>
      <c r="H250" s="9" t="inlineStr">
        <is>
          <t>n/a</t>
        </is>
      </c>
      <c r="I250" s="9" t="inlineStr">
        <is>
          <t>People Matters: How Earned Wage Access platform Refyne aims to bolster financial wellness of India's workforce (3-Aug-2021); TechCrunch (11-Jan-2022)</t>
        </is>
      </c>
      <c r="J250" s="9" t="inlineStr">
        <is>
          <t>https://www.peoplematters.in/article/compensation-benefits/how-earned-wage-access-platform-refyne-aims-to-bolster-financial-wellness-of-indias-workforce-30253</t>
        </is>
      </c>
      <c r="K250" s="9" t="inlineStr">
        <is>
          <t>2021-08-03</t>
        </is>
      </c>
      <c r="L250" s="9" t="inlineStr">
        <is>
          <t>2026-09-30</t>
        </is>
      </c>
      <c r="M250" s="9" t="inlineStr">
        <is>
          <t>unverified</t>
        </is>
      </c>
      <c r="N250" s="10" t="inlineStr">
        <is>
          <t>Company claim from 2021; 'adoption' undefined (sign-up vs withdrawal). EWA solves a LIQUIDITY need (pull), savings is a push product - do not transfer this rate to a savings product. Refyne FY25 revenue Rs 88.9 cr (+48.5%; FY24 Rs 59.9 cr) per Inc42 company page; FY24 net loss Rs 33.9 cr (search snippet). Refyne's own list includes TeamLease as a client - staffing firms DO adopt worker-finance benefits.</t>
        </is>
      </c>
    </row>
    <row r="251">
      <c r="A251" s="9" t="inlineStr">
        <is>
          <t>LEV-056</t>
        </is>
      </c>
      <c r="B251" s="9" t="inlineStr">
        <is>
          <t>D: Employer channel - providers</t>
        </is>
      </c>
      <c r="C251" s="10" t="inlineStr">
        <is>
          <t>Employer-channel financial-wellness providers in India: Jify (EWA, digital gold from Rs 1, rewards from 140+ brands; acquired by Moneyview Sep-2024; '250+ companies'); SalarySe (Credit-on-UPI, FDs; Series A USD 11.3M Oct-2025 led by Flourish; 100+ enterprise clients, 1.5M employees COVERED; target 1,000+ companies / 20M employees in 2 years); Refyne (EWA, see LEV-055)</t>
        </is>
      </c>
      <c r="D251" s="9" t="inlineStr">
        <is>
          <t>1.5M covered (SalarySe); 250+ employers (Jify)</t>
        </is>
      </c>
      <c r="E251" s="9" t="inlineStr">
        <is>
          <t>employees covered; employers</t>
        </is>
      </c>
      <c r="F251" s="10" t="inlineStr">
        <is>
          <t>Indian employer-integrated fintechs</t>
        </is>
      </c>
      <c r="G251" s="9" t="inlineStr">
        <is>
          <t>2025-10</t>
        </is>
      </c>
      <c r="H251" s="9" t="inlineStr">
        <is>
          <t>covered (not active users)</t>
        </is>
      </c>
      <c r="I251" s="9" t="inlineStr">
        <is>
          <t>Entrepreneur India: SalarySe raises $11.3 Mn Series A led by Flourish Ventures; Jify website (how it works / about)</t>
        </is>
      </c>
      <c r="J251" s="9" t="inlineStr">
        <is>
          <t>https://www.entrepreneur.com/en-in/news-and-trends/salaryse-raises-113-mn-series-a-led-by-flourish-ventures/498948</t>
        </is>
      </c>
      <c r="K251" s="9" t="inlineStr">
        <is>
          <t>2025-10</t>
        </is>
      </c>
      <c r="L251" s="9" t="inlineStr">
        <is>
          <t>2026-09-30</t>
        </is>
      </c>
      <c r="M251" s="9" t="inlineStr">
        <is>
          <t>confirmed</t>
        </is>
      </c>
      <c r="N251" s="10" t="inlineStr">
        <is>
          <t>'Employees covered' = headcount at client employers, NOT users; no provider publishes active-user share or employer-channel CAC. SalarySe clients are IT/GCC/BFSI salaried - white-collar, not blue-collar. Minvest: only a Play Store listing found (wealth app), no employer-channel data. Moneyview owning Jify shows lenders buy employer channels to originate loans - a plausible acquirer/partner.</t>
        </is>
      </c>
    </row>
    <row r="252">
      <c r="A252" s="9" t="inlineStr">
        <is>
          <t>LEV-057</t>
        </is>
      </c>
      <c r="B252" s="9" t="inlineStr">
        <is>
          <t>D: Employer channel - CAC</t>
        </is>
      </c>
      <c r="C252" s="10" t="inlineStr">
        <is>
          <t>Employer-channel CAC for payroll savings / EWA in India</t>
        </is>
      </c>
      <c r="D252" s="9" t="inlineStr"/>
      <c r="E252" s="9" t="inlineStr">
        <is>
          <t>INR per active user</t>
        </is>
      </c>
      <c r="F252" s="10" t="inlineStr">
        <is>
          <t>Indian EWA / payroll-savings providers</t>
        </is>
      </c>
      <c r="G252" s="9" t="inlineStr">
        <is>
          <t>2026-09-30</t>
        </is>
      </c>
      <c r="H252" s="9" t="inlineStr">
        <is>
          <t>n/a</t>
        </is>
      </c>
      <c r="I252" s="9" t="inlineStr">
        <is>
          <t>(none found)</t>
        </is>
      </c>
      <c r="J252" s="9" t="inlineStr"/>
      <c r="K252" s="9" t="inlineStr"/>
      <c r="L252" s="9" t="inlineStr">
        <is>
          <t>2026-09-30</t>
        </is>
      </c>
      <c r="M252" s="9" t="inlineStr">
        <is>
          <t>unverified</t>
        </is>
      </c>
      <c r="N252" s="10" t="inlineStr">
        <is>
          <t>No provider (Refyne, Jify, SalarySe, Minvest) discloses CAC or cost per activated employee. Proxy only: Amica (Jupiter's NBFC) pays its parent app 2-4% of AUM for customer acquisition + tech (LEV-028); Moneyview marketing 1.9% of disbursal (LEV-004 notes).</t>
        </is>
      </c>
    </row>
    <row r="253">
      <c r="A253" s="9" t="inlineStr">
        <is>
          <t>LEV-058</t>
        </is>
      </c>
      <c r="B253" s="9" t="inlineStr">
        <is>
          <t>D: Workforce size</t>
        </is>
      </c>
      <c r="C253" s="10" t="inlineStr">
        <is>
          <t>EPFO FY24: contributing members rose 7.6% to 7.37 crore; contributing employers 7.66 lakh (+6.6%). FY25: 1,22,89,244 new members enrolled; corpus Rs 28.4 trillion</t>
        </is>
      </c>
      <c r="D253" s="9" t="inlineStr">
        <is>
          <t>7.37 crore members (FY24)</t>
        </is>
      </c>
      <c r="E253" s="9" t="inlineStr">
        <is>
          <t>members</t>
        </is>
      </c>
      <c r="F253" s="10" t="inlineStr">
        <is>
          <t>EPFO contributing members (all wage levels; formal establishments with 20+ workers)</t>
        </is>
      </c>
      <c r="G253" s="9" t="inlineStr">
        <is>
          <t>FY24 / FY25</t>
        </is>
      </c>
      <c r="H253" s="9" t="inlineStr">
        <is>
          <t>stock (contributing)</t>
        </is>
      </c>
      <c r="I253" s="9" t="inlineStr">
        <is>
          <t>Business Standard: Employers up 6.6% at 766,000; members rise 7.6% in FY24: EPFO report; EPFO Annual Report 2024-25 (search summary)</t>
        </is>
      </c>
      <c r="J253" s="9" t="inlineStr">
        <is>
          <t>https://www.business-standard.com/economy/news/employers-up-6-6-at-766-000-members-rise-7-6-in-fy24-epfo-report-124111101101_1.html</t>
        </is>
      </c>
      <c r="K253" s="9" t="inlineStr">
        <is>
          <t>2024-11-11</t>
        </is>
      </c>
      <c r="L253" s="9" t="inlineStr">
        <is>
          <t>2026-09-30</t>
        </is>
      </c>
      <c r="M253" s="9" t="inlineStr">
        <is>
          <t>confirmed</t>
        </is>
      </c>
      <c r="N253" s="10" t="inlineStr">
        <is>
          <t>No official blue-collar split of EPFO members exists. Quess cites '15+ Mn net adds to EPFO in FY25'. These EPFO-registered establishments are exactly the population SEBI's draft payroll facility would cover (LEV-045). FY24 member count via search snippet of BS (page not opened).</t>
        </is>
      </c>
    </row>
    <row r="254">
      <c r="A254" s="9" t="inlineStr">
        <is>
          <t>LEV-059</t>
        </is>
      </c>
      <c r="B254" s="9" t="inlineStr">
        <is>
          <t>A: DLG economics</t>
        </is>
      </c>
      <c r="C254" s="10" t="inlineStr">
        <is>
          <t>Moneyview RHP (primary): fees and commission income (origination + servicing fees paid by partner REs) vs average OFF-BOOK AUM</t>
        </is>
      </c>
      <c r="D254" s="9" t="inlineStr">
        <is>
          <t>13.3% (FY26: 1,899.5 cr / avg off-book AUM 14,295 cr); 12.6% (FY25: 1,486.8 / 11,815)</t>
        </is>
      </c>
      <c r="E254" s="9" t="inlineStr">
        <is>
          <t>% of average off-book AUM per year (derived)</t>
        </is>
      </c>
      <c r="F254" s="10" t="inlineStr">
        <is>
          <t>Moneyview Ltd consolidated; off-book AUM = partner-funded unsecured personal loans (Mar-24 10,847 cr; Mar-25 12,782 cr; Mar-26 15,809 cr)</t>
        </is>
      </c>
      <c r="G254" s="9" t="inlineStr">
        <is>
          <t>FY26</t>
        </is>
      </c>
      <c r="H254" s="9" t="inlineStr">
        <is>
          <t>gross fee, before DLG expense and before sourcing/servicing cost</t>
        </is>
      </c>
      <c r="I254" s="9" t="inlineStr">
        <is>
          <t>Moneyview Ltd Red Herring Prospectus dated 20-Sep-2026 (pp. 214-216, 382-398)</t>
        </is>
      </c>
      <c r="J254" s="9" t="inlineStr">
        <is>
          <t>https://moneyview.in/images/Red-Herring-Prospectus.pdf</t>
        </is>
      </c>
      <c r="K254" s="9" t="inlineStr">
        <is>
          <t>2026-09-20</t>
        </is>
      </c>
      <c r="L254" s="9" t="inlineStr">
        <is>
          <t>2026-09-30</t>
        </is>
      </c>
      <c r="M254" s="9" t="inlineStr">
        <is>
          <t>confirmed</t>
        </is>
      </c>
      <c r="N254" s="10" t="inlineStr">
        <is>
          <t>DERIVED from RHP figures (fees &amp; commission income Rs 18,994.55 mn FY26, Rs 14,867.98 mn FY25; off-book AUM table). RHP: 'For loans facilitated through Platform Partners, we earn origination fees ... and servicing fees ... We also share credit losses through DLG of up to 5%.' New products (EWA, gold, FD, cards, insurance) 'not material'. Partner-loan disbursals are NOT split from WFPL disbursals in the RHP. If WFPL's share of FY26 disbursals ~ its 26% share of AUM, partner disbursals ~Rs 17,100 cr and fee income = ~11% of PARTNER DISBURSAL - an estimate, not a disclosed figure. DLG covers ~78% of that partner volume (13,272 cr).</t>
        </is>
      </c>
    </row>
    <row r="255">
      <c r="A255" s="9" t="inlineStr">
        <is>
          <t>LEV-060</t>
        </is>
      </c>
      <c r="B255" s="9" t="inlineStr">
        <is>
          <t>A: DLG economics</t>
        </is>
      </c>
      <c r="C255" s="10" t="inlineStr">
        <is>
          <t>Moneyview RHP (primary): default loss guarantee EXPENSE vs DLG disbursals</t>
        </is>
      </c>
      <c r="D255" s="9" t="inlineStr">
        <is>
          <t>3.40% (FY26: 451.03 cr / 13,271.8 cr); 2.85% (FY25: 321.69 / 11,282.5); 2.10% (Q1 FY27: 101.30 / 4,834.7, cohorts unseasoned)</t>
        </is>
      </c>
      <c r="E255" s="9" t="inlineStr">
        <is>
          <t>% of DLG disbursal (derived)</t>
        </is>
      </c>
      <c r="F255" s="10" t="inlineStr">
        <is>
          <t>Moneyview DLG partnerships (16 REs in FY26)</t>
        </is>
      </c>
      <c r="G255" s="9" t="inlineStr">
        <is>
          <t>FY26</t>
        </is>
      </c>
      <c r="H255" s="9" t="inlineStr">
        <is>
          <t>net loss paid/provided under DLG</t>
        </is>
      </c>
      <c r="I255" s="9" t="inlineStr">
        <is>
          <t>Moneyview Ltd Red Herring Prospectus dated 20-Sep-2026 (MD&amp;A, impairment of financial instruments; Objects of the Issue table p.136)</t>
        </is>
      </c>
      <c r="J255" s="9" t="inlineStr">
        <is>
          <t>https://moneyview.in/images/Red-Herring-Prospectus.pdf</t>
        </is>
      </c>
      <c r="K255" s="9" t="inlineStr">
        <is>
          <t>2026-09-20</t>
        </is>
      </c>
      <c r="L255" s="9" t="inlineStr">
        <is>
          <t>2026-09-30</t>
        </is>
      </c>
      <c r="M255" s="9" t="inlineStr">
        <is>
          <t>confirmed</t>
        </is>
      </c>
      <c r="N255" s="10" t="inlineStr">
        <is>
          <t>Expense in a year relates partly to earlier cohorts, so ratio to same-year disbursal is approximate. Shows actual DLG payout ~3-3.5% of DLG disbursal, BELOW the 5% cap, for a mid-prime book (monetised users' avg income Rs 47k/month). For thin-file gig borrowers (CRIF 10-50K loans 6% 90+ at 10 MOB) the 5% cap is likely to be EXHAUSTED - base case DLG cost = 5% of disbursal. DLG outstanding Rs 1,060.8 cr = 43.9% of net worth (Jun-26).</t>
        </is>
      </c>
    </row>
    <row r="256">
      <c r="A256" s="9" t="inlineStr">
        <is>
          <t>LEV-061</t>
        </is>
      </c>
      <c r="B256" s="9" t="inlineStr">
        <is>
          <t>A: DLG economics</t>
        </is>
      </c>
      <c r="C256" s="10" t="inlineStr">
        <is>
          <t>DERIVED comparison: a DLG-bearing, full-servicing LSP earns roughly 11% of partner disbursal in fees (Moneyview blend, ~78% DLG) vs ~1-3% one-off for a no-risk DSA/marketplace; net of DLG losses (~3.4% of DLG disbursal) the LSP keeps ~8-9% before its own sourcing (1.9% of disbursal) and servicing costs</t>
        </is>
      </c>
      <c r="D256" s="9" t="inlineStr">
        <is>
          <t>~11 gross / ~8-9 net of DLG (DLG-heavy LSP) vs 1-3 (DSA, no DLG)</t>
        </is>
      </c>
      <c r="E256" s="9" t="inlineStr">
        <is>
          <t>% of disbursal (derived)</t>
        </is>
      </c>
      <c r="F256" s="10" t="inlineStr">
        <is>
          <t>Moneyview partner book FY26 vs DSA payout norms</t>
        </is>
      </c>
      <c r="G256" s="9" t="inlineStr">
        <is>
          <t>FY26</t>
        </is>
      </c>
      <c r="H256" s="9" t="inlineStr">
        <is>
          <t>gross and net-of-DLG shown</t>
        </is>
      </c>
      <c r="I256" s="9" t="inlineStr">
        <is>
          <t>Derived from LEV-059, LEV-060 (Moneyview RHP) and LEV-009 (DSA payouts)</t>
        </is>
      </c>
      <c r="J256" s="9" t="inlineStr">
        <is>
          <t>https://moneyview.in/images/Red-Herring-Prospectus.pdf</t>
        </is>
      </c>
      <c r="K256" s="9" t="inlineStr">
        <is>
          <t>2026-09-20</t>
        </is>
      </c>
      <c r="L256" s="9" t="inlineStr">
        <is>
          <t>2026-09-30</t>
        </is>
      </c>
      <c r="M256" s="9" t="inlineStr">
        <is>
          <t>unverified</t>
        </is>
      </c>
      <c r="N256" s="10" t="inlineStr">
        <is>
          <t>NOT a like-for-like published comparison: the LSP fee also pays for servicing and collections over the loan's life (a DSA does neither) and the RHP does not split DLG vs non-DLG partner fees. The only third-party take-rate figure (2.5-4.5%, anonymous blog, LEV-008) conflicts with this derivation - it may be ORIGINATION fee only, excluding servicing fees. Treat the true DLG premium as UNVERIFIED; model range 3% (low) / 6% (base) / 9% (high) of disbursal for a small new LSP with 5% DLG, vs 1.5% without.</t>
        </is>
      </c>
    </row>
    <row r="257">
      <c r="A257" s="9" t="inlineStr">
        <is>
          <t>LEV-062</t>
        </is>
      </c>
      <c r="B257" s="9" t="inlineStr">
        <is>
          <t>B: Own NBFC - cost of funds</t>
        </is>
      </c>
      <c r="C257" s="10" t="inlineStr">
        <is>
          <t>Moneyview RHP (primary): average cost of borrowings (finance cost / average borrowings, consolidated, essentially WFPL)</t>
        </is>
      </c>
      <c r="D257" s="9" t="inlineStr">
        <is>
          <t>14.74 (FY26) / 14.44 (FY25) / 12.71 (FY24) / 14.14 (Q1 FY27 annualised)</t>
        </is>
      </c>
      <c r="E257" s="9" t="inlineStr">
        <is>
          <t>% p.a.</t>
        </is>
      </c>
      <c r="F257" s="10" t="inlineStr">
        <is>
          <t>Moneyview Ltd consolidated borrowings (Rs 5,157 cr at Mar-26); 16.3% floating-rate</t>
        </is>
      </c>
      <c r="G257" s="9" t="inlineStr">
        <is>
          <t>FY26</t>
        </is>
      </c>
      <c r="H257" s="9" t="inlineStr">
        <is>
          <t>all-in (finance cost incl. fees)</t>
        </is>
      </c>
      <c r="I257" s="9" t="inlineStr">
        <is>
          <t>Moneyview Ltd Red Herring Prospectus dated 20-Sep-2026 (Risk Factors, p.59)</t>
        </is>
      </c>
      <c r="J257" s="9" t="inlineStr">
        <is>
          <t>https://moneyview.in/images/Red-Herring-Prospectus.pdf</t>
        </is>
      </c>
      <c r="K257" s="9" t="inlineStr">
        <is>
          <t>2026-09-20</t>
        </is>
      </c>
      <c r="L257" s="9" t="inlineStr">
        <is>
          <t>2026-09-30</t>
        </is>
      </c>
      <c r="M257" s="9" t="inlineStr">
        <is>
          <t>corrected</t>
        </is>
      </c>
      <c r="N257" s="10" t="inlineStr">
        <is>
          <t>CORRECTS LEV-014/LEV-016 period labels: 14.44% is FY25; FY26 was HIGHER at 14.74% (rates did not fall for a scaling unsecured lender despite repo cuts). Interest income on portfolio loans Rs 1,312.7 cr FY26 on avg gross loans Rs 4,752 cr = 27.6% yield (derived).</t>
        </is>
      </c>
    </row>
    <row r="258">
      <c r="A258" s="9" t="inlineStr">
        <is>
          <t>LEV-063</t>
        </is>
      </c>
      <c r="B258" s="9" t="inlineStr">
        <is>
          <t>B: Own NBFC - leverage</t>
        </is>
      </c>
      <c r="C258" s="10" t="inlineStr">
        <is>
          <t>Moneyview's NBFC WFPL (primary): total equity Rs 1,527.8 cr, borrowings Rs 4,885.2 cr, gross loans Rs 5,571.3 cr at 31-Mar-2026 -&gt; debt/equity 3.2x, equity = 27% of loans; IPO to inject Rs 250 cr more equity in FY27 to raise Tier I and improve rating</t>
        </is>
      </c>
      <c r="D258" s="9" t="inlineStr">
        <is>
          <t>3.2x D/E; equity 27% of gross loans</t>
        </is>
      </c>
      <c r="E258" s="9" t="inlineStr">
        <is>
          <t>x; %</t>
        </is>
      </c>
      <c r="F258" s="10" t="inlineStr">
        <is>
          <t>Whizdm Finance Pvt Ltd (NBFC-ML) standalone</t>
        </is>
      </c>
      <c r="G258" s="9" t="inlineStr">
        <is>
          <t>2026-03-31</t>
        </is>
      </c>
      <c r="H258" s="9" t="inlineStr">
        <is>
          <t>n/a</t>
        </is>
      </c>
      <c r="I258" s="9" t="inlineStr">
        <is>
          <t>Moneyview Ltd Red Herring Prospectus dated 20-Sep-2026 (Objects of the Issue - Investment in WFPL)</t>
        </is>
      </c>
      <c r="J258" s="9" t="inlineStr">
        <is>
          <t>https://moneyview.in/images/Red-Herring-Prospectus.pdf</t>
        </is>
      </c>
      <c r="K258" s="9" t="inlineStr">
        <is>
          <t>2026-09-20</t>
        </is>
      </c>
      <c r="L258" s="9" t="inlineStr">
        <is>
          <t>2026-09-30</t>
        </is>
      </c>
      <c r="M258" s="9" t="inlineStr">
        <is>
          <t>confirmed</t>
        </is>
      </c>
      <c r="N258" s="10" t="inlineStr">
        <is>
          <t>DERIVED ratios from RHP figures. WFPL FY26 revenue Rs 1,517.5 cr, PAT Rs 150.1 cr (RoA ~3.2% on avg loans, derived). Peer range: KreditBee 1.16x, Kissht 1.7x, Groww 1.09x, Amica 2.1x, Akara 1.8x (managed). MODEL: equity = 25-35% of loan book for a young unsecured NBFC (regulatory 15% CRAR is not the binding constraint - lenders and raters are).</t>
        </is>
      </c>
    </row>
    <row r="259">
      <c r="A259" s="9" t="inlineStr">
        <is>
          <t>LEV-064</t>
        </is>
      </c>
      <c r="B259" s="9" t="inlineStr">
        <is>
          <t>A: DLG economics</t>
        </is>
      </c>
      <c r="C259" s="10" t="inlineStr">
        <is>
          <t>Kissht/OnEMI RHP (primary): sourcing + servicing fees (plus performance-linked income) on off-book loans, all of which carry FLDG ('We provide FLDG on our 100-0 and co-lending arrangements'), vs average off-book AUM</t>
        </is>
      </c>
      <c r="D259" s="9" t="inlineStr">
        <is>
          <t>17.4% (FY25: 238.19 cr / avg off-book AUM 1,370.6 cr); 16.8% (FY24: 163.96 / 973.2)</t>
        </is>
      </c>
      <c r="E259" s="9" t="inlineStr">
        <is>
          <t>% of average off-book AUM per year (derived)</t>
        </is>
      </c>
      <c r="F259" s="10" t="inlineStr">
        <is>
          <t>OnEMI Technology Solutions consolidated; off-book AUM Mar-23 817 cr, Mar-24 1,129 cr, Mar-25 1,612 cr, Dec-25 2,911 cr; avg contractual tenure 13.5 months</t>
        </is>
      </c>
      <c r="G259" s="9" t="inlineStr">
        <is>
          <t>FY25</t>
        </is>
      </c>
      <c r="H259" s="9" t="inlineStr">
        <is>
          <t>gross fee before FLDG losses</t>
        </is>
      </c>
      <c r="I259" s="9" t="inlineStr">
        <is>
          <t>OnEMI Technology Solutions Ltd Red Herring Prospectus (Apr-2026), MD&amp;A and Summary of key metrics</t>
        </is>
      </c>
      <c r="J259" s="9" t="inlineStr">
        <is>
          <t>https://www.nuvama.com/wp-content/uploads/2026/04/Project-NorthStar-RHP-Filing-version.pdf</t>
        </is>
      </c>
      <c r="K259" s="9" t="inlineStr">
        <is>
          <t>2026-04-25</t>
        </is>
      </c>
      <c r="L259" s="9" t="inlineStr">
        <is>
          <t>2026-09-30</t>
        </is>
      </c>
      <c r="M259" s="9" t="inlineStr">
        <is>
          <t>confirmed</t>
        </is>
      </c>
      <c r="N259" s="10" t="inlineStr">
        <is>
          <t>DERIVED ratio from RHP figures; fees 'calculated in accordance with pre-agreed contractual arrangements'. FLDG capped at 5% of disbursed portfolio (RHP accounting note). 9M FY26 fees Rs 413.85 cr. Tier-I deduction for 'credit enhancement &amp; FLDG cover' Rs 47.9 cr (FY25). Kissht's product APR up to ~36% and avg lending rate ~30.7%, i.e. the FLDG-bearing LSP collects roughly half the borrower's interest as fees. Disbursal split on/off-book not disclosed, so no %-of-disbursal figure.</t>
        </is>
      </c>
    </row>
    <row r="260">
      <c r="A260" s="9" t="inlineStr">
        <is>
          <t>LEV-065</t>
        </is>
      </c>
      <c r="B260" s="9" t="inlineStr">
        <is>
          <t>A: DLG economics</t>
        </is>
      </c>
      <c r="C260" s="10" t="inlineStr">
        <is>
          <t>No-DLG marketplace benchmark: Paisabazaar (PB Fintech) core credit revenue Rs 123 cr in Q4 FY26 vs core ONLINE lending disbursals Rs 2,630 cr in the same quarter</t>
        </is>
      </c>
      <c r="D260" s="9" t="inlineStr">
        <is>
          <t>&lt;= 4.7 (123 / 2,630; includes credit-card issuance fees, so loan-only take is lower)</t>
        </is>
      </c>
      <c r="E260" s="9" t="inlineStr">
        <is>
          <t>% of online disbursal (derived upper bound)</t>
        </is>
      </c>
      <c r="F260" s="10" t="inlineStr">
        <is>
          <t>Paisabazaar core online credit marketplace (no balance-sheet risk / no DLG disclosed)</t>
        </is>
      </c>
      <c r="G260" s="9" t="inlineStr">
        <is>
          <t>2026-03-31 (Q4 FY26)</t>
        </is>
      </c>
      <c r="H260" s="9" t="inlineStr">
        <is>
          <t>gross revenue</t>
        </is>
      </c>
      <c r="I260" s="9" t="inlineStr">
        <is>
          <t>Multibagg: PB Fintech Q4 FY26 results (from company results); search summary of PB Fintech disclosures</t>
        </is>
      </c>
      <c r="J260" s="9" t="inlineStr">
        <is>
          <t>https://www.multibagg.ai/market-pulse/articles/pb-fintech-q4-fy26-results-cmou2yobbsusfo50jdcvbpqxi</t>
        </is>
      </c>
      <c r="K260" s="9" t="inlineStr">
        <is>
          <t>2026-05</t>
        </is>
      </c>
      <c r="L260" s="9" t="inlineStr">
        <is>
          <t>2026-09-30</t>
        </is>
      </c>
      <c r="M260" s="9" t="inlineStr">
        <is>
          <t>unverified</t>
        </is>
      </c>
      <c r="N260" s="10" t="inlineStr">
        <is>
          <t>DERIVED and an UPPER bound: core credit revenue also includes card-issuance commissions (3.5 lakh cards in FY26 per search summary). A secondary blog put Paisabazaar's PL take rate at 1-2% and another summary cited 4.9% in Q1 FY26 - sources disagree. The FY26 'total lending disbursal Rs 30,740 cr' includes non-online (PB Connect/offline) channels and is NOT the denominator for 123 cr. Use as the no-DLG ceiling: ~2-4% of disbursal, origination only, no servicing.</t>
        </is>
      </c>
    </row>
    <row r="261">
      <c r="A261" s="9" t="inlineStr">
        <is>
          <t>LEV-066</t>
        </is>
      </c>
      <c r="B261" s="9" t="inlineStr">
        <is>
          <t>B: Own NBFC - credit cost</t>
        </is>
      </c>
      <c r="C261" s="10" t="inlineStr">
        <is>
          <t>CRIF vintage 90+ DPD peaks by ticket size (all lenders): &lt;Rs 10K 8.9% at 10 MOB; Rs 10-50K 6.0% at 10 MOB; &gt;Rs 50K 3.6% at 34 MOB; NBFCs worse (&lt;10K 9.5%, 10-50K 7.2%)</t>
        </is>
      </c>
      <c r="D261" s="9" t="inlineStr">
        <is>
          <t>6.0-7.2 (Rs 10-50K); 8.9-9.5 (&lt;Rs 10K)</t>
        </is>
      </c>
      <c r="E261" s="9" t="inlineStr">
        <is>
          <t>% of loans 90+ DPD (count-based vintage)</t>
        </is>
      </c>
      <c r="F261" s="10" t="inlineStr">
        <is>
          <t>Indian personal loans by ticket size, CRIF bureau data, H1 FY25</t>
        </is>
      </c>
      <c r="G261" s="9" t="inlineStr">
        <is>
          <t>2024-09-30</t>
        </is>
      </c>
      <c r="H261" s="9" t="inlineStr">
        <is>
          <t>gross (before recoveries)</t>
        </is>
      </c>
      <c r="I261" s="9" t="inlineStr">
        <is>
          <t>CRIF High Mark - DLAI FinTech Barometer Vol II (Jan 2025) - cross-reference to market_benchmarks.csv MAC-03</t>
        </is>
      </c>
      <c r="J261" s="9" t="inlineStr">
        <is>
          <t>https://www.crifhighmark.com/media/4067/crif-dlai-report_jan-17th-2025.pdf</t>
        </is>
      </c>
      <c r="K261" s="9" t="inlineStr">
        <is>
          <t>2025-01-17</t>
        </is>
      </c>
      <c r="L261" s="9" t="inlineStr">
        <is>
          <t>2026-09-30</t>
        </is>
      </c>
      <c r="M261" s="9" t="inlineStr">
        <is>
          <t>confirmed</t>
        </is>
      </c>
      <c r="N261" s="10" t="inlineStr">
        <is>
          <t>Confirmed by the sibling market-benchmarks research (MAC-03); I did not re-open the PDF. Consistent with rating-agency credit costs: KreditBee 7.7% (LEV-022), Kissht 8.5-9.0% (LEV-021), Stashfin 9.9% of disbursal (LEV-026), Groww 7.1% (LEV-029), Amica 8.8% cumulative of disbursal (LEV-028), Moneyview loss rate 6.9% (FY26). MODEL credit cost for own-book Rs 10-50K gig/blue-collar loans: 7% low / 9% base / 12% high of average book.</t>
        </is>
      </c>
    </row>
    <row r="262">
      <c r="A262" s="9" t="inlineStr">
        <is>
          <t>LEV-067</t>
        </is>
      </c>
      <c r="B262" s="9" t="inlineStr">
        <is>
          <t>B: Own NBFC - credit cost</t>
        </is>
      </c>
      <c r="C262" s="10" t="inlineStr">
        <is>
          <t>Experian 'Small is BIG' (Sep 2024): fintech NBFCs held 25% of PL disbursal value and 52% of count in FY24 (Rs 2,11,794 cr; 49.2 mn loans -&gt; ~Rs 43,000 avg ticket, derived); PL net 90+ 1.51% (Mar-24); slippage ratio 1.89% (Mar-23) -&gt; 2.19% (Mar-24)</t>
        </is>
      </c>
      <c r="D262" s="9" t="inlineStr">
        <is>
          <t>net 90+ 1.51%; slippage 2.19%</t>
        </is>
      </c>
      <c r="E262" s="9" t="inlineStr">
        <is>
          <t>% of outstanding</t>
        </is>
      </c>
      <c r="F262" s="10" t="inlineStr">
        <is>
          <t>Fintech NBFC personal loans (Experian bureau), FY24</t>
        </is>
      </c>
      <c r="G262" s="9" t="inlineStr">
        <is>
          <t>2024-03-31</t>
        </is>
      </c>
      <c r="H262" s="9" t="inlineStr">
        <is>
          <t>net of write-offs (stock measure)</t>
        </is>
      </c>
      <c r="I262" s="9" t="inlineStr">
        <is>
          <t>Experian India whitepaper: Small is BIG - How Fintechs are Revolutionising Lending (Sep 2024)</t>
        </is>
      </c>
      <c r="J262" s="9" t="inlineStr">
        <is>
          <t>https://www.experian.in/wp-content/uploads/sites/27/2024/09/Experian-Whitepaper-Small-is-Big.pdf</t>
        </is>
      </c>
      <c r="K262" s="9" t="inlineStr">
        <is>
          <t>2024-09</t>
        </is>
      </c>
      <c r="L262" s="9" t="inlineStr">
        <is>
          <t>2026-09-30</t>
        </is>
      </c>
      <c r="M262" s="9" t="inlineStr">
        <is>
          <t>confirmed</t>
        </is>
      </c>
      <c r="N262" s="10" t="inlineStr">
        <is>
          <t>Stock-based 90+ ratios UNDERSTATE lifetime loss on short-tenure loans that are written off quickly - do not use 1.5% as a loss rate. Experian notes 'a few players operating at a very high rate' skew fintech delinquency. Separately, Business Standard (Mar-2024, DLAI/Experian) reported fintechs had 77% of FY24 (to Sep-23) loan VOLUME below Rs 1 lakh, average PL ticket Rs 11,576 (search snippet).</t>
        </is>
      </c>
    </row>
    <row r="263">
      <c r="A263" s="9" t="inlineStr">
        <is>
          <t>LEV-068</t>
        </is>
      </c>
      <c r="B263" s="9" t="inlineStr">
        <is>
          <t>A: Cost of funds</t>
        </is>
      </c>
      <c r="C263" s="10" t="inlineStr">
        <is>
          <t>Partner-lender cost of funds (large NBFCs, Q1 FY26): Bajaj Finance 7.79%; Shriram Finance cost of liabilities 8.88% (incremental 8.37%); L&amp;T Finance ~7.8%; ICRA expects NBFC weighted CoF to fall 10-30 bps in FY26 and FY27</t>
        </is>
      </c>
      <c r="D263" s="9" t="inlineStr">
        <is>
          <t>7.8-8.9</t>
        </is>
      </c>
      <c r="E263" s="9" t="inlineStr">
        <is>
          <t>% p.a.</t>
        </is>
      </c>
      <c r="F263" s="10" t="inlineStr">
        <is>
          <t>Large AAA/AA NBFCs that act as partner lenders to LSPs</t>
        </is>
      </c>
      <c r="G263" s="9" t="inlineStr">
        <is>
          <t>2025-06-30</t>
        </is>
      </c>
      <c r="H263" s="9" t="inlineStr">
        <is>
          <t>n/a</t>
        </is>
      </c>
      <c r="I263" s="9" t="inlineStr">
        <is>
          <t>Business Standard: NBFCs see minimal relief in borrowing costs despite aggressive rate cuts (10-Sep-2025, search snippet); ICRA NBFC-Retail outlook (Jan-2026)</t>
        </is>
      </c>
      <c r="J263" s="9" t="inlineStr">
        <is>
          <t>https://www.business-standard.com/amp/finance/news/nbfcs-see-only-marginal-relief-in-borrowing-costs-despite-rate-cuts-125091001242_1.html</t>
        </is>
      </c>
      <c r="K263" s="9" t="inlineStr">
        <is>
          <t>2025-09-10</t>
        </is>
      </c>
      <c r="L263" s="9" t="inlineStr">
        <is>
          <t>2026-09-30</t>
        </is>
      </c>
      <c r="M263" s="9" t="inlineStr">
        <is>
          <t>confirmed</t>
        </is>
      </c>
      <c r="N263" s="10" t="inlineStr">
        <is>
          <t>BS figures via search snippet (page not opened); ICRA CoF direction confirmed in the ICRA deck text. Contrast: an A- digital lender pays 13.3-14.7% (LEV-015, LEV-062) - a ~5-6 pt funding gap. That gap is why partner lenders + DLG beat own-NBFC at small scale: the partner's funding is ~6 pts cheaper and it only needs the LSP's 5% first loss.</t>
        </is>
      </c>
    </row>
    <row r="264">
      <c r="A264" s="9" t="inlineStr">
        <is>
          <t>LEV-069</t>
        </is>
      </c>
      <c r="B264" s="9" t="inlineStr">
        <is>
          <t>B: Own NBFC - precedents</t>
        </is>
      </c>
      <c r="C264" s="10" t="inlineStr">
        <is>
          <t>MobiKwik: set up subsidiary MobiKwik Financial Services (MFSPL) in Apr-2025, infused Rs 9.99 cr (Oct-2025), received RBI NBFC licence Apr-2026 (announced 27-Apr-2026) - ~12 months from subsidiary set-up, a FRESH application (not a shell purchase)</t>
        </is>
      </c>
      <c r="D264" s="9" t="inlineStr">
        <is>
          <t>~12 months; Rs 9.99 cr initial equity</t>
        </is>
      </c>
      <c r="E264" s="9" t="inlineStr">
        <is>
          <t>months; INR crore</t>
        </is>
      </c>
      <c r="F264" s="10" t="inlineStr">
        <is>
          <t>One MobiKwik Systems Ltd (listed payments/fintech, 186M users claimed)</t>
        </is>
      </c>
      <c r="G264" s="9" t="inlineStr">
        <is>
          <t>2026-04-27</t>
        </is>
      </c>
      <c r="H264" s="9" t="inlineStr">
        <is>
          <t>n/a</t>
        </is>
      </c>
      <c r="I264" s="9" t="inlineStr">
        <is>
          <t>Medianama: Why the NBFC licence matters for MobiKwik (Apr-2026); The Paypers</t>
        </is>
      </c>
      <c r="J264" s="9" t="inlineStr">
        <is>
          <t>https://www.medianama.com/2026/04/223-why-nbfc-licence-matters-mobikwik/</t>
        </is>
      </c>
      <c r="K264" s="9" t="inlineStr">
        <is>
          <t>2026-04</t>
        </is>
      </c>
      <c r="L264" s="9" t="inlineStr">
        <is>
          <t>2026-09-30</t>
        </is>
      </c>
      <c r="M264" s="9" t="inlineStr">
        <is>
          <t>confirmed</t>
        </is>
      </c>
      <c r="N264" s="10" t="inlineStr">
        <is>
          <t>Most recent and closest precedent for the TIME and ENTRY EQUITY of a fresh licence: ~12 months and ~Rs 10 cr (= the NOF floor). Loan book plans and cost of funds not disclosed.</t>
        </is>
      </c>
    </row>
    <row r="265">
      <c r="A265" s="9" t="inlineStr">
        <is>
          <t>LEV-070</t>
        </is>
      </c>
      <c r="B265" s="9" t="inlineStr">
        <is>
          <t>B: Own NBFC - precedents</t>
        </is>
      </c>
      <c r="C265" s="10" t="inlineStr">
        <is>
          <t>Paytm (May-2026) says it will NOT apply for an NBFC licence and prefers the partnership model (Paytm does distribution, tech and collections; lenders hold capital and risk); PhonePe made a THIRD NBFC licence attempt in Jan-2026 after applying in 2021 and 2023 (no approval reported)</t>
        </is>
      </c>
      <c r="D265" s="9" t="inlineStr">
        <is>
          <t>Paytm: no licence; PhonePe: 3 applications over ~5 years</t>
        </is>
      </c>
      <c r="E265" s="9" t="inlineStr">
        <is>
          <t>status</t>
        </is>
      </c>
      <c r="F265" s="10" t="inlineStr">
        <is>
          <t>Paytm (One97 Communications); PhonePe</t>
        </is>
      </c>
      <c r="G265" s="9" t="inlineStr">
        <is>
          <t>2026-05-08</t>
        </is>
      </c>
      <c r="H265" s="9" t="inlineStr">
        <is>
          <t>n/a</t>
        </is>
      </c>
      <c r="I265" s="9" t="inlineStr">
        <is>
          <t>Medianama: Paytm Says It Does Not Plan to Apply for NBFC Licence (8-May-2026); Business Standard: 'Not super excited about NBFC licence', says Paytm CFO Madhur Deora (7-May-2026)</t>
        </is>
      </c>
      <c r="J265" s="9" t="inlineStr">
        <is>
          <t>https://www.medianama.com/2026/05/223-paytm-not-applying-for-nbfc-licence-rbi-crackdown/</t>
        </is>
      </c>
      <c r="K265" s="9" t="inlineStr">
        <is>
          <t>2026-05-08</t>
        </is>
      </c>
      <c r="L265" s="9" t="inlineStr">
        <is>
          <t>2026-09-30</t>
        </is>
      </c>
      <c r="M265" s="9" t="inlineStr">
        <is>
          <t>confirmed</t>
        </is>
      </c>
      <c r="N265" s="10" t="inlineStr">
        <is>
          <t>Evidence that licence timing is NOT reliable for large, well-capitalised platforms (PhonePe) and that the largest distributor by users chose to stay an LSP. Fi (epiFi): no own-NBFC found; it pivoted to B2B (market_benchmarks FI-03). MODEL: treat 'own NBFC from year 3' as a real option with a 12-month base / 24-36-month high licence lag, not a certainty.</t>
        </is>
      </c>
    </row>
    <row r="266">
      <c r="A266" s="9" t="inlineStr">
        <is>
          <t>LEV-071</t>
        </is>
      </c>
      <c r="B266" s="9" t="inlineStr">
        <is>
          <t>C: Digital gold - economics</t>
        </is>
      </c>
      <c r="C266" s="10" t="inlineStr">
        <is>
          <t>Augmont DRHP (Technopak industry section): two-tier market - fintech front-ends (Navi, Gullak, Jar, KreditBee, Paytm, PhonePe, Google Pay) earn 'commission per transaction, platform fees' and do not own gold; providers (Augmont, SafeGold, MMTC-PAMP) earn 'spread on gold buy/sell rates, B2B partnerships, storage/redemption fees'. Augmont digital gold revenue Rs 170 cr (FY22) -&gt; Rs 287 cr (FY24) -&gt; Rs 665.7 cr (FY25); 180+ digital gold partner platforms; min Rs 10</t>
        </is>
      </c>
      <c r="D266" s="9" t="inlineStr">
        <is>
          <t>commission rate NOT disclosed</t>
        </is>
      </c>
      <c r="E266" s="9" t="inlineStr">
        <is>
          <t>n/a</t>
        </is>
      </c>
      <c r="F266" s="10" t="inlineStr">
        <is>
          <t>Augmont Enterprises Ltd (digital gold via subsidiary Augmont Goldtech) and its partner platforms</t>
        </is>
      </c>
      <c r="G266" s="9" t="inlineStr">
        <is>
          <t>FY25</t>
        </is>
      </c>
      <c r="H266" s="9" t="inlineStr">
        <is>
          <t>gross revenue</t>
        </is>
      </c>
      <c r="I266" s="9" t="inlineStr">
        <is>
          <t>Augmont Enterprises Ltd Draft Red Herring Prospectus (SEBI, filed Oct-2025), Industry Overview pp.192-194 and Risk Factor 23</t>
        </is>
      </c>
      <c r="J266" s="9" t="inlineStr">
        <is>
          <t>https://www.sebi.gov.in/sebi_data/attachdocs/oct-2025/1760009417606_1005.pdf</t>
        </is>
      </c>
      <c r="K266" s="9" t="inlineStr">
        <is>
          <t>2025-10-09</t>
        </is>
      </c>
      <c r="L266" s="9" t="inlineStr">
        <is>
          <t>2026-09-30</t>
        </is>
      </c>
      <c r="M266" s="9" t="inlineStr">
        <is>
          <t>confirmed</t>
        </is>
      </c>
      <c r="N266" s="10" t="inlineStr">
        <is>
          <t>Confirms the DISTRIBUTOR model (commission, no gold ownership, storage delegated to provider) but no rate. Risk factor: 'certain partners terminat[ed] their agreements with us pursuant to interventions from SEBI prohibiting trading members from offering digital gold' - regulatory risk is real and has already cut distribution once (2021). The only distributor-rate figure found remains ~2.4% (CIIM, unverified, LEV-036).</t>
        </is>
      </c>
    </row>
    <row r="268">
      <c r="A268" s="28" t="inlineStr">
        <is>
          <t>Founder data (Sandeep Arora, confirmed 2026-09-30): see tables/inputs_founder_bueno.csv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2026-10-02T18:48:44Z</dcterms:created>
  <dcterms:modified xsi:type="dcterms:W3CDTF">2026-10-02T18:48:45Z</dcterms:modified>
</cp:coreProperties>
</file>